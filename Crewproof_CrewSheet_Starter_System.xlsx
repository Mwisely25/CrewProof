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5.xml" ContentType="application/vnd.openxmlformats-officedocument.spreadsheetml.worksheet+xml"/>
  <Override PartName="/xl/tables/table2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933ee6b87242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24a2440733104bde"/>
    <x:sheet xmlns:r="http://schemas.openxmlformats.org/officeDocument/2006/relationships" name="01_Settings" sheetId="2" r:id="R511642ab864a45dc"/>
    <x:sheet xmlns:r="http://schemas.openxmlformats.org/officeDocument/2006/relationships" name="02_Lists" sheetId="3" r:id="R3c63f1ef2ae54308"/>
    <x:sheet xmlns:r="http://schemas.openxmlformats.org/officeDocument/2006/relationships" name="03_Folder_Map" sheetId="4" r:id="R397107d82c1a479a"/>
    <x:sheet xmlns:r="http://schemas.openxmlformats.org/officeDocument/2006/relationships" name="04_Projects" sheetId="5" r:id="R95944f946320460e"/>
    <x:sheet xmlns:r="http://schemas.openxmlformats.org/officeDocument/2006/relationships" name="05_Employees" sheetId="6" r:id="Ra18c3af85dfe44f4"/>
    <x:sheet xmlns:r="http://schemas.openxmlformats.org/officeDocument/2006/relationships" name="06_Crews" sheetId="7" r:id="R5e4665095ce443b8"/>
    <x:sheet xmlns:r="http://schemas.openxmlformats.org/officeDocument/2006/relationships" name="07_Equipment" sheetId="8" r:id="R65f790184718432a"/>
    <x:sheet xmlns:r="http://schemas.openxmlformats.org/officeDocument/2006/relationships" name="08_Rate_Cards" sheetId="9" r:id="R13aee106d99a47e3"/>
    <x:sheet xmlns:r="http://schemas.openxmlformats.org/officeDocument/2006/relationships" name="09_Locate_Tickets" sheetId="10" r:id="R5c61acdca4cf4294"/>
    <x:sheet xmlns:r="http://schemas.openxmlformats.org/officeDocument/2006/relationships" name="10_Router_Log" sheetId="11" r:id="R19c0049a7ac943cb"/>
    <x:sheet xmlns:r="http://schemas.openxmlformats.org/officeDocument/2006/relationships" name="11_Intake_Daily" sheetId="12" r:id="R3a349caa02a0403c"/>
    <x:sheet xmlns:r="http://schemas.openxmlformats.org/officeDocument/2006/relationships" name="12_Production_Log" sheetId="13" r:id="Rd302a8bfb8894714"/>
    <x:sheet xmlns:r="http://schemas.openxmlformats.org/officeDocument/2006/relationships" name="13_Labor_Time" sheetId="14" r:id="R259b0db408b04d54"/>
    <x:sheet xmlns:r="http://schemas.openxmlformats.org/officeDocument/2006/relationships" name="14_Materials_Log" sheetId="15" r:id="R771e22b58d154430"/>
    <x:sheet xmlns:r="http://schemas.openxmlformats.org/officeDocument/2006/relationships" name="15_Equipment_Log" sheetId="16" r:id="Rb56dcc6a18474f58"/>
    <x:sheet xmlns:r="http://schemas.openxmlformats.org/officeDocument/2006/relationships" name="16_Safety_Log" sheetId="17" r:id="Reeeb718e0ed5409f"/>
    <x:sheet xmlns:r="http://schemas.openxmlformats.org/officeDocument/2006/relationships" name="17_Proof_Assets" sheetId="18" r:id="R3752c5ef56394d90"/>
    <x:sheet xmlns:r="http://schemas.openxmlformats.org/officeDocument/2006/relationships" name="18_Closeout_Billing" sheetId="19" r:id="R423642b0b5604e5d"/>
    <x:sheet xmlns:r="http://schemas.openxmlformats.org/officeDocument/2006/relationships" name="20_Proof_Queue" sheetId="20" r:id="R57684e22b208478e"/>
    <x:sheet xmlns:r="http://schemas.openxmlformats.org/officeDocument/2006/relationships" name="30_Daily_Rollup" sheetId="21" r:id="R51cb290d4de64c59"/>
    <x:sheet xmlns:r="http://schemas.openxmlformats.org/officeDocument/2006/relationships" name="31_Weekly_Rollup" sheetId="22" r:id="R5c66e967281e4aa5"/>
    <x:sheet xmlns:r="http://schemas.openxmlformats.org/officeDocument/2006/relationships" name="32_Monthly_Rollup" sheetId="23" r:id="R1c29b4a303f54791"/>
    <x:sheet xmlns:r="http://schemas.openxmlformats.org/officeDocument/2006/relationships" name="40_Dashboard" sheetId="24" r:id="R438d7cfe6c614904"/>
    <x:sheet xmlns:r="http://schemas.openxmlformats.org/officeDocument/2006/relationships" name="99_Sources" sheetId="25" r:id="R2f8398d1809943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yyyy-mm-dd"/>
    <x:numFmt numFmtId="201" formatCode="$#,##0.00"/>
    <x:numFmt numFmtId="202" formatCode="yyyy-mm-dd hh:mm"/>
    <x:numFmt numFmtId="203" formatCode="h:mm AM/PM"/>
    <x:numFmt numFmtId="204" formatCode="0.00"/>
    <x:numFmt numFmtId="205" formatCode="#,##0.00"/>
    <x:numFmt numFmtId="206" formatCode="0%"/>
    <x:numFmt numFmtId="207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2"/>
      <x:name val="Carlito"/>
    </x:font>
  </x:fonts>
  <x:fills count="28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5E7EB"/>
      </x:patternFill>
    </x:fill>
    <x:fill>
      <x:patternFill patternType="solid">
        <x:fgColor rgb="FF1E3A8A"/>
      </x:patternFill>
    </x:fill>
    <x:fill>
      <x:patternFill patternType="solid">
        <x:fgColor rgb="FF065F46"/>
      </x:patternFill>
    </x:fill>
    <x:fill>
      <x:patternFill patternType="solid">
        <x:fgColor rgb="FF334155"/>
      </x:patternFill>
    </x:fill>
    <x:fill>
      <x:patternFill patternType="solid">
        <x:fgColor rgb="FF7C2D12"/>
      </x:patternFill>
    </x:fill>
    <x:fill>
      <x:patternFill patternType="solid">
        <x:fgColor rgb="FF4338CA"/>
      </x:patternFill>
    </x:fill>
    <x:fill>
      <x:patternFill patternType="solid">
        <x:fgColor rgb="FF0E7490"/>
      </x:patternFill>
    </x:fill>
    <x:fill>
      <x:patternFill patternType="solid">
        <x:fgColor rgb="FF164E63"/>
      </x:patternFill>
    </x:fill>
    <x:fill>
      <x:patternFill patternType="solid">
        <x:fgColor rgb="FF854D0E"/>
      </x:patternFill>
    </x:fill>
    <x:fill>
      <x:patternFill patternType="solid">
        <x:fgColor rgb="FF991B1B"/>
      </x:patternFill>
    </x:fill>
    <x:fill>
      <x:patternFill patternType="solid">
        <x:fgColor rgb="FF475569"/>
      </x:patternFill>
    </x:fill>
    <x:fill>
      <x:patternFill patternType="solid">
        <x:fgColor rgb="FF1D4ED8"/>
      </x:patternFill>
    </x:fill>
    <x:fill>
      <x:patternFill patternType="solid">
        <x:fgColor rgb="FF2563EB"/>
      </x:patternFill>
    </x:fill>
    <x:fill>
      <x:patternFill patternType="solid">
        <x:fgColor rgb="FF4F46E5"/>
      </x:patternFill>
    </x:fill>
    <x:fill>
      <x:patternFill patternType="solid">
        <x:fgColor rgb="FF15803D"/>
      </x:patternFill>
    </x:fill>
    <x:fill>
      <x:patternFill patternType="solid">
        <x:fgColor rgb="FF0369A1"/>
      </x:patternFill>
    </x:fill>
    <x:fill>
      <x:patternFill patternType="solid">
        <x:fgColor rgb="FFB91C1C"/>
      </x:patternFill>
    </x:fill>
    <x:fill>
      <x:patternFill patternType="solid">
        <x:fgColor rgb="FF7E22CE"/>
      </x:patternFill>
    </x:fill>
    <x:fill>
      <x:patternFill patternType="solid">
        <x:fgColor rgb="FF92400E"/>
      </x:patternFill>
    </x:fill>
    <x:fill>
      <x:patternFill patternType="solid">
        <x:fgColor rgb="FFBE123C"/>
      </x:patternFill>
    </x:fill>
    <x:fill>
      <x:patternFill patternType="solid">
        <x:fgColor rgb="FF0F766E"/>
      </x:patternFill>
    </x:fill>
    <x:fill>
      <x:patternFill patternType="solid">
        <x:fgColor rgb="FF047857"/>
      </x:patternFill>
    </x:fill>
    <x:fill>
      <x:patternFill patternType="solid">
        <x:fgColor rgb="FF059669"/>
      </x:patternFill>
    </x:fill>
    <x:fill>
      <x:patternFill patternType="solid">
        <x:fgColor rgb="FFF8FAFC"/>
      </x:patternFill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30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horizontal="center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horizontal="center" wrapText="1"/>
    </x:xf>
    <x:xf numFmtId="0" fontId="3" fillId="10" borderId="1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/>
    <x:xf numFmtId="0" fontId="3" fillId="11" borderId="1" xfId="0" applyNumberFormat="1" applyFont="1" applyFill="1" applyBorder="1"/>
    <x:xf numFmtId="0" fontId="3" fillId="11" borderId="1" xfId="0" applyNumberFormat="1" applyFont="1" applyFill="1" applyBorder="1" applyAlignment="1">
      <x:alignment wrapText="1"/>
    </x:xf>
    <x:xf numFmtId="0" fontId="3" fillId="11" borderId="1" xfId="0" applyNumberFormat="1" applyFont="1" applyFill="1" applyBorder="1" applyAlignment="1">
      <x:alignment horizontal="center" wrapText="1"/>
    </x:xf>
    <x:xf numFmtId="0" fontId="3" fillId="11" borderId="1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horizont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/>
    <x:xf numFmtId="0" fontId="3" fillId="12" borderId="1" xfId="0" applyNumberFormat="1" applyFont="1" applyFill="1" applyBorder="1"/>
    <x:xf numFmtId="0" fontId="3" fillId="12" borderId="1" xfId="0" applyNumberFormat="1" applyFont="1" applyFill="1" applyBorder="1" applyAlignment="1">
      <x:alignment wrapText="1"/>
    </x:xf>
    <x:xf numFmtId="0" fontId="3" fillId="12" borderId="1" xfId="0" applyNumberFormat="1" applyFont="1" applyFill="1" applyBorder="1" applyAlignment="1">
      <x:alignment horizontal="center" wrapText="1"/>
    </x:xf>
    <x:xf numFmtId="0" fontId="3" fillId="12" borderId="1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horizontal="center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0" fillId="13" borderId="1" xfId="0" applyNumberFormat="1" applyFont="1" applyFill="1" applyBorder="1"/>
    <x:xf numFmtId="0" fontId="3" fillId="13" borderId="1" xfId="0" applyNumberFormat="1" applyFont="1" applyFill="1" applyBorder="1"/>
    <x:xf numFmtId="0" fontId="3" fillId="13" borderId="1" xfId="0" applyNumberFormat="1" applyFont="1" applyFill="1" applyBorder="1" applyAlignment="1">
      <x:alignment wrapText="1"/>
    </x:xf>
    <x:xf numFmtId="0" fontId="3" fillId="13" borderId="1" xfId="0" applyNumberFormat="1" applyFont="1" applyFill="1" applyBorder="1" applyAlignment="1">
      <x:alignment horizontal="center" wrapText="1"/>
    </x:xf>
    <x:xf numFmtId="0" fontId="3" fillId="13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horizont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0" fillId="14" borderId="1" xfId="0" applyNumberFormat="1" applyFont="1" applyFill="1" applyBorder="1"/>
    <x:xf numFmtId="0" fontId="3" fillId="14" borderId="1" xfId="0" applyNumberFormat="1" applyFont="1" applyFill="1" applyBorder="1"/>
    <x:xf numFmtId="0" fontId="3" fillId="14" borderId="1" xfId="0" applyNumberFormat="1" applyFont="1" applyFill="1" applyBorder="1" applyAlignment="1">
      <x:alignment wrapText="1"/>
    </x:xf>
    <x:xf numFmtId="0" fontId="3" fillId="14" borderId="1" xfId="0" applyNumberFormat="1" applyFont="1" applyFill="1" applyBorder="1" applyAlignment="1">
      <x:alignment horizontal="center" wrapText="1"/>
    </x:xf>
    <x:xf numFmtId="0" fontId="3" fillId="14" borderId="1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4" fontId="0" fillId="0" borderId="1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 applyAlignment="1">
      <x:alignment vertical="top" wrapText="1"/>
    </x:xf>
    <x:xf numFmtId="205" fontId="0" fillId="0" borderId="1" xfId="0" applyNumberFormat="1" applyFont="1" applyFill="1" applyBorder="1" applyAlignment="1">
      <x:alignment vertical="top" wrapText="1"/>
    </x:xf>
    <x:xf numFmtId="206" fontId="0" fillId="0" borderId="0" xfId="0" applyNumberFormat="1" applyFont="1" applyFill="1" applyBorder="1" applyAlignment="1">
      <x:alignment vertical="top" wrapText="1"/>
    </x:xf>
    <x:xf numFmtId="206" fontId="0" fillId="0" borderId="1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horizontal="center" wrapText="1"/>
    </x:xf>
    <x:xf numFmtId="0" fontId="3" fillId="15" borderId="0" xfId="0" applyNumberFormat="1" applyFont="1" applyFill="1" applyBorder="1" applyAlignment="1">
      <x:alignment horizontal="center" vertical="center" wrapText="1"/>
    </x:xf>
    <x:xf numFmtId="0" fontId="0" fillId="15" borderId="1" xfId="0" applyNumberFormat="1" applyFont="1" applyFill="1" applyBorder="1"/>
    <x:xf numFmtId="0" fontId="3" fillId="15" borderId="1" xfId="0" applyNumberFormat="1" applyFont="1" applyFill="1" applyBorder="1"/>
    <x:xf numFmtId="0" fontId="3" fillId="15" borderId="1" xfId="0" applyNumberFormat="1" applyFont="1" applyFill="1" applyBorder="1" applyAlignment="1">
      <x:alignment wrapText="1"/>
    </x:xf>
    <x:xf numFmtId="0" fontId="3" fillId="15" borderId="1" xfId="0" applyNumberFormat="1" applyFont="1" applyFill="1" applyBorder="1" applyAlignment="1">
      <x:alignment horizontal="center" wrapText="1"/>
    </x:xf>
    <x:xf numFmtId="0" fontId="3" fillId="15" borderId="1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horizontal="center" wrapText="1"/>
    </x:xf>
    <x:xf numFmtId="0" fontId="3" fillId="16" borderId="0" xfId="0" applyNumberFormat="1" applyFont="1" applyFill="1" applyBorder="1" applyAlignment="1">
      <x:alignment horizontal="center" vertical="center" wrapText="1"/>
    </x:xf>
    <x:xf numFmtId="0" fontId="0" fillId="16" borderId="1" xfId="0" applyNumberFormat="1" applyFont="1" applyFill="1" applyBorder="1"/>
    <x:xf numFmtId="0" fontId="3" fillId="16" borderId="1" xfId="0" applyNumberFormat="1" applyFont="1" applyFill="1" applyBorder="1"/>
    <x:xf numFmtId="0" fontId="3" fillId="16" borderId="1" xfId="0" applyNumberFormat="1" applyFont="1" applyFill="1" applyBorder="1" applyAlignment="1">
      <x:alignment wrapText="1"/>
    </x:xf>
    <x:xf numFmtId="0" fontId="3" fillId="16" borderId="1" xfId="0" applyNumberFormat="1" applyFont="1" applyFill="1" applyBorder="1" applyAlignment="1">
      <x:alignment horizontal="center" wrapText="1"/>
    </x:xf>
    <x:xf numFmtId="0" fontId="3" fillId="16" borderId="1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0" fillId="17" borderId="1" xfId="0" applyNumberFormat="1" applyFont="1" applyFill="1" applyBorder="1"/>
    <x:xf numFmtId="0" fontId="3" fillId="17" borderId="1" xfId="0" applyNumberFormat="1" applyFont="1" applyFill="1" applyBorder="1"/>
    <x:xf numFmtId="0" fontId="3" fillId="17" borderId="1" xfId="0" applyNumberFormat="1" applyFont="1" applyFill="1" applyBorder="1" applyAlignment="1">
      <x:alignment wrapText="1"/>
    </x:xf>
    <x:xf numFmtId="0" fontId="3" fillId="17" borderId="1" xfId="0" applyNumberFormat="1" applyFont="1" applyFill="1" applyBorder="1" applyAlignment="1">
      <x:alignment horizontal="center" wrapText="1"/>
    </x:xf>
    <x:xf numFmtId="0" fontId="3" fillId="17" borderId="1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wrapText="1"/>
    </x:xf>
    <x:xf numFmtId="0" fontId="3" fillId="18" borderId="0" xfId="0" applyNumberFormat="1" applyFont="1" applyFill="1" applyBorder="1" applyAlignment="1">
      <x:alignment horizontal="center" wrapText="1"/>
    </x:xf>
    <x:xf numFmtId="0" fontId="3" fillId="18" borderId="0" xfId="0" applyNumberFormat="1" applyFont="1" applyFill="1" applyBorder="1" applyAlignment="1">
      <x:alignment horizontal="center" vertical="center" wrapText="1"/>
    </x:xf>
    <x:xf numFmtId="0" fontId="0" fillId="18" borderId="1" xfId="0" applyNumberFormat="1" applyFont="1" applyFill="1" applyBorder="1"/>
    <x:xf numFmtId="0" fontId="3" fillId="18" borderId="1" xfId="0" applyNumberFormat="1" applyFont="1" applyFill="1" applyBorder="1"/>
    <x:xf numFmtId="0" fontId="3" fillId="18" borderId="1" xfId="0" applyNumberFormat="1" applyFont="1" applyFill="1" applyBorder="1" applyAlignment="1">
      <x:alignment wrapText="1"/>
    </x:xf>
    <x:xf numFmtId="0" fontId="3" fillId="18" borderId="1" xfId="0" applyNumberFormat="1" applyFont="1" applyFill="1" applyBorder="1" applyAlignment="1">
      <x:alignment horizontal="center" wrapText="1"/>
    </x:xf>
    <x:xf numFmtId="0" fontId="3" fillId="18" borderId="1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0" xfId="0" applyNumberFormat="1" applyFont="1" applyFill="1" applyBorder="1" applyAlignment="1">
      <x:alignment wrapText="1"/>
    </x:xf>
    <x:xf numFmtId="0" fontId="3" fillId="19" borderId="0" xfId="0" applyNumberFormat="1" applyFont="1" applyFill="1" applyBorder="1" applyAlignment="1">
      <x:alignment horizontal="center" wrapText="1"/>
    </x:xf>
    <x:xf numFmtId="0" fontId="3" fillId="19" borderId="0" xfId="0" applyNumberFormat="1" applyFont="1" applyFill="1" applyBorder="1" applyAlignment="1">
      <x:alignment horizontal="center" vertical="center" wrapText="1"/>
    </x:xf>
    <x:xf numFmtId="0" fontId="0" fillId="19" borderId="1" xfId="0" applyNumberFormat="1" applyFont="1" applyFill="1" applyBorder="1"/>
    <x:xf numFmtId="0" fontId="3" fillId="19" borderId="1" xfId="0" applyNumberFormat="1" applyFont="1" applyFill="1" applyBorder="1"/>
    <x:xf numFmtId="0" fontId="3" fillId="19" borderId="1" xfId="0" applyNumberFormat="1" applyFont="1" applyFill="1" applyBorder="1" applyAlignment="1">
      <x:alignment wrapText="1"/>
    </x:xf>
    <x:xf numFmtId="0" fontId="3" fillId="19" borderId="1" xfId="0" applyNumberFormat="1" applyFont="1" applyFill="1" applyBorder="1" applyAlignment="1">
      <x:alignment horizontal="center" wrapText="1"/>
    </x:xf>
    <x:xf numFmtId="0" fontId="3" fillId="19" borderId="1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wrapText="1"/>
    </x:xf>
    <x:xf numFmtId="0" fontId="3" fillId="20" borderId="0" xfId="0" applyNumberFormat="1" applyFont="1" applyFill="1" applyBorder="1" applyAlignment="1">
      <x:alignment horizontal="center" wrapText="1"/>
    </x:xf>
    <x:xf numFmtId="0" fontId="3" fillId="20" borderId="0" xfId="0" applyNumberFormat="1" applyFont="1" applyFill="1" applyBorder="1" applyAlignment="1">
      <x:alignment horizontal="center" vertical="center" wrapText="1"/>
    </x:xf>
    <x:xf numFmtId="0" fontId="0" fillId="20" borderId="1" xfId="0" applyNumberFormat="1" applyFont="1" applyFill="1" applyBorder="1"/>
    <x:xf numFmtId="0" fontId="3" fillId="20" borderId="1" xfId="0" applyNumberFormat="1" applyFont="1" applyFill="1" applyBorder="1"/>
    <x:xf numFmtId="0" fontId="3" fillId="20" borderId="1" xfId="0" applyNumberFormat="1" applyFont="1" applyFill="1" applyBorder="1" applyAlignment="1">
      <x:alignment wrapText="1"/>
    </x:xf>
    <x:xf numFmtId="0" fontId="3" fillId="20" borderId="1" xfId="0" applyNumberFormat="1" applyFont="1" applyFill="1" applyBorder="1" applyAlignment="1">
      <x:alignment horizontal="center" wrapText="1"/>
    </x:xf>
    <x:xf numFmtId="0" fontId="3" fillId="20" borderId="1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3" fillId="21" borderId="0" xfId="0" applyNumberFormat="1" applyFont="1" applyFill="1" applyBorder="1"/>
    <x:xf numFmtId="0" fontId="3" fillId="21" borderId="0" xfId="0" applyNumberFormat="1" applyFont="1" applyFill="1" applyBorder="1" applyAlignment="1">
      <x:alignment wrapText="1"/>
    </x:xf>
    <x:xf numFmtId="0" fontId="3" fillId="21" borderId="0" xfId="0" applyNumberFormat="1" applyFont="1" applyFill="1" applyBorder="1" applyAlignment="1">
      <x:alignment horizontal="center" wrapText="1"/>
    </x:xf>
    <x:xf numFmtId="0" fontId="3" fillId="21" borderId="0" xfId="0" applyNumberFormat="1" applyFont="1" applyFill="1" applyBorder="1" applyAlignment="1">
      <x:alignment horizontal="center" vertical="center" wrapText="1"/>
    </x:xf>
    <x:xf numFmtId="0" fontId="0" fillId="21" borderId="1" xfId="0" applyNumberFormat="1" applyFont="1" applyFill="1" applyBorder="1"/>
    <x:xf numFmtId="0" fontId="3" fillId="21" borderId="1" xfId="0" applyNumberFormat="1" applyFont="1" applyFill="1" applyBorder="1"/>
    <x:xf numFmtId="0" fontId="3" fillId="21" borderId="1" xfId="0" applyNumberFormat="1" applyFont="1" applyFill="1" applyBorder="1" applyAlignment="1">
      <x:alignment wrapText="1"/>
    </x:xf>
    <x:xf numFmtId="0" fontId="3" fillId="21" borderId="1" xfId="0" applyNumberFormat="1" applyFont="1" applyFill="1" applyBorder="1" applyAlignment="1">
      <x:alignment horizontal="center" wrapText="1"/>
    </x:xf>
    <x:xf numFmtId="0" fontId="3" fillId="21" borderId="1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wrapText="1"/>
    </x:xf>
    <x:xf numFmtId="0" fontId="3" fillId="22" borderId="0" xfId="0" applyNumberFormat="1" applyFont="1" applyFill="1" applyBorder="1" applyAlignment="1">
      <x:alignment horizontal="center" wrapText="1"/>
    </x:xf>
    <x:xf numFmtId="0" fontId="3" fillId="22" borderId="0" xfId="0" applyNumberFormat="1" applyFont="1" applyFill="1" applyBorder="1" applyAlignment="1">
      <x:alignment horizontal="center" vertical="center" wrapText="1"/>
    </x:xf>
    <x:xf numFmtId="0" fontId="0" fillId="22" borderId="1" xfId="0" applyNumberFormat="1" applyFont="1" applyFill="1" applyBorder="1"/>
    <x:xf numFmtId="0" fontId="3" fillId="22" borderId="1" xfId="0" applyNumberFormat="1" applyFont="1" applyFill="1" applyBorder="1"/>
    <x:xf numFmtId="0" fontId="3" fillId="22" borderId="1" xfId="0" applyNumberFormat="1" applyFont="1" applyFill="1" applyBorder="1" applyAlignment="1">
      <x:alignment wrapText="1"/>
    </x:xf>
    <x:xf numFmtId="0" fontId="3" fillId="22" borderId="1" xfId="0" applyNumberFormat="1" applyFont="1" applyFill="1" applyBorder="1" applyAlignment="1">
      <x:alignment horizontal="center" wrapText="1"/>
    </x:xf>
    <x:xf numFmtId="0" fontId="3" fillId="22" borderId="1" xfId="0" applyNumberFormat="1" applyFont="1" applyFill="1" applyBorder="1" applyAlignment="1">
      <x:alignment horizontal="center" vertical="center" wrapText="1"/>
    </x:xf>
    <x:xf numFmtId="207" fontId="0" fillId="0" borderId="0" xfId="0" applyNumberFormat="1" applyFont="1" applyFill="1" applyBorder="1" applyAlignment="1">
      <x:alignment vertical="top" wrapText="1"/>
    </x:xf>
    <x:xf numFmtId="207" fontId="0" fillId="0" borderId="1" xfId="0" applyNumberFormat="1" applyFont="1" applyFill="1" applyBorder="1" applyAlignment="1">
      <x:alignment vertical="top" wrapText="1"/>
    </x:xf>
    <x:xf numFmtId="0" fontId="0" fillId="23" borderId="0" xfId="0" applyNumberFormat="1" applyFont="1" applyFill="1" applyBorder="1"/>
    <x:xf numFmtId="0" fontId="3" fillId="23" borderId="0" xfId="0" applyNumberFormat="1" applyFont="1" applyFill="1" applyBorder="1"/>
    <x:xf numFmtId="0" fontId="3" fillId="23" borderId="0" xfId="0" applyNumberFormat="1" applyFont="1" applyFill="1" applyBorder="1" applyAlignment="1">
      <x:alignment wrapText="1"/>
    </x:xf>
    <x:xf numFmtId="0" fontId="3" fillId="23" borderId="0" xfId="0" applyNumberFormat="1" applyFont="1" applyFill="1" applyBorder="1" applyAlignment="1">
      <x:alignment horizontal="center" wrapText="1"/>
    </x:xf>
    <x:xf numFmtId="0" fontId="3" fillId="23" borderId="0" xfId="0" applyNumberFormat="1" applyFont="1" applyFill="1" applyBorder="1" applyAlignment="1">
      <x:alignment horizontal="center" vertical="center" wrapText="1"/>
    </x:xf>
    <x:xf numFmtId="0" fontId="0" fillId="23" borderId="1" xfId="0" applyNumberFormat="1" applyFont="1" applyFill="1" applyBorder="1"/>
    <x:xf numFmtId="0" fontId="3" fillId="23" borderId="1" xfId="0" applyNumberFormat="1" applyFont="1" applyFill="1" applyBorder="1"/>
    <x:xf numFmtId="0" fontId="3" fillId="23" borderId="1" xfId="0" applyNumberFormat="1" applyFont="1" applyFill="1" applyBorder="1" applyAlignment="1">
      <x:alignment wrapText="1"/>
    </x:xf>
    <x:xf numFmtId="0" fontId="3" fillId="23" borderId="1" xfId="0" applyNumberFormat="1" applyFont="1" applyFill="1" applyBorder="1" applyAlignment="1">
      <x:alignment horizontal="center" wrapText="1"/>
    </x:xf>
    <x:xf numFmtId="0" fontId="3" fillId="23" borderId="1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3" fillId="24" borderId="0" xfId="0" applyNumberFormat="1" applyFont="1" applyFill="1" applyBorder="1" applyAlignment="1">
      <x:alignment horizontal="center" wrapText="1"/>
    </x:xf>
    <x:xf numFmtId="0" fontId="3" fillId="24" borderId="0" xfId="0" applyNumberFormat="1" applyFont="1" applyFill="1" applyBorder="1" applyAlignment="1">
      <x:alignment horizontal="center" vertical="center" wrapText="1"/>
    </x:xf>
    <x:xf numFmtId="0" fontId="0" fillId="24" borderId="1" xfId="0" applyNumberFormat="1" applyFont="1" applyFill="1" applyBorder="1"/>
    <x:xf numFmtId="0" fontId="3" fillId="24" borderId="1" xfId="0" applyNumberFormat="1" applyFont="1" applyFill="1" applyBorder="1"/>
    <x:xf numFmtId="0" fontId="3" fillId="24" borderId="1" xfId="0" applyNumberFormat="1" applyFont="1" applyFill="1" applyBorder="1" applyAlignment="1">
      <x:alignment wrapText="1"/>
    </x:xf>
    <x:xf numFmtId="0" fontId="3" fillId="24" borderId="1" xfId="0" applyNumberFormat="1" applyFont="1" applyFill="1" applyBorder="1" applyAlignment="1">
      <x:alignment horizontal="center" wrapText="1"/>
    </x:xf>
    <x:xf numFmtId="0" fontId="3" fillId="24" borderId="1" xfId="0" applyNumberFormat="1" applyFont="1" applyFill="1" applyBorder="1" applyAlignment="1">
      <x:alignment horizontal="center" vertical="center" wrapText="1"/>
    </x:xf>
    <x:xf numFmtId="0" fontId="0" fillId="25" borderId="0" xfId="0" applyNumberFormat="1" applyFont="1" applyFill="1" applyBorder="1"/>
    <x:xf numFmtId="0" fontId="3" fillId="25" borderId="0" xfId="0" applyNumberFormat="1" applyFont="1" applyFill="1" applyBorder="1"/>
    <x:xf numFmtId="0" fontId="3" fillId="25" borderId="0" xfId="0" applyNumberFormat="1" applyFont="1" applyFill="1" applyBorder="1" applyAlignment="1">
      <x:alignment wrapText="1"/>
    </x:xf>
    <x:xf numFmtId="0" fontId="3" fillId="25" borderId="0" xfId="0" applyNumberFormat="1" applyFont="1" applyFill="1" applyBorder="1" applyAlignment="1">
      <x:alignment horizontal="center" wrapText="1"/>
    </x:xf>
    <x:xf numFmtId="0" fontId="3" fillId="25" borderId="0" xfId="0" applyNumberFormat="1" applyFont="1" applyFill="1" applyBorder="1" applyAlignment="1">
      <x:alignment horizontal="center" vertical="center" wrapText="1"/>
    </x:xf>
    <x:xf numFmtId="0" fontId="0" fillId="25" borderId="1" xfId="0" applyNumberFormat="1" applyFont="1" applyFill="1" applyBorder="1"/>
    <x:xf numFmtId="0" fontId="3" fillId="25" borderId="1" xfId="0" applyNumberFormat="1" applyFont="1" applyFill="1" applyBorder="1"/>
    <x:xf numFmtId="0" fontId="3" fillId="25" borderId="1" xfId="0" applyNumberFormat="1" applyFont="1" applyFill="1" applyBorder="1" applyAlignment="1">
      <x:alignment wrapText="1"/>
    </x:xf>
    <x:xf numFmtId="0" fontId="3" fillId="25" borderId="1" xfId="0" applyNumberFormat="1" applyFont="1" applyFill="1" applyBorder="1" applyAlignment="1">
      <x:alignment horizontal="center" wrapText="1"/>
    </x:xf>
    <x:xf numFmtId="0" fontId="3" fillId="25" borderId="1" xfId="0" applyNumberFormat="1" applyFont="1" applyFill="1" applyBorder="1" applyAlignment="1">
      <x:alignment horizontal="center" vertical="center" wrapText="1"/>
    </x:xf>
    <x:xf numFmtId="0" fontId="0" fillId="26" borderId="0" xfId="0" applyNumberFormat="1" applyFont="1" applyFill="1" applyBorder="1"/>
    <x:xf numFmtId="0" fontId="0" fillId="26" borderId="1" xfId="0" applyNumberFormat="1" applyFont="1" applyFill="1" applyBorder="1"/>
    <x:xf numFmtId="200" fontId="0" fillId="26" borderId="0" xfId="0" applyNumberFormat="1" applyFont="1" applyFill="1" applyBorder="1"/>
    <x:xf numFmtId="200" fontId="0" fillId="26" borderId="1" xfId="0" applyNumberFormat="1" applyFont="1" applyFill="1" applyBorder="1"/>
    <x:xf numFmtId="0" fontId="4" fillId="26" borderId="0" xfId="0" applyNumberFormat="1" applyFont="1" applyFill="1" applyBorder="1"/>
    <x:xf numFmtId="0" fontId="4" fillId="26" borderId="0" xfId="0" applyNumberFormat="1" applyFont="1" applyFill="1" applyBorder="1" applyAlignment="1">
      <x:alignment horizontal="center"/>
    </x:xf>
    <x:xf numFmtId="0" fontId="4" fillId="26" borderId="1" xfId="0" applyNumberFormat="1" applyFont="1" applyFill="1" applyBorder="1"/>
    <x:xf numFmtId="0" fontId="4" fillId="26" borderId="1" xfId="0" applyNumberFormat="1" applyFont="1" applyFill="1" applyBorder="1" applyAlignment="1">
      <x:alignment horizontal="center"/>
    </x:xf>
    <x:xf numFmtId="206" fontId="4" fillId="26" borderId="0" xfId="0" applyNumberFormat="1" applyFont="1" applyFill="1" applyBorder="1" applyAlignment="1">
      <x:alignment horizontal="center"/>
    </x:xf>
    <x:xf numFmtId="206" fontId="4" fillId="26" borderId="1" xfId="0" applyNumberFormat="1" applyFont="1" applyFill="1" applyBorder="1" applyAlignment="1">
      <x:alignment horizontal="center"/>
    </x:xf>
    <x:xf numFmtId="201" fontId="4" fillId="26" borderId="0" xfId="0" applyNumberFormat="1" applyFont="1" applyFill="1" applyBorder="1" applyAlignment="1">
      <x:alignment horizontal="center"/>
    </x:xf>
    <x:xf numFmtId="201" fontId="4" fillId="26" borderId="1" xfId="0" applyNumberFormat="1" applyFont="1" applyFill="1" applyBorder="1" applyAlignment="1">
      <x:alignment horizontal="center"/>
    </x:xf>
    <x:xf numFmtId="205" fontId="4" fillId="26" borderId="0" xfId="0" applyNumberFormat="1" applyFont="1" applyFill="1" applyBorder="1" applyAlignment="1">
      <x:alignment horizontal="center"/>
    </x:xf>
    <x:xf numFmtId="205" fontId="4" fillId="26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 applyAlignment="1">
      <x:alignment wrapText="1"/>
    </x:xf>
    <x:xf numFmtId="200" fontId="0" fillId="26" borderId="0" xfId="0" applyNumberFormat="1" applyFont="1" applyFill="1" applyBorder="1" applyAlignment="1">
      <x:alignment wrapText="1"/>
    </x:xf>
    <x:xf numFmtId="0" fontId="4" fillId="26" borderId="0" xfId="0" applyNumberFormat="1" applyFont="1" applyFill="1" applyBorder="1" applyAlignment="1">
      <x:alignment horizontal="center" wrapText="1"/>
    </x:xf>
    <x:xf numFmtId="206" fontId="4" fillId="26" borderId="0" xfId="0" applyNumberFormat="1" applyFont="1" applyFill="1" applyBorder="1" applyAlignment="1">
      <x:alignment horizontal="center" wrapText="1"/>
    </x:xf>
    <x:xf numFmtId="205" fontId="4" fillId="26" borderId="0" xfId="0" applyNumberFormat="1" applyFont="1" applyFill="1" applyBorder="1" applyAlignment="1">
      <x:alignment horizontal="center" wrapText="1"/>
    </x:xf>
    <x:xf numFmtId="201" fontId="4" fillId="26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26" borderId="1" xfId="0" applyNumberFormat="1" applyFont="1" applyFill="1" applyBorder="1" applyAlignment="1">
      <x:alignment wrapText="1"/>
    </x:xf>
    <x:xf numFmtId="200" fontId="0" fillId="26" borderId="1" xfId="0" applyNumberFormat="1" applyFont="1" applyFill="1" applyBorder="1" applyAlignment="1">
      <x:alignment wrapText="1"/>
    </x:xf>
    <x:xf numFmtId="0" fontId="4" fillId="26" borderId="1" xfId="0" applyNumberFormat="1" applyFont="1" applyFill="1" applyBorder="1" applyAlignment="1">
      <x:alignment horizontal="center" wrapText="1"/>
    </x:xf>
    <x:xf numFmtId="206" fontId="4" fillId="26" borderId="1" xfId="0" applyNumberFormat="1" applyFont="1" applyFill="1" applyBorder="1" applyAlignment="1">
      <x:alignment horizontal="center" wrapText="1"/>
    </x:xf>
    <x:xf numFmtId="205" fontId="4" fillId="26" borderId="1" xfId="0" applyNumberFormat="1" applyFont="1" applyFill="1" applyBorder="1" applyAlignment="1">
      <x:alignment horizontal="center" wrapText="1"/>
    </x:xf>
    <x:xf numFmtId="201" fontId="4" fillId="26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3" fillId="27" borderId="0" xfId="0" applyNumberFormat="1" applyFont="1" applyFill="1" applyBorder="1"/>
    <x:xf numFmtId="0" fontId="3" fillId="27" borderId="0" xfId="0" applyNumberFormat="1" applyFont="1" applyFill="1" applyBorder="1" applyAlignment="1">
      <x:alignment wrapText="1"/>
    </x:xf>
    <x:xf numFmtId="0" fontId="3" fillId="27" borderId="0" xfId="0" applyNumberFormat="1" applyFont="1" applyFill="1" applyBorder="1" applyAlignment="1">
      <x:alignment horizontal="center" wrapText="1"/>
    </x:xf>
    <x:xf numFmtId="0" fontId="3" fillId="27" borderId="0" xfId="0" applyNumberFormat="1" applyFont="1" applyFill="1" applyBorder="1" applyAlignment="1">
      <x:alignment horizontal="center" vertical="center" wrapText="1"/>
    </x:xf>
    <x:xf numFmtId="0" fontId="0" fillId="27" borderId="1" xfId="0" applyNumberFormat="1" applyFont="1" applyFill="1" applyBorder="1"/>
    <x:xf numFmtId="0" fontId="3" fillId="27" borderId="1" xfId="0" applyNumberFormat="1" applyFont="1" applyFill="1" applyBorder="1"/>
    <x:xf numFmtId="0" fontId="3" fillId="27" borderId="1" xfId="0" applyNumberFormat="1" applyFont="1" applyFill="1" applyBorder="1" applyAlignment="1">
      <x:alignment wrapText="1"/>
    </x:xf>
    <x:xf numFmtId="0" fontId="3" fillId="27" borderId="1" xfId="0" applyNumberFormat="1" applyFont="1" applyFill="1" applyBorder="1" applyAlignment="1">
      <x:alignment horizontal="center" wrapText="1"/>
    </x:xf>
    <x:xf numFmtId="0" fontId="3" fillId="27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1">
    <x:dxf>
      <x:font>
        <x:color rgb="FF991B1B"/>
      </x:font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FF7ED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fd0220c0e544f1" /><Relationship Type="http://schemas.openxmlformats.org/officeDocument/2006/relationships/theme" Target="/xl/theme/theme1.xml" Id="R89bc8c5a06a64809" /><Relationship Type="http://schemas.openxmlformats.org/officeDocument/2006/relationships/sharedStrings" Target="/xl/sharedStrings.xml" Id="R6204b106dbc64a16" /><Relationship Type="http://schemas.openxmlformats.org/officeDocument/2006/relationships/worksheet" Target="/xl/worksheets/sheet1.xml" Id="R24a2440733104bde" /><Relationship Type="http://schemas.openxmlformats.org/officeDocument/2006/relationships/worksheet" Target="/xl/worksheets/sheet2.xml" Id="R511642ab864a45dc" /><Relationship Type="http://schemas.openxmlformats.org/officeDocument/2006/relationships/worksheet" Target="/xl/worksheets/sheet3.xml" Id="R3c63f1ef2ae54308" /><Relationship Type="http://schemas.openxmlformats.org/officeDocument/2006/relationships/worksheet" Target="/xl/worksheets/sheet4.xml" Id="R397107d82c1a479a" /><Relationship Type="http://schemas.openxmlformats.org/officeDocument/2006/relationships/worksheet" Target="/xl/worksheets/sheet5.xml" Id="R95944f946320460e" /><Relationship Type="http://schemas.openxmlformats.org/officeDocument/2006/relationships/worksheet" Target="/xl/worksheets/sheet6.xml" Id="Ra18c3af85dfe44f4" /><Relationship Type="http://schemas.openxmlformats.org/officeDocument/2006/relationships/worksheet" Target="/xl/worksheets/sheet7.xml" Id="R5e4665095ce443b8" /><Relationship Type="http://schemas.openxmlformats.org/officeDocument/2006/relationships/worksheet" Target="/xl/worksheets/sheet8.xml" Id="R65f790184718432a" /><Relationship Type="http://schemas.openxmlformats.org/officeDocument/2006/relationships/worksheet" Target="/xl/worksheets/sheet9.xml" Id="R13aee106d99a47e3" /><Relationship Type="http://schemas.openxmlformats.org/officeDocument/2006/relationships/worksheet" Target="/xl/worksheets/sheet10.xml" Id="R5c61acdca4cf4294" /><Relationship Type="http://schemas.openxmlformats.org/officeDocument/2006/relationships/worksheet" Target="/xl/worksheets/sheet11.xml" Id="R19c0049a7ac943cb" /><Relationship Type="http://schemas.openxmlformats.org/officeDocument/2006/relationships/worksheet" Target="/xl/worksheets/sheet12.xml" Id="R3a349caa02a0403c" /><Relationship Type="http://schemas.openxmlformats.org/officeDocument/2006/relationships/worksheet" Target="/xl/worksheets/sheet13.xml" Id="Rd302a8bfb8894714" /><Relationship Type="http://schemas.openxmlformats.org/officeDocument/2006/relationships/worksheet" Target="/xl/worksheets/sheet14.xml" Id="R259b0db408b04d54" /><Relationship Type="http://schemas.openxmlformats.org/officeDocument/2006/relationships/worksheet" Target="/xl/worksheets/sheet15.xml" Id="R771e22b58d154430" /><Relationship Type="http://schemas.openxmlformats.org/officeDocument/2006/relationships/worksheet" Target="/xl/worksheets/sheet16.xml" Id="Rb56dcc6a18474f58" /><Relationship Type="http://schemas.openxmlformats.org/officeDocument/2006/relationships/worksheet" Target="/xl/worksheets/sheet17.xml" Id="Reeeb718e0ed5409f" /><Relationship Type="http://schemas.openxmlformats.org/officeDocument/2006/relationships/worksheet" Target="/xl/worksheets/sheet18.xml" Id="R3752c5ef56394d90" /><Relationship Type="http://schemas.openxmlformats.org/officeDocument/2006/relationships/worksheet" Target="/xl/worksheets/sheet19.xml" Id="R423642b0b5604e5d" /><Relationship Type="http://schemas.openxmlformats.org/officeDocument/2006/relationships/worksheet" Target="/xl/worksheets/sheet20.xml" Id="R57684e22b208478e" /><Relationship Type="http://schemas.openxmlformats.org/officeDocument/2006/relationships/worksheet" Target="/xl/worksheets/sheet21.xml" Id="R51cb290d4de64c59" /><Relationship Type="http://schemas.openxmlformats.org/officeDocument/2006/relationships/worksheet" Target="/xl/worksheets/sheet22.xml" Id="R5c66e967281e4aa5" /><Relationship Type="http://schemas.openxmlformats.org/officeDocument/2006/relationships/worksheet" Target="/xl/worksheets/sheet23.xml" Id="R1c29b4a303f54791" /><Relationship Type="http://schemas.openxmlformats.org/officeDocument/2006/relationships/worksheet" Target="/xl/worksheets/sheet24.xml" Id="R438d7cfe6c614904" /><Relationship Type="http://schemas.openxmlformats.org/officeDocument/2006/relationships/worksheet" Target="/xl/worksheets/sheet25.xml" Id="R2f8398d18099433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cc215c0398948ca" /><Relationship Type="http://schemas.openxmlformats.org/officeDocument/2006/relationships/chart" Target="/xl/drawings/charts/chart2.xml" Id="R2143a34829d2468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Daily Production vs Labor Hours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ProductionQty</c:v>
          </c:tx>
          <c:cat>
            <c:strRef>
              <c:f>'40_Dashboard'!$H$12:$H$25</c:f>
              <c:strCache>
                <c:ptCount val="0"/>
              </c:strCache>
            </c:strRef>
          </c:cat>
          <c:val>
            <c:numRef>
              <c:f>'40_Dashboard'!$I$12:$I$25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LaborHours</c:v>
          </c:tx>
          <c:cat>
            <c:strRef>
              <c:f>'40_Dashboard'!$H$12:$H$25</c:f>
              <c:strCache>
                <c:ptCount val="0"/>
              </c:strCache>
            </c:strRef>
          </c:cat>
          <c:val>
            <c:numRef>
              <c:f>'40_Dashboard'!$J$12:$J$25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Open Issues by Severity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Open Count</c:v>
          </c:tx>
          <c:cat>
            <c:strRef>
              <c:f>'40_Dashboard'!$H$29:$H$32</c:f>
              <c:strCache>
                <c:ptCount val="0"/>
              </c:strCache>
            </c:strRef>
          </c:cat>
          <c:val>
            <c:numRef>
              <c:f>'40_Dashboard'!$I$29:$I$32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c215c0398948ca"/>
        </a:graphicData>
      </a:graphic>
    </xdr:graphicFrame>
    <xdr:clientData/>
  </xdr:twoCellAnchor>
  <xdr:twoCellAnchor>
    <xdr:from>
      <xdr:col>7</xdr:col>
      <xdr:colOff>0</xdr:colOff>
      <xdr:row>33</xdr:row>
      <xdr:rowOff>0</xdr:rowOff>
    </xdr:from>
    <xdr:to>
      <xdr:col>14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43a34829d2468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ettingsTable" displayName="SettingsTable" ref="A1:C31" headerRowCount="1">
  <x:tableColumns count="3">
    <x:tableColumn id="1" name="Setting"/>
    <x:tableColumn id="2" name="Value"/>
    <x:tableColumn id="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ListsTable" displayName="ListsTable" ref="A1:C121" headerRowCount="1">
  <x:tableColumns count="3">
    <x:tableColumn id="1" name="ListName"/>
    <x:tableColumn id="2" name="Value"/>
    <x:tableColumn id="3" name="Description"/>
  </x:tableColumns>
  <x:tableStyleInfo name="TableStyleMedium2" showRowStripes="1"/>
</x:table>
</file>

<file path=xl/tables/table3.xml><?xml version="1.0" encoding="utf-8"?>
<x:table xmlns:x="http://schemas.openxmlformats.org/spreadsheetml/2006/main" id="3" name="FolderMapTable" displayName="FolderMapTable" ref="A1:C31" headerRowCount="1">
  <x:tableColumns count="3">
    <x:tableColumn id="1" name="Folder"/>
    <x:tableColumn id="2" name="Purpose"/>
    <x:tableColumn id="3" name="Automation Use"/>
  </x:tableColumns>
  <x:tableStyleInfo name="TableStyleMedium2" showRowStripes="1"/>
</x:table>
</file>

<file path=xl/tables/table4.xml><?xml version="1.0" encoding="utf-8"?>
<x:table xmlns:x="http://schemas.openxmlformats.org/spreadsheetml/2006/main" id="4" name="ProjectsTable" displayName="ProjectsTable" ref="A1:L81" headerRowCount="1">
  <x:tableColumns count="12">
    <x:tableColumn id="1" name="ProjectID"/>
    <x:tableColumn id="2" name="CustomerID"/>
    <x:tableColumn id="3" name="ProjectName"/>
    <x:tableColumn id="4" name="Market"/>
    <x:tableColumn id="5" name="JobType"/>
    <x:tableColumn id="6" name="Status"/>
    <x:tableColumn id="7" name="StartDate"/>
    <x:tableColumn id="8" name="TargetCloseoutDate"/>
    <x:tableColumn id="9" name="ProjectManager"/>
    <x:tableColumn id="10" name="CustomerPM"/>
    <x:tableColumn id="11" name="BillingModel"/>
    <x:tableColumn id="12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EmployeesTable" displayName="EmployeesTable" ref="A1:K151" headerRowCount="1">
  <x:tableColumns count="11">
    <x:tableColumn id="1" name="EmployeeID"/>
    <x:tableColumn id="2" name="FullName"/>
    <x:tableColumn id="3" name="Company"/>
    <x:tableColumn id="4" name="Role"/>
    <x:tableColumn id="5" name="CrewID"/>
    <x:tableColumn id="6" name="Status"/>
    <x:tableColumn id="7" name="Phone"/>
    <x:tableColumn id="8" name="HourlyRate"/>
    <x:tableColumn id="9" name="Certifications"/>
    <x:tableColumn id="10" name="CertExpiry"/>
    <x:tableColumn id="11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CrewsTable" displayName="CrewsTable" ref="A1:H81" headerRowCount="1">
  <x:tableColumns count="8">
    <x:tableColumn id="1" name="CrewID"/>
    <x:tableColumn id="2" name="CrewName"/>
    <x:tableColumn id="3" name="DefaultForemanID"/>
    <x:tableColumn id="4" name="CrewType"/>
    <x:tableColumn id="5" name="HomeMarket"/>
    <x:tableColumn id="6" name="Status"/>
    <x:tableColumn id="7" name="PrimaryEquipmentID"/>
    <x:tableColumn id="8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EquipmentTable" displayName="EquipmentTable" ref="A1:J101" headerRowCount="1">
  <x:tableColumns count="10">
    <x:tableColumn id="1" name="EquipmentID"/>
    <x:tableColumn id="2" name="Name"/>
    <x:tableColumn id="3" name="Type"/>
    <x:tableColumn id="4" name="Status"/>
    <x:tableColumn id="5" name="AssignedCrewID"/>
    <x:tableColumn id="6" name="PlateVIN"/>
    <x:tableColumn id="7" name="HourlyCost"/>
    <x:tableColumn id="8" name="MeterType"/>
    <x:tableColumn id="9" name="NextServiceDue"/>
    <x:tableColumn id="10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RateCardsTable" displayName="RateCardsTable" ref="A1:G101" headerRowCount="1">
  <x:tableColumns count="7">
    <x:tableColumn id="1" name="ProductionCode"/>
    <x:tableColumn id="2" name="WorkType"/>
    <x:tableColumn id="3" name="Unit"/>
    <x:tableColumn id="4" name="UnitPrice"/>
    <x:tableColumn id="5" name="CostType"/>
    <x:tableColumn id="6" name="Active"/>
    <x:tableColumn id="7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LocateTicketsTable" displayName="LocateTicketsTable" ref="A1:J151" headerRowCount="1">
  <x:tableColumns count="10">
    <x:tableColumn id="1" name="TicketID"/>
    <x:tableColumn id="2" name="ProjectID"/>
    <x:tableColumn id="3" name="JobID"/>
    <x:tableColumn id="4" name="RequestDate"/>
    <x:tableColumn id="5" name="ExpirationDate"/>
    <x:tableColumn id="6" name="Status"/>
    <x:tableColumn id="7" name="Utility"/>
    <x:tableColumn id="8" name="LocateMapLink"/>
    <x:tableColumn id="9" name="ClearToWork"/>
    <x:tableColumn id="10" name="ValidationIssues"/>
  </x:tableColumns>
  <x:tableStyleInfo name="TableStyleMedium2" showRowStripes="1"/>
</x:table>
</file>

<file path=xl/tables/table10.xml><?xml version="1.0" encoding="utf-8"?>
<x:table xmlns:x="http://schemas.openxmlformats.org/spreadsheetml/2006/main" id="10" name="RouterLogTable" displayName="RouterLogTable" ref="A1:K201" headerRowCount="1">
  <x:tableColumns count="11">
    <x:tableColumn id="1" name="RouterID"/>
    <x:tableColumn id="2" name="ReceivedAt"/>
    <x:tableColumn id="3" name="SourceFileName"/>
    <x:tableColumn id="4" name="DetectedType"/>
    <x:tableColumn id="5" name="ProjectID"/>
    <x:tableColumn id="6" name="WorkDate"/>
    <x:tableColumn id="7" name="Owner"/>
    <x:tableColumn id="8" name="RouteDestination"/>
    <x:tableColumn id="9" name="Status"/>
    <x:tableColumn id="10" name="LinkedRecordID"/>
    <x:tableColumn id="11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IntakeDailyTable" displayName="IntakeDailyTable" ref="A1:AB251" headerRowCount="1">
  <x:tableColumns count="28">
    <x:tableColumn id="1" name="SubmissionID"/>
    <x:tableColumn id="2" name="SubmittedAt"/>
    <x:tableColumn id="3" name="WorkDate"/>
    <x:tableColumn id="4" name="ProjectID"/>
    <x:tableColumn id="5" name="JobID"/>
    <x:tableColumn id="6" name="CrewID"/>
    <x:tableColumn id="7" name="Foreman"/>
    <x:tableColumn id="8" name="Shift"/>
    <x:tableColumn id="9" name="Weather"/>
    <x:tableColumn id="10" name="GPS_Start"/>
    <x:tableColumn id="11" name="GPS_End"/>
    <x:tableColumn id="12" name="StartTime"/>
    <x:tableColumn id="13" name="EndTime"/>
    <x:tableColumn id="14" name="WorkHours"/>
    <x:tableColumn id="15" name="LaborHours"/>
    <x:tableColumn id="16" name="ProductionQty"/>
    <x:tableColumn id="17" name="Unit"/>
    <x:tableColumn id="18" name="PhotosRequired"/>
    <x:tableColumn id="19" name="PhotosUploaded"/>
    <x:tableColumn id="20" name="RedlineRequired"/>
    <x:tableColumn id="21" name="RedlineUploaded"/>
    <x:tableColumn id="22" name="SafetyIssue"/>
    <x:tableColumn id="23" name="CustomerSignoff"/>
    <x:tableColumn id="24" name="OfficeStatus"/>
    <x:tableColumn id="25" name="ProofScore"/>
    <x:tableColumn id="26" name="ValidationIssues"/>
    <x:tableColumn id="27" name="ReadyForRollup"/>
    <x:tableColumn id="28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ProductionLogTable" displayName="ProductionLogTable" ref="A1:N301" headerRowCount="1">
  <x:tableColumns count="14">
    <x:tableColumn id="1" name="EntryID"/>
    <x:tableColumn id="2" name="WorkDate"/>
    <x:tableColumn id="3" name="ProjectID"/>
    <x:tableColumn id="4" name="JobID"/>
    <x:tableColumn id="5" name="CrewID"/>
    <x:tableColumn id="6" name="ProductionCode"/>
    <x:tableColumn id="7" name="Description"/>
    <x:tableColumn id="8" name="Quantity"/>
    <x:tableColumn id="9" name="Unit"/>
    <x:tableColumn id="10" name="Billable"/>
    <x:tableColumn id="11" name="SourceSubmissionID"/>
    <x:tableColumn id="12" name="UnitRate"/>
    <x:tableColumn id="13" name="BillableRevenue"/>
    <x:tableColumn id="14" name="ValidationIssues"/>
  </x:tableColumns>
  <x:tableStyleInfo name="TableStyleMedium2" showRowStripes="1"/>
</x:table>
</file>

<file path=xl/tables/table13.xml><?xml version="1.0" encoding="utf-8"?>
<x:table xmlns:x="http://schemas.openxmlformats.org/spreadsheetml/2006/main" id="13" name="LaborTimeTable" displayName="LaborTimeTable" ref="A1:N301" headerRowCount="1">
  <x:tableColumns count="14">
    <x:tableColumn id="1" name="TimeID"/>
    <x:tableColumn id="2" name="WorkDate"/>
    <x:tableColumn id="3" name="ProjectID"/>
    <x:tableColumn id="4" name="JobID"/>
    <x:tableColumn id="5" name="EmployeeID"/>
    <x:tableColumn id="6" name="CrewID"/>
    <x:tableColumn id="7" name="Role"/>
    <x:tableColumn id="8" name="RegularHours"/>
    <x:tableColumn id="9" name="OvertimeHours"/>
    <x:tableColumn id="10" name="TotalHours"/>
    <x:tableColumn id="11" name="PayRate"/>
    <x:tableColumn id="12" name="LaborCost"/>
    <x:tableColumn id="13" name="SourceSubmissionID"/>
    <x:tableColumn id="14" name="ValidationIssues"/>
  </x:tableColumns>
  <x:tableStyleInfo name="TableStyleMedium2" showRowStripes="1"/>
</x:table>
</file>

<file path=xl/tables/table14.xml><?xml version="1.0" encoding="utf-8"?>
<x:table xmlns:x="http://schemas.openxmlformats.org/spreadsheetml/2006/main" id="14" name="MaterialsLogTable" displayName="MaterialsLogTable" ref="A1:L251" headerRowCount="1">
  <x:tableColumns count="12">
    <x:tableColumn id="1" name="MaterialID"/>
    <x:tableColumn id="2" name="WorkDate"/>
    <x:tableColumn id="3" name="ProjectID"/>
    <x:tableColumn id="4" name="JobID"/>
    <x:tableColumn id="5" name="MaterialName"/>
    <x:tableColumn id="6" name="Quantity"/>
    <x:tableColumn id="7" name="Unit"/>
    <x:tableColumn id="8" name="UnitCost"/>
    <x:tableColumn id="9" name="TotalCost"/>
    <x:tableColumn id="10" name="Billable"/>
    <x:tableColumn id="11" name="SourceSubmissionID"/>
    <x:tableColumn id="12" name="ValidationIssues"/>
  </x:tableColumns>
  <x:tableStyleInfo name="TableStyleMedium2" showRowStripes="1"/>
</x:table>
</file>

<file path=xl/tables/table15.xml><?xml version="1.0" encoding="utf-8"?>
<x:table xmlns:x="http://schemas.openxmlformats.org/spreadsheetml/2006/main" id="15" name="EquipmentLogTable" displayName="EquipmentLogTable" ref="A1:O251" headerRowCount="1">
  <x:tableColumns count="15">
    <x:tableColumn id="1" name="EquipLogID"/>
    <x:tableColumn id="2" name="WorkDate"/>
    <x:tableColumn id="3" name="ProjectID"/>
    <x:tableColumn id="4" name="JobID"/>
    <x:tableColumn id="5" name="EquipmentID"/>
    <x:tableColumn id="6" name="OperatorID"/>
    <x:tableColumn id="7" name="StartMeter"/>
    <x:tableColumn id="8" name="EndMeter"/>
    <x:tableColumn id="9" name="MeterHours"/>
    <x:tableColumn id="10" name="IdleHours"/>
    <x:tableColumn id="11" name="FuelGallons"/>
    <x:tableColumn id="12" name="HourlyCost"/>
    <x:tableColumn id="13" name="EquipmentCost"/>
    <x:tableColumn id="14" name="SourceSubmissionID"/>
    <x:tableColumn id="15" name="ValidationIssues"/>
  </x:tableColumns>
  <x:tableStyleInfo name="TableStyleMedium2" showRowStripes="1"/>
</x:table>
</file>

<file path=xl/tables/table16.xml><?xml version="1.0" encoding="utf-8"?>
<x:table xmlns:x="http://schemas.openxmlformats.org/spreadsheetml/2006/main" id="16" name="SafetyLogTable" displayName="SafetyLogTable" ref="A1:M201" headerRowCount="1">
  <x:tableColumns count="13">
    <x:tableColumn id="1" name="SafetyID"/>
    <x:tableColumn id="2" name="WorkDate"/>
    <x:tableColumn id="3" name="ProjectID"/>
    <x:tableColumn id="4" name="JobID"/>
    <x:tableColumn id="5" name="CrewID"/>
    <x:tableColumn id="6" name="Type"/>
    <x:tableColumn id="7" name="Severity"/>
    <x:tableColumn id="8" name="Description"/>
    <x:tableColumn id="9" name="CorrectiveAction"/>
    <x:tableColumn id="10" name="ReportedBy"/>
    <x:tableColumn id="11" name="Status"/>
    <x:tableColumn id="12" name="SourceSubmissionID"/>
    <x:tableColumn id="13" name="ValidationIssues"/>
  </x:tableColumns>
  <x:tableStyleInfo name="TableStyleMedium2" showRowStripes="1"/>
</x:table>
</file>

<file path=xl/tables/table17.xml><?xml version="1.0" encoding="utf-8"?>
<x:table xmlns:x="http://schemas.openxmlformats.org/spreadsheetml/2006/main" id="17" name="ProofAssetsTable" displayName="ProofAssetsTable" ref="A1:M251" headerRowCount="1">
  <x:tableColumns count="13">
    <x:tableColumn id="1" name="AssetID"/>
    <x:tableColumn id="2" name="WorkDate"/>
    <x:tableColumn id="3" name="ProjectID"/>
    <x:tableColumn id="4" name="JobID"/>
    <x:tableColumn id="5" name="SourceSubmissionID"/>
    <x:tableColumn id="6" name="AssetType"/>
    <x:tableColumn id="7" name="Required"/>
    <x:tableColumn id="8" name="Uploaded"/>
    <x:tableColumn id="9" name="GPSAttached"/>
    <x:tableColumn id="10" name="TimestampAttached"/>
    <x:tableColumn id="11" name="FileLink"/>
    <x:tableColumn id="12" name="ProofStatus"/>
    <x:tableColumn id="13" name="ValidationIssues"/>
  </x:tableColumns>
  <x:tableStyleInfo name="TableStyleMedium2" showRowStripes="1"/>
</x:table>
</file>

<file path=xl/tables/table18.xml><?xml version="1.0" encoding="utf-8"?>
<x:table xmlns:x="http://schemas.openxmlformats.org/spreadsheetml/2006/main" id="18" name="CloseoutBillingTable" displayName="CloseoutBillingTable" ref="A1:O201" headerRowCount="1">
  <x:tableColumns count="15">
    <x:tableColumn id="1" name="CloseoutID"/>
    <x:tableColumn id="2" name="WorkDate"/>
    <x:tableColumn id="3" name="ProjectID"/>
    <x:tableColumn id="4" name="JobID"/>
    <x:tableColumn id="5" name="CustomerID"/>
    <x:tableColumn id="6" name="ProductionRevenue"/>
    <x:tableColumn id="7" name="MaterialBillable"/>
    <x:tableColumn id="8" name="LaborCost"/>
    <x:tableColumn id="9" name="EquipmentCost"/>
    <x:tableColumn id="10" name="BackupComplete"/>
    <x:tableColumn id="11" name="RedlineComplete"/>
    <x:tableColumn id="12" name="CustomerApproved"/>
    <x:tableColumn id="13" name="InvoiceStatus"/>
    <x:tableColumn id="14" name="MarginEstimate"/>
    <x:tableColumn id="15" name="ValidationIssues"/>
  </x:tableColumns>
  <x:tableStyleInfo name="TableStyleMedium2" showRowStripes="1"/>
</x:table>
</file>

<file path=xl/tables/table19.xml><?xml version="1.0" encoding="utf-8"?>
<x:table xmlns:x="http://schemas.openxmlformats.org/spreadsheetml/2006/main" id="19" name="ProofQueueTable" displayName="ProofQueueTable" ref="A1:M251" headerRowCount="1">
  <x:tableColumns count="13">
    <x:tableColumn id="1" name="IssueID"/>
    <x:tableColumn id="2" name="WorkDate"/>
    <x:tableColumn id="3" name="ProjectID"/>
    <x:tableColumn id="4" name="SourceSheet"/>
    <x:tableColumn id="5" name="SourceID"/>
    <x:tableColumn id="6" name="IssueType"/>
    <x:tableColumn id="7" name="Severity"/>
    <x:tableColumn id="8" name="Status"/>
    <x:tableColumn id="9" name="Owner"/>
    <x:tableColumn id="10" name="DueDate"/>
    <x:tableColumn id="11" name="DaysOpen"/>
    <x:tableColumn id="12" name="Notes"/>
    <x:tableColumn id="13" name="Resolution"/>
  </x:tableColumns>
  <x:tableStyleInfo name="TableStyleMedium2" showRowStripes="1"/>
</x:table>
</file>

<file path=xl/tables/table20.xml><?xml version="1.0" encoding="utf-8"?>
<x:table xmlns:x="http://schemas.openxmlformats.org/spreadsheetml/2006/main" id="20" name="DailyRollupTable" displayName="DailyRollupTable" ref="A1:N121" headerRowCount="1">
  <x:tableColumns count="14">
    <x:tableColumn id="1" name="WorkDate"/>
    <x:tableColumn id="2" name="ProjectID"/>
    <x:tableColumn id="3" name="Submissions"/>
    <x:tableColumn id="4" name="ReadySubmissions"/>
    <x:tableColumn id="5" name="OpenProofIssues"/>
    <x:tableColumn id="6" name="ProductionQty"/>
    <x:tableColumn id="7" name="LaborHours"/>
    <x:tableColumn id="8" name="MaterialCost"/>
    <x:tableColumn id="9" name="EquipmentHours"/>
    <x:tableColumn id="10" name="EquipmentCost"/>
    <x:tableColumn id="11" name="BillableRevenue"/>
    <x:tableColumn id="12" name="LaborCost"/>
    <x:tableColumn id="13" name="MarginEstimate"/>
    <x:tableColumn id="14" name="ProofReadyRate"/>
  </x:tableColumns>
  <x:tableStyleInfo name="TableStyleMedium2" showRowStripes="1"/>
</x:table>
</file>

<file path=xl/tables/table21.xml><?xml version="1.0" encoding="utf-8"?>
<x:table xmlns:x="http://schemas.openxmlformats.org/spreadsheetml/2006/main" id="21" name="WeeklyRollupTable" displayName="WeeklyRollupTable" ref="A1:L81" headerRowCount="1">
  <x:tableColumns count="12">
    <x:tableColumn id="1" name="WeekStart"/>
    <x:tableColumn id="2" name="ProjectID"/>
    <x:tableColumn id="3" name="Submissions"/>
    <x:tableColumn id="4" name="OpenProofIssues"/>
    <x:tableColumn id="5" name="ProductionQty"/>
    <x:tableColumn id="6" name="LaborHours"/>
    <x:tableColumn id="7" name="MaterialCost"/>
    <x:tableColumn id="8" name="EquipmentCost"/>
    <x:tableColumn id="9" name="BillableRevenue"/>
    <x:tableColumn id="10" name="LaborCost"/>
    <x:tableColumn id="11" name="MarginEstimate"/>
    <x:tableColumn id="12" name="ProofReadyRate"/>
  </x:tableColumns>
  <x:tableStyleInfo name="TableStyleMedium2" showRowStripes="1"/>
</x:table>
</file>

<file path=xl/tables/table22.xml><?xml version="1.0" encoding="utf-8"?>
<x:table xmlns:x="http://schemas.openxmlformats.org/spreadsheetml/2006/main" id="22" name="MonthlyRollupTable" displayName="MonthlyRollupTable" ref="A1:L61" headerRowCount="1">
  <x:tableColumns count="12">
    <x:tableColumn id="1" name="MonthStart"/>
    <x:tableColumn id="2" name="ProjectID"/>
    <x:tableColumn id="3" name="Submissions"/>
    <x:tableColumn id="4" name="OpenProofIssues"/>
    <x:tableColumn id="5" name="ProductionQty"/>
    <x:tableColumn id="6" name="LaborHours"/>
    <x:tableColumn id="7" name="MaterialCost"/>
    <x:tableColumn id="8" name="EquipmentCost"/>
    <x:tableColumn id="9" name="BillableRevenue"/>
    <x:tableColumn id="10" name="LaborCost"/>
    <x:tableColumn id="11" name="MarginEstimate"/>
    <x:tableColumn id="12" name="ProofReadyRate"/>
  </x:tableColumns>
  <x:tableStyleInfo name="TableStyleMedium2" showRowStripes="1"/>
</x:table>
</file>

<file path=xl/tables/table23.xml><?xml version="1.0" encoding="utf-8"?>
<x:table xmlns:x="http://schemas.openxmlformats.org/spreadsheetml/2006/main" id="23" name="SourcesTable" displayName="SourcesTable" ref="A1:D31" headerRowCount="1">
  <x:tableColumns count="4">
    <x:tableColumn id="1" name="SourceName"/>
    <x:tableColumn id="2" name="URL"/>
    <x:tableColumn id="3" name="Why It Matters"/>
    <x:tableColumn id="4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a230cc92714b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98de78312646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d0d6a92ca84b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ab31eeb1f948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b302d0670243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5625d02716d4d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ac3b4d11659496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54da0addfb04eb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7e6bfaa1a514d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6607bf942ad407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5d14ab6acb2457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25e331031fcb4d5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2247aee26c6c41b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b35ed2d8a24b43d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4b1880d040ce44d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9535e5143c3e46f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a3d4b0efb001457e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0f748bedc0904ae6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c0cc34c9f67e47ef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72327f24c42f40ad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3a2f9629a9d04f3f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ae6ec2a8fa8c4b0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1.xml" Id="R2300b3f010dd4269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3.xml" Id="R9782a28585ac4aa9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 ht="28" customHeight="1">
      <x:c r="A1" s="3" t="str">
        <x:v>Crewproof / CrewSheet Starter System</x:v>
      </x:c>
      <x:c r="B1" s="3" t="str"/>
    </x:row>
    <x:row r="2">
      <x:c r="A2" s="9" t="str">
        <x:v>Purpose</x:v>
      </x:c>
      <x:c r="B2" s="15" t="str">
        <x:v>Proof submitted field data, flag exceptions, and assemble daily, weekly, and monthly numbers automatically.</x:v>
      </x:c>
    </x:row>
    <x:row r="3">
      <x:c r="A3" s="9" t="str">
        <x:v>Best use</x:v>
      </x:c>
      <x:c r="B3" s="15" t="str">
        <x:v>Use this file as the first spreadsheet operating layer before moving workflows into the Crewproof.app database.</x:v>
      </x:c>
    </x:row>
    <x:row r="4">
      <x:c r="A4" s="9" t="str">
        <x:v>Core idea</x:v>
      </x:c>
      <x:c r="B4" s="15" t="str">
        <x:v>Foremen and/or imports feed the intake and log sheets. Proof formulas flag missing items. Rollup tabs generate numbers. Dashboard summarizes the office view.</x:v>
      </x:c>
    </x:row>
    <x:row r="5">
      <x:c r="A5" s="9" t="str">
        <x:v>Phase 1</x:v>
      </x:c>
      <x:c r="B5" s="15" t="str">
        <x:v>Spreadsheet database, blank templates, data validation, proof queue, and rollups.</x:v>
      </x:c>
    </x:row>
    <x:row r="6">
      <x:c r="A6" s="9" t="str">
        <x:v>Phase 2</x:v>
      </x:c>
      <x:c r="B6" s="15" t="str">
        <x:v>Google Apps Script routing, automated import cleanup, PDF report generation, email alerts, and archive folders.</x:v>
      </x:c>
    </x:row>
    <x:row r="7">
      <x:c r="A7" s="9" t="str">
        <x:v>Phase 3</x:v>
      </x:c>
      <x:c r="B7" s="15" t="str">
        <x:v>Crewproof.app backend owns IDs, permissions, audit history, workflows, billing, and customer-facing proof packages.</x:v>
      </x:c>
    </x:row>
    <x:row r="8">
      <x:c r="A8" s="9" t="str">
        <x:v>Main workflow</x:v>
      </x:c>
      <x:c r="B8" s="15" t="str">
        <x:v>Router_Log → Intake_Daily → Production/Labor/Materials/Equipment/Safety/Proof Assets → Proof Queue → Rollups → Dashboard → Closeout/Billing.</x:v>
      </x:c>
    </x:row>
    <x:row r="9">
      <x:c r="A9" s="9" t="str">
        <x:v>Rules</x:v>
      </x:c>
      <x:c r="B9" s="15" t="str">
        <x:v>Use IDs instead of names where possible. Do not delete columns. Add rows below the tables. Keep blank templates clean for field-copy use.</x:v>
      </x:c>
    </x:row>
    <x:row r="10">
      <x:c r="A10" s="9" t="str">
        <x:v>Google Sheets note</x:v>
      </x:c>
      <x:c r="B10" s="15" t="str">
        <x:v>Import this .xlsx into Google Sheets, then connect Apps Script to watch new rows and write proof issues into the Proof Queue.</x:v>
      </x:c>
    </x:row>
    <x:row r="11">
      <x:c r="A11" s="9" t="str">
        <x:v>Starting point</x:v>
      </x:c>
      <x:c r="B11" s="15" t="str">
        <x:v>Edit 01_Settings, 02_Lists, 04_Projects, 05_Employees, 06_Crews, 07_Equipment, and 08_Rate_Cards first.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70" hidden="0" customWidth="1"/>
  </x:cols>
  <x:sheetData>
    <x:row r="1" ht="30" customHeight="1">
      <x:c r="A1" s="22" t="str">
        <x:v>Setting</x:v>
      </x:c>
      <x:c r="B1" s="22" t="str">
        <x:v>Value</x:v>
      </x:c>
      <x:c r="C1" s="22" t="str">
        <x:v>Notes</x:v>
      </x:c>
    </x:row>
    <x:row r="2" ht="20" customHeight="1">
      <x:c r="A2" s="15" t="str">
        <x:v>CompanyName</x:v>
      </x:c>
      <x:c r="B2" s="28" t="str">
        <x:v>Crewproof Demo Company</x:v>
      </x:c>
      <x:c r="C2" s="15" t="str">
        <x:v>Replace with customer/company name</x:v>
      </x:c>
    </x:row>
    <x:row r="3" ht="20" customHeight="1">
      <x:c r="A3" s="15" t="str">
        <x:v>DefaultTimezone</x:v>
      </x:c>
      <x:c r="B3" s="28" t="str">
        <x:v>America/New_York</x:v>
      </x:c>
      <x:c r="C3" s="15" t="str">
        <x:v>Used for timestamp normalization</x:v>
      </x:c>
    </x:row>
    <x:row r="4" ht="20" customHeight="1">
      <x:c r="A4" s="15" t="str">
        <x:v>SelectedProjectID</x:v>
      </x:c>
      <x:c r="B4" s="28" t="str">
        <x:v>PRJ-1001</x:v>
      </x:c>
      <x:c r="C4" s="15" t="str">
        <x:v>Dashboard filter</x:v>
      </x:c>
    </x:row>
    <x:row r="5" ht="20" customHeight="1">
      <x:c r="A5" s="15" t="str">
        <x:v>PeriodStart</x:v>
      </x:c>
      <x:c r="B5" s="28" t="n">
        <x:v>46202</x:v>
      </x:c>
      <x:c r="C5" s="15" t="str">
        <x:v>Dashboard start date</x:v>
      </x:c>
    </x:row>
    <x:row r="6" ht="20" customHeight="1">
      <x:c r="A6" s="15" t="str">
        <x:v>PeriodEnd</x:v>
      </x:c>
      <x:c r="B6" s="28" t="n">
        <x:v>46205</x:v>
      </x:c>
      <x:c r="C6" s="15" t="str">
        <x:v>Dashboard end date</x:v>
      </x:c>
    </x:row>
    <x:row r="7" ht="20" customHeight="1">
      <x:c r="A7" s="15" t="str">
        <x:v>DefaultOfficeOwner</x:v>
      </x:c>
      <x:c r="B7" s="28" t="str">
        <x:v>Office Admin</x:v>
      </x:c>
      <x:c r="C7" s="15" t="str">
        <x:v>Proof Queue default owner</x:v>
      </x:c>
    </x:row>
    <x:row r="8" ht="20" customHeight="1">
      <x:c r="A8" s="15" t="str">
        <x:v>PhotoProofRequiredDefault</x:v>
      </x:c>
      <x:c r="B8" s="28" t="str">
        <x:v>Yes</x:v>
      </x:c>
      <x:c r="C8" s="15" t="str">
        <x:v>Default proof rule</x:v>
      </x:c>
    </x:row>
    <x:row r="9" ht="20" customHeight="1">
      <x:c r="A9" s="15" t="str">
        <x:v>RedlineRequiredDefault</x:v>
      </x:c>
      <x:c r="B9" s="28" t="str">
        <x:v>Yes</x:v>
      </x:c>
      <x:c r="C9" s="15" t="str">
        <x:v>Default closeout rule</x:v>
      </x:c>
    </x:row>
    <x:row r="10" ht="20" customHeight="1">
      <x:c r="A10" s="15" t="str">
        <x:v>CustomerSignoffRequiredDefault</x:v>
      </x:c>
      <x:c r="B10" s="28" t="str">
        <x:v>Yes</x:v>
      </x:c>
      <x:c r="C10" s="15" t="str">
        <x:v>Default billing rule</x:v>
      </x:c>
    </x:row>
    <x:row r="11" ht="20" customHeight="1">
      <x:c r="A11" s="15" t="str">
        <x:v>ArchiveRoot</x:v>
      </x:c>
      <x:c r="B11" s="28" t="str">
        <x:v>09_ARCHIVE</x:v>
      </x:c>
      <x:c r="C11" s="15" t="str">
        <x:v>Maps to folder structure</x:v>
      </x:c>
    </x:row>
    <x:row r="12" ht="20" customHeight="1">
      <x:c r="A12" s="15"/>
      <x:c r="B12" s="28"/>
      <x:c r="C12" s="15"/>
    </x:row>
    <x:row r="13" ht="20" customHeight="1">
      <x:c r="A13" s="15"/>
      <x:c r="B13" s="28"/>
      <x:c r="C13" s="15"/>
    </x:row>
    <x:row r="14" ht="20" customHeight="1">
      <x:c r="A14" s="15"/>
      <x:c r="B14" s="28"/>
      <x:c r="C14" s="15"/>
    </x:row>
    <x:row r="15" ht="20" customHeight="1">
      <x:c r="A15" s="15"/>
      <x:c r="B15" s="28"/>
      <x:c r="C15" s="15"/>
    </x:row>
    <x:row r="16" ht="20" customHeight="1">
      <x:c r="A16" s="15"/>
      <x:c r="B16" s="28"/>
      <x:c r="C16" s="15"/>
    </x:row>
    <x:row r="17" ht="20" customHeight="1">
      <x:c r="A17" s="15"/>
      <x:c r="B17" s="28"/>
      <x:c r="C17" s="15"/>
    </x:row>
    <x:row r="18" ht="20" customHeight="1">
      <x:c r="A18" s="15"/>
      <x:c r="B18" s="28"/>
      <x:c r="C18" s="15"/>
    </x:row>
    <x:row r="19" ht="20" customHeight="1">
      <x:c r="A19" s="15"/>
      <x:c r="B19" s="28"/>
      <x:c r="C19" s="15"/>
    </x:row>
    <x:row r="20" ht="20" customHeight="1">
      <x:c r="A20" s="15"/>
      <x:c r="B20" s="28"/>
      <x:c r="C20" s="15"/>
    </x:row>
    <x:row r="21" ht="20" customHeight="1">
      <x:c r="A21" s="15"/>
      <x:c r="B21" s="28"/>
      <x:c r="C21" s="15"/>
    </x:row>
    <x:row r="22" ht="20" customHeight="1">
      <x:c r="A22" s="15"/>
      <x:c r="B22" s="28"/>
      <x:c r="C22" s="15"/>
    </x:row>
    <x:row r="23" ht="20" customHeight="1">
      <x:c r="A23" s="15"/>
      <x:c r="B23" s="28"/>
      <x:c r="C23" s="15"/>
    </x:row>
    <x:row r="24" ht="20" customHeight="1">
      <x:c r="A24" s="15"/>
      <x:c r="B24" s="28"/>
      <x:c r="C24" s="15"/>
    </x:row>
    <x:row r="25" ht="20" customHeight="1">
      <x:c r="A25" s="15"/>
      <x:c r="B25" s="28"/>
      <x:c r="C25" s="15"/>
    </x:row>
    <x:row r="26" ht="20" customHeight="1">
      <x:c r="A26" s="15"/>
      <x:c r="B26" s="28"/>
      <x:c r="C26" s="15"/>
    </x:row>
    <x:row r="27" ht="20" customHeight="1">
      <x:c r="A27" s="15"/>
      <x:c r="B27" s="28"/>
      <x:c r="C27" s="15"/>
    </x:row>
    <x:row r="28" ht="20" customHeight="1">
      <x:c r="A28" s="15"/>
      <x:c r="B28" s="28"/>
      <x:c r="C28" s="15"/>
    </x:row>
    <x:row r="29" ht="20" customHeight="1">
      <x:c r="A29" s="15"/>
      <x:c r="B29" s="28"/>
      <x:c r="C29" s="15"/>
    </x:row>
    <x:row r="30" ht="20" customHeight="1">
      <x:c r="A30" s="15"/>
      <x:c r="B30" s="28"/>
      <x:c r="C30" s="15"/>
    </x:row>
    <x:row r="31" ht="20" customHeight="1">
      <x:c r="A31" s="15"/>
      <x:c r="B31" s="28"/>
      <x:c r="C31" s="15"/>
    </x:row>
  </x:sheetData>
  <x:pageMargins left="0.7" right="0.7" top="0.75" bottom="0.75" header="0.3" footer="0.3"/>
  <x:tableParts count="1">
    <x:tablePart xmlns:r="http://schemas.openxmlformats.org/officeDocument/2006/relationships" r:id="Ra0a230cc92714b3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60" hidden="0" customWidth="1"/>
  </x:cols>
  <x:sheetData>
    <x:row r="1" ht="30" customHeight="1">
      <x:c r="A1" s="34" t="str">
        <x:v>ListName</x:v>
      </x:c>
      <x:c r="B1" s="34" t="str">
        <x:v>Value</x:v>
      </x:c>
      <x:c r="C1" s="34" t="str">
        <x:v>Description</x:v>
      </x:c>
    </x:row>
    <x:row r="2" ht="20" customHeight="1">
      <x:c r="A2" s="15" t="str">
        <x:v>OfficeStatus</x:v>
      </x:c>
      <x:c r="B2" s="15" t="str">
        <x:v>New</x:v>
      </x:c>
      <x:c r="C2" s="15" t="str">
        <x:v>Controlled value for dropdowns</x:v>
      </x:c>
    </x:row>
    <x:row r="3" ht="20" customHeight="1">
      <x:c r="A3" s="15" t="str">
        <x:v>OfficeStatus</x:v>
      </x:c>
      <x:c r="B3" s="15" t="str">
        <x:v>In Review</x:v>
      </x:c>
      <x:c r="C3" s="15" t="str">
        <x:v>Controlled value for dropdowns</x:v>
      </x:c>
    </x:row>
    <x:row r="4" ht="20" customHeight="1">
      <x:c r="A4" s="15" t="str">
        <x:v>OfficeStatus</x:v>
      </x:c>
      <x:c r="B4" s="15" t="str">
        <x:v>Approved</x:v>
      </x:c>
      <x:c r="C4" s="15" t="str">
        <x:v>Controlled value for dropdowns</x:v>
      </x:c>
    </x:row>
    <x:row r="5" ht="20" customHeight="1">
      <x:c r="A5" s="15" t="str">
        <x:v>OfficeStatus</x:v>
      </x:c>
      <x:c r="B5" s="15" t="str">
        <x:v>Rejected</x:v>
      </x:c>
      <x:c r="C5" s="15" t="str">
        <x:v>Controlled value for dropdowns</x:v>
      </x:c>
    </x:row>
    <x:row r="6" ht="20" customHeight="1">
      <x:c r="A6" s="15" t="str">
        <x:v>OfficeStatus</x:v>
      </x:c>
      <x:c r="B6" s="15" t="str">
        <x:v>Needs Field Correction</x:v>
      </x:c>
      <x:c r="C6" s="15" t="str">
        <x:v>Controlled value for dropdowns</x:v>
      </x:c>
    </x:row>
    <x:row r="7" ht="20" customHeight="1">
      <x:c r="A7" s="15" t="str">
        <x:v>YesNo</x:v>
      </x:c>
      <x:c r="B7" s="15" t="str">
        <x:v>Yes</x:v>
      </x:c>
      <x:c r="C7" s="15" t="str">
        <x:v>Controlled value for dropdowns</x:v>
      </x:c>
    </x:row>
    <x:row r="8" ht="20" customHeight="1">
      <x:c r="A8" s="15" t="str">
        <x:v>YesNo</x:v>
      </x:c>
      <x:c r="B8" s="15" t="str">
        <x:v>No</x:v>
      </x:c>
      <x:c r="C8" s="15" t="str">
        <x:v>Controlled value for dropdowns</x:v>
      </x:c>
    </x:row>
    <x:row r="9" ht="20" customHeight="1">
      <x:c r="A9" s="15" t="str">
        <x:v>Shift</x:v>
      </x:c>
      <x:c r="B9" s="15" t="str">
        <x:v>Day</x:v>
      </x:c>
      <x:c r="C9" s="15" t="str">
        <x:v>Controlled value for dropdowns</x:v>
      </x:c>
    </x:row>
    <x:row r="10" ht="20" customHeight="1">
      <x:c r="A10" s="15" t="str">
        <x:v>Shift</x:v>
      </x:c>
      <x:c r="B10" s="15" t="str">
        <x:v>Night</x:v>
      </x:c>
      <x:c r="C10" s="15" t="str">
        <x:v>Controlled value for dropdowns</x:v>
      </x:c>
    </x:row>
    <x:row r="11" ht="20" customHeight="1">
      <x:c r="A11" s="15" t="str">
        <x:v>Shift</x:v>
      </x:c>
      <x:c r="B11" s="15" t="str">
        <x:v>Weekend</x:v>
      </x:c>
      <x:c r="C11" s="15" t="str">
        <x:v>Controlled value for dropdowns</x:v>
      </x:c>
    </x:row>
    <x:row r="12" ht="20" customHeight="1">
      <x:c r="A12" s="15" t="str">
        <x:v>Shift</x:v>
      </x:c>
      <x:c r="B12" s="15" t="str">
        <x:v>Emergency</x:v>
      </x:c>
      <x:c r="C12" s="15" t="str">
        <x:v>Controlled value for dropdowns</x:v>
      </x:c>
    </x:row>
    <x:row r="13" ht="20" customHeight="1">
      <x:c r="A13" s="15" t="str">
        <x:v>Weather</x:v>
      </x:c>
      <x:c r="B13" s="15" t="str">
        <x:v>Clear</x:v>
      </x:c>
      <x:c r="C13" s="15" t="str">
        <x:v>Controlled value for dropdowns</x:v>
      </x:c>
    </x:row>
    <x:row r="14" ht="20" customHeight="1">
      <x:c r="A14" s="15" t="str">
        <x:v>Weather</x:v>
      </x:c>
      <x:c r="B14" s="15" t="str">
        <x:v>Cloudy</x:v>
      </x:c>
      <x:c r="C14" s="15" t="str">
        <x:v>Controlled value for dropdowns</x:v>
      </x:c>
    </x:row>
    <x:row r="15" ht="20" customHeight="1">
      <x:c r="A15" s="15" t="str">
        <x:v>Weather</x:v>
      </x:c>
      <x:c r="B15" s="15" t="str">
        <x:v>Rain</x:v>
      </x:c>
      <x:c r="C15" s="15" t="str">
        <x:v>Controlled value for dropdowns</x:v>
      </x:c>
    </x:row>
    <x:row r="16" ht="20" customHeight="1">
      <x:c r="A16" s="15" t="str">
        <x:v>Weather</x:v>
      </x:c>
      <x:c r="B16" s="15" t="str">
        <x:v>Snow</x:v>
      </x:c>
      <x:c r="C16" s="15" t="str">
        <x:v>Controlled value for dropdowns</x:v>
      </x:c>
    </x:row>
    <x:row r="17" ht="20" customHeight="1">
      <x:c r="A17" s="15" t="str">
        <x:v>Weather</x:v>
      </x:c>
      <x:c r="B17" s="15" t="str">
        <x:v>Wind</x:v>
      </x:c>
      <x:c r="C17" s="15" t="str">
        <x:v>Controlled value for dropdowns</x:v>
      </x:c>
    </x:row>
    <x:row r="18" ht="20" customHeight="1">
      <x:c r="A18" s="15" t="str">
        <x:v>Weather</x:v>
      </x:c>
      <x:c r="B18" s="15" t="str">
        <x:v>Heat</x:v>
      </x:c>
      <x:c r="C18" s="15" t="str">
        <x:v>Controlled value for dropdowns</x:v>
      </x:c>
    </x:row>
    <x:row r="19" ht="20" customHeight="1">
      <x:c r="A19" s="15" t="str">
        <x:v>Weather</x:v>
      </x:c>
      <x:c r="B19" s="15" t="str">
        <x:v>Cold</x:v>
      </x:c>
      <x:c r="C19" s="15" t="str">
        <x:v>Controlled value for dropdowns</x:v>
      </x:c>
    </x:row>
    <x:row r="20" ht="20" customHeight="1">
      <x:c r="A20" s="15" t="str">
        <x:v>IssueSeverity</x:v>
      </x:c>
      <x:c r="B20" s="15" t="str">
        <x:v>Low</x:v>
      </x:c>
      <x:c r="C20" s="15" t="str">
        <x:v>Controlled value for dropdowns</x:v>
      </x:c>
    </x:row>
    <x:row r="21" ht="20" customHeight="1">
      <x:c r="A21" s="15" t="str">
        <x:v>IssueSeverity</x:v>
      </x:c>
      <x:c r="B21" s="15" t="str">
        <x:v>Medium</x:v>
      </x:c>
      <x:c r="C21" s="15" t="str">
        <x:v>Controlled value for dropdowns</x:v>
      </x:c>
    </x:row>
    <x:row r="22" ht="20" customHeight="1">
      <x:c r="A22" s="15" t="str">
        <x:v>IssueSeverity</x:v>
      </x:c>
      <x:c r="B22" s="15" t="str">
        <x:v>High</x:v>
      </x:c>
      <x:c r="C22" s="15" t="str">
        <x:v>Controlled value for dropdowns</x:v>
      </x:c>
    </x:row>
    <x:row r="23" ht="20" customHeight="1">
      <x:c r="A23" s="15" t="str">
        <x:v>IssueSeverity</x:v>
      </x:c>
      <x:c r="B23" s="15" t="str">
        <x:v>Critical</x:v>
      </x:c>
      <x:c r="C23" s="15" t="str">
        <x:v>Controlled value for dropdowns</x:v>
      </x:c>
    </x:row>
    <x:row r="24" ht="20" customHeight="1">
      <x:c r="A24" s="15" t="str">
        <x:v>IssueStatus</x:v>
      </x:c>
      <x:c r="B24" s="15" t="str">
        <x:v>Open</x:v>
      </x:c>
      <x:c r="C24" s="15" t="str">
        <x:v>Controlled value for dropdowns</x:v>
      </x:c>
    </x:row>
    <x:row r="25" ht="20" customHeight="1">
      <x:c r="A25" s="15" t="str">
        <x:v>IssueStatus</x:v>
      </x:c>
      <x:c r="B25" s="15" t="str">
        <x:v>In Review</x:v>
      </x:c>
      <x:c r="C25" s="15" t="str">
        <x:v>Controlled value for dropdowns</x:v>
      </x:c>
    </x:row>
    <x:row r="26" ht="20" customHeight="1">
      <x:c r="A26" s="15" t="str">
        <x:v>IssueStatus</x:v>
      </x:c>
      <x:c r="B26" s="15" t="str">
        <x:v>Field Correction Needed</x:v>
      </x:c>
      <x:c r="C26" s="15" t="str">
        <x:v>Controlled value for dropdowns</x:v>
      </x:c>
    </x:row>
    <x:row r="27" ht="20" customHeight="1">
      <x:c r="A27" s="15" t="str">
        <x:v>IssueStatus</x:v>
      </x:c>
      <x:c r="B27" s="15" t="str">
        <x:v>Office Review</x:v>
      </x:c>
      <x:c r="C27" s="15" t="str">
        <x:v>Controlled value for dropdowns</x:v>
      </x:c>
    </x:row>
    <x:row r="28" ht="20" customHeight="1">
      <x:c r="A28" s="15" t="str">
        <x:v>IssueStatus</x:v>
      </x:c>
      <x:c r="B28" s="15" t="str">
        <x:v>Closed</x:v>
      </x:c>
      <x:c r="C28" s="15" t="str">
        <x:v>Controlled value for dropdowns</x:v>
      </x:c>
    </x:row>
    <x:row r="29" ht="20" customHeight="1">
      <x:c r="A29" s="15" t="str">
        <x:v>SafetyType</x:v>
      </x:c>
      <x:c r="B29" s="15" t="str">
        <x:v>Near Miss</x:v>
      </x:c>
      <x:c r="C29" s="15" t="str">
        <x:v>Controlled value for dropdowns</x:v>
      </x:c>
    </x:row>
    <x:row r="30" ht="20" customHeight="1">
      <x:c r="A30" s="15" t="str">
        <x:v>SafetyType</x:v>
      </x:c>
      <x:c r="B30" s="15" t="str">
        <x:v>Incident</x:v>
      </x:c>
      <x:c r="C30" s="15" t="str">
        <x:v>Controlled value for dropdowns</x:v>
      </x:c>
    </x:row>
    <x:row r="31" ht="20" customHeight="1">
      <x:c r="A31" s="15" t="str">
        <x:v>SafetyType</x:v>
      </x:c>
      <x:c r="B31" s="15" t="str">
        <x:v>Damage</x:v>
      </x:c>
      <x:c r="C31" s="15" t="str">
        <x:v>Controlled value for dropdowns</x:v>
      </x:c>
    </x:row>
    <x:row r="32" ht="20" customHeight="1">
      <x:c r="A32" s="15" t="str">
        <x:v>SafetyType</x:v>
      </x:c>
      <x:c r="B32" s="15" t="str">
        <x:v>Utility Hit</x:v>
      </x:c>
      <x:c r="C32" s="15" t="str">
        <x:v>Controlled value for dropdowns</x:v>
      </x:c>
    </x:row>
    <x:row r="33" ht="20" customHeight="1">
      <x:c r="A33" s="15" t="str">
        <x:v>SafetyType</x:v>
      </x:c>
      <x:c r="B33" s="15" t="str">
        <x:v>Unsafe Condition</x:v>
      </x:c>
      <x:c r="C33" s="15" t="str">
        <x:v>Controlled value for dropdowns</x:v>
      </x:c>
    </x:row>
    <x:row r="34" ht="20" customHeight="1">
      <x:c r="A34" s="15" t="str">
        <x:v>SafetyType</x:v>
      </x:c>
      <x:c r="B34" s="15" t="str">
        <x:v>Toolbox Talk</x:v>
      </x:c>
      <x:c r="C34" s="15" t="str">
        <x:v>Controlled value for dropdowns</x:v>
      </x:c>
    </x:row>
    <x:row r="35" ht="20" customHeight="1">
      <x:c r="A35" s="15" t="str">
        <x:v>AssetType</x:v>
      </x:c>
      <x:c r="B35" s="15" t="str">
        <x:v>Before Photo</x:v>
      </x:c>
      <x:c r="C35" s="15" t="str">
        <x:v>Controlled value for dropdowns</x:v>
      </x:c>
    </x:row>
    <x:row r="36" ht="20" customHeight="1">
      <x:c r="A36" s="15" t="str">
        <x:v>AssetType</x:v>
      </x:c>
      <x:c r="B36" s="15" t="str">
        <x:v>After Photo</x:v>
      </x:c>
      <x:c r="C36" s="15" t="str">
        <x:v>Controlled value for dropdowns</x:v>
      </x:c>
    </x:row>
    <x:row r="37" ht="20" customHeight="1">
      <x:c r="A37" s="15" t="str">
        <x:v>AssetType</x:v>
      </x:c>
      <x:c r="B37" s="15" t="str">
        <x:v>Progress Photo</x:v>
      </x:c>
      <x:c r="C37" s="15" t="str">
        <x:v>Controlled value for dropdowns</x:v>
      </x:c>
    </x:row>
    <x:row r="38" ht="20" customHeight="1">
      <x:c r="A38" s="15" t="str">
        <x:v>AssetType</x:v>
      </x:c>
      <x:c r="B38" s="15" t="str">
        <x:v>Redline</x:v>
      </x:c>
      <x:c r="C38" s="15" t="str">
        <x:v>Controlled value for dropdowns</x:v>
      </x:c>
    </x:row>
    <x:row r="39" ht="20" customHeight="1">
      <x:c r="A39" s="15" t="str">
        <x:v>AssetType</x:v>
      </x:c>
      <x:c r="B39" s="15" t="str">
        <x:v>GPS Track</x:v>
      </x:c>
      <x:c r="C39" s="15" t="str">
        <x:v>Controlled value for dropdowns</x:v>
      </x:c>
    </x:row>
    <x:row r="40" ht="20" customHeight="1">
      <x:c r="A40" s="15" t="str">
        <x:v>AssetType</x:v>
      </x:c>
      <x:c r="B40" s="15" t="str">
        <x:v>Customer Signoff</x:v>
      </x:c>
      <x:c r="C40" s="15" t="str">
        <x:v>Controlled value for dropdowns</x:v>
      </x:c>
    </x:row>
    <x:row r="41" ht="20" customHeight="1">
      <x:c r="A41" s="15" t="str">
        <x:v>AssetType</x:v>
      </x:c>
      <x:c r="B41" s="15" t="str">
        <x:v>Damage Photo</x:v>
      </x:c>
      <x:c r="C41" s="15" t="str">
        <x:v>Controlled value for dropdowns</x:v>
      </x:c>
    </x:row>
    <x:row r="42" ht="20" customHeight="1">
      <x:c r="A42" s="15" t="str">
        <x:v>AssetType</x:v>
      </x:c>
      <x:c r="B42" s="15" t="str">
        <x:v>Locate Ticket</x:v>
      </x:c>
      <x:c r="C42" s="15" t="str">
        <x:v>Controlled value for dropdowns</x:v>
      </x:c>
    </x:row>
    <x:row r="43" ht="20" customHeight="1">
      <x:c r="A43" s="15" t="str">
        <x:v>Unit</x:v>
      </x:c>
      <x:c r="B43" s="15" t="str">
        <x:v>ft</x:v>
      </x:c>
      <x:c r="C43" s="15" t="str">
        <x:v>Controlled value for dropdowns</x:v>
      </x:c>
    </x:row>
    <x:row r="44" ht="20" customHeight="1">
      <x:c r="A44" s="15" t="str">
        <x:v>Unit</x:v>
      </x:c>
      <x:c r="B44" s="15" t="str">
        <x:v>lf</x:v>
      </x:c>
      <x:c r="C44" s="15" t="str">
        <x:v>Controlled value for dropdowns</x:v>
      </x:c>
    </x:row>
    <x:row r="45" ht="20" customHeight="1">
      <x:c r="A45" s="15" t="str">
        <x:v>Unit</x:v>
      </x:c>
      <x:c r="B45" s="15" t="str">
        <x:v>each</x:v>
      </x:c>
      <x:c r="C45" s="15" t="str">
        <x:v>Controlled value for dropdowns</x:v>
      </x:c>
    </x:row>
    <x:row r="46" ht="20" customHeight="1">
      <x:c r="A46" s="15" t="str">
        <x:v>Unit</x:v>
      </x:c>
      <x:c r="B46" s="15" t="str">
        <x:v>hr</x:v>
      </x:c>
      <x:c r="C46" s="15" t="str">
        <x:v>Controlled value for dropdowns</x:v>
      </x:c>
    </x:row>
    <x:row r="47" ht="20" customHeight="1">
      <x:c r="A47" s="15" t="str">
        <x:v>Unit</x:v>
      </x:c>
      <x:c r="B47" s="15" t="str">
        <x:v>yard</x:v>
      </x:c>
      <x:c r="C47" s="15" t="str">
        <x:v>Controlled value for dropdowns</x:v>
      </x:c>
    </x:row>
    <x:row r="48" ht="20" customHeight="1">
      <x:c r="A48" s="15" t="str">
        <x:v>Unit</x:v>
      </x:c>
      <x:c r="B48" s="15" t="str">
        <x:v>mile</x:v>
      </x:c>
      <x:c r="C48" s="15" t="str">
        <x:v>Controlled value for dropdowns</x:v>
      </x:c>
    </x:row>
    <x:row r="49" ht="20" customHeight="1">
      <x:c r="A49" s="15" t="str">
        <x:v>Unit</x:v>
      </x:c>
      <x:c r="B49" s="15" t="str">
        <x:v>sqft</x:v>
      </x:c>
      <x:c r="C49" s="15" t="str">
        <x:v>Controlled value for dropdowns</x:v>
      </x:c>
    </x:row>
    <x:row r="50" ht="20" customHeight="1">
      <x:c r="A50" s="15" t="str">
        <x:v>Unit</x:v>
      </x:c>
      <x:c r="B50" s="15" t="str">
        <x:v>ton</x:v>
      </x:c>
      <x:c r="C50" s="15" t="str">
        <x:v>Controlled value for dropdowns</x:v>
      </x:c>
    </x:row>
    <x:row r="51" ht="20" customHeight="1">
      <x:c r="A51" s="15" t="str">
        <x:v>ProductionCode</x:v>
      </x:c>
      <x:c r="B51" s="15" t="str">
        <x:v>UG-FIBER-LF</x:v>
      </x:c>
      <x:c r="C51" s="15" t="str">
        <x:v>Controlled value for dropdowns</x:v>
      </x:c>
    </x:row>
    <x:row r="52" ht="20" customHeight="1">
      <x:c r="A52" s="15" t="str">
        <x:v>ProductionCode</x:v>
      </x:c>
      <x:c r="B52" s="15" t="str">
        <x:v>BORE-LF</x:v>
      </x:c>
      <x:c r="C52" s="15" t="str">
        <x:v>Controlled value for dropdowns</x:v>
      </x:c>
    </x:row>
    <x:row r="53" ht="20" customHeight="1">
      <x:c r="A53" s="15" t="str">
        <x:v>ProductionCode</x:v>
      </x:c>
      <x:c r="B53" s="15" t="str">
        <x:v>HANDHOLE-EA</x:v>
      </x:c>
      <x:c r="C53" s="15" t="str">
        <x:v>Controlled value for dropdowns</x:v>
      </x:c>
    </x:row>
    <x:row r="54" ht="20" customHeight="1">
      <x:c r="A54" s="15" t="str">
        <x:v>ProductionCode</x:v>
      </x:c>
      <x:c r="B54" s="15" t="str">
        <x:v>SPLICE-EA</x:v>
      </x:c>
      <x:c r="C54" s="15" t="str">
        <x:v>Controlled value for dropdowns</x:v>
      </x:c>
    </x:row>
    <x:row r="55" ht="20" customHeight="1">
      <x:c r="A55" s="15" t="str">
        <x:v>ProductionCode</x:v>
      </x:c>
      <x:c r="B55" s="15" t="str">
        <x:v>RESTORE-SQFT</x:v>
      </x:c>
      <x:c r="C55" s="15" t="str">
        <x:v>Controlled value for dropdowns</x:v>
      </x:c>
    </x:row>
    <x:row r="56" ht="20" customHeight="1">
      <x:c r="A56" s="15" t="str">
        <x:v>ProductionCode</x:v>
      </x:c>
      <x:c r="B56" s="15" t="str">
        <x:v>LOCATE-EA</x:v>
      </x:c>
      <x:c r="C56" s="15" t="str">
        <x:v>Controlled value for dropdowns</x:v>
      </x:c>
    </x:row>
    <x:row r="57" ht="20" customHeight="1">
      <x:c r="A57" s="15" t="str">
        <x:v>InvoiceStatus</x:v>
      </x:c>
      <x:c r="B57" s="15" t="str">
        <x:v>Not Ready</x:v>
      </x:c>
      <x:c r="C57" s="15" t="str">
        <x:v>Controlled value for dropdowns</x:v>
      </x:c>
    </x:row>
    <x:row r="58" ht="20" customHeight="1">
      <x:c r="A58" s="15" t="str">
        <x:v>InvoiceStatus</x:v>
      </x:c>
      <x:c r="B58" s="15" t="str">
        <x:v>Ready</x:v>
      </x:c>
      <x:c r="C58" s="15" t="str">
        <x:v>Controlled value for dropdowns</x:v>
      </x:c>
    </x:row>
    <x:row r="59" ht="20" customHeight="1">
      <x:c r="A59" s="15" t="str">
        <x:v>InvoiceStatus</x:v>
      </x:c>
      <x:c r="B59" s="15" t="str">
        <x:v>Submitted</x:v>
      </x:c>
      <x:c r="C59" s="15" t="str">
        <x:v>Controlled value for dropdowns</x:v>
      </x:c>
    </x:row>
    <x:row r="60" ht="20" customHeight="1">
      <x:c r="A60" s="15" t="str">
        <x:v>InvoiceStatus</x:v>
      </x:c>
      <x:c r="B60" s="15" t="str">
        <x:v>Paid</x:v>
      </x:c>
      <x:c r="C60" s="15" t="str">
        <x:v>Controlled value for dropdowns</x:v>
      </x:c>
    </x:row>
    <x:row r="61" ht="20" customHeight="1">
      <x:c r="A61" s="15" t="str">
        <x:v>InvoiceStatus</x:v>
      </x:c>
      <x:c r="B61" s="15" t="str">
        <x:v>Disputed</x:v>
      </x:c>
      <x:c r="C61" s="15" t="str">
        <x:v>Controlled value for dropdowns</x:v>
      </x:c>
    </x:row>
    <x:row r="62" ht="20" customHeight="1">
      <x:c r="A62" s="15" t="str">
        <x:v>InvoiceStatus</x:v>
      </x:c>
      <x:c r="B62" s="15" t="str">
        <x:v>Hold</x:v>
      </x:c>
      <x:c r="C62" s="15" t="str">
        <x:v>Controlled value for dropdowns</x:v>
      </x:c>
    </x:row>
    <x:row r="63" ht="20" customHeight="1">
      <x:c r="A63" s="15" t="str">
        <x:v>LocateStatus</x:v>
      </x:c>
      <x:c r="B63" s="15" t="str">
        <x:v>Requested</x:v>
      </x:c>
      <x:c r="C63" s="15" t="str">
        <x:v>Controlled value for dropdowns</x:v>
      </x:c>
    </x:row>
    <x:row r="64" ht="20" customHeight="1">
      <x:c r="A64" s="15" t="str">
        <x:v>LocateStatus</x:v>
      </x:c>
      <x:c r="B64" s="15" t="str">
        <x:v>Pending</x:v>
      </x:c>
      <x:c r="C64" s="15" t="str">
        <x:v>Controlled value for dropdowns</x:v>
      </x:c>
    </x:row>
    <x:row r="65" ht="20" customHeight="1">
      <x:c r="A65" s="15" t="str">
        <x:v>LocateStatus</x:v>
      </x:c>
      <x:c r="B65" s="15" t="str">
        <x:v>Cleared</x:v>
      </x:c>
      <x:c r="C65" s="15" t="str">
        <x:v>Controlled value for dropdowns</x:v>
      </x:c>
    </x:row>
    <x:row r="66" ht="20" customHeight="1">
      <x:c r="A66" s="15" t="str">
        <x:v>LocateStatus</x:v>
      </x:c>
      <x:c r="B66" s="15" t="str">
        <x:v>Expired</x:v>
      </x:c>
      <x:c r="C66" s="15" t="str">
        <x:v>Controlled value for dropdowns</x:v>
      </x:c>
    </x:row>
    <x:row r="67" ht="20" customHeight="1">
      <x:c r="A67" s="15" t="str">
        <x:v>LocateStatus</x:v>
      </x:c>
      <x:c r="B67" s="15" t="str">
        <x:v>Cancelled</x:v>
      </x:c>
      <x:c r="C67" s="15" t="str">
        <x:v>Controlled value for dropdowns</x:v>
      </x:c>
    </x:row>
    <x:row r="68" ht="20" customHeight="1">
      <x:c r="A68" s="15" t="str">
        <x:v>LocateStatus</x:v>
      </x:c>
      <x:c r="B68" s="15" t="str">
        <x:v>Re-Ticket</x:v>
      </x:c>
      <x:c r="C68" s="15" t="str">
        <x:v>Controlled value for dropdowns</x:v>
      </x:c>
    </x:row>
    <x:row r="69" ht="20" customHeight="1">
      <x:c r="A69" s="15"/>
      <x:c r="B69" s="15"/>
      <x:c r="C69" s="15"/>
    </x:row>
    <x:row r="70" ht="20" customHeight="1">
      <x:c r="A70" s="15"/>
      <x:c r="B70" s="15"/>
      <x:c r="C70" s="15"/>
    </x:row>
    <x:row r="71" ht="20" customHeight="1">
      <x:c r="A71" s="15"/>
      <x:c r="B71" s="15"/>
      <x:c r="C71" s="15"/>
    </x:row>
    <x:row r="72" ht="20" customHeight="1">
      <x:c r="A72" s="15"/>
      <x:c r="B72" s="15"/>
      <x:c r="C72" s="15"/>
    </x:row>
    <x:row r="73" ht="20" customHeight="1">
      <x:c r="A73" s="15"/>
      <x:c r="B73" s="15"/>
      <x:c r="C73" s="15"/>
    </x:row>
    <x:row r="74" ht="20" customHeight="1">
      <x:c r="A74" s="15"/>
      <x:c r="B74" s="15"/>
      <x:c r="C74" s="15"/>
    </x:row>
    <x:row r="75" ht="20" customHeight="1">
      <x:c r="A75" s="15"/>
      <x:c r="B75" s="15"/>
      <x:c r="C75" s="15"/>
    </x:row>
    <x:row r="76" ht="20" customHeight="1">
      <x:c r="A76" s="15"/>
      <x:c r="B76" s="15"/>
      <x:c r="C76" s="15"/>
    </x:row>
    <x:row r="77" ht="20" customHeight="1">
      <x:c r="A77" s="15"/>
      <x:c r="B77" s="15"/>
      <x:c r="C77" s="15"/>
    </x:row>
    <x:row r="78" ht="20" customHeight="1">
      <x:c r="A78" s="15"/>
      <x:c r="B78" s="15"/>
      <x:c r="C78" s="15"/>
    </x:row>
    <x:row r="79" ht="20" customHeight="1">
      <x:c r="A79" s="15"/>
      <x:c r="B79" s="15"/>
      <x:c r="C79" s="15"/>
    </x:row>
    <x:row r="80" ht="20" customHeight="1">
      <x:c r="A80" s="15"/>
      <x:c r="B80" s="15"/>
      <x:c r="C80" s="15"/>
    </x:row>
    <x:row r="81" ht="20" customHeight="1">
      <x:c r="A81" s="15"/>
      <x:c r="B81" s="15"/>
      <x:c r="C81" s="15"/>
    </x:row>
    <x:row r="82" ht="20" customHeight="1">
      <x:c r="A82" s="15"/>
      <x:c r="B82" s="15"/>
      <x:c r="C82" s="15"/>
    </x:row>
    <x:row r="83" ht="20" customHeight="1">
      <x:c r="A83" s="15"/>
      <x:c r="B83" s="15"/>
      <x:c r="C83" s="15"/>
    </x:row>
    <x:row r="84" ht="20" customHeight="1">
      <x:c r="A84" s="15"/>
      <x:c r="B84" s="15"/>
      <x:c r="C84" s="15"/>
    </x:row>
    <x:row r="85" ht="20" customHeight="1">
      <x:c r="A85" s="15"/>
      <x:c r="B85" s="15"/>
      <x:c r="C85" s="15"/>
    </x:row>
    <x:row r="86" ht="20" customHeight="1">
      <x:c r="A86" s="15"/>
      <x:c r="B86" s="15"/>
      <x:c r="C86" s="15"/>
    </x:row>
    <x:row r="87" ht="20" customHeight="1">
      <x:c r="A87" s="15"/>
      <x:c r="B87" s="15"/>
      <x:c r="C87" s="15"/>
    </x:row>
    <x:row r="88" ht="20" customHeight="1">
      <x:c r="A88" s="15"/>
      <x:c r="B88" s="15"/>
      <x:c r="C88" s="15"/>
    </x:row>
    <x:row r="89" ht="20" customHeight="1">
      <x:c r="A89" s="15"/>
      <x:c r="B89" s="15"/>
      <x:c r="C89" s="15"/>
    </x:row>
    <x:row r="90" ht="20" customHeight="1">
      <x:c r="A90" s="15"/>
      <x:c r="B90" s="15"/>
      <x:c r="C90" s="15"/>
    </x:row>
    <x:row r="91" ht="20" customHeight="1">
      <x:c r="A91" s="15"/>
      <x:c r="B91" s="15"/>
      <x:c r="C91" s="15"/>
    </x:row>
    <x:row r="92" ht="20" customHeight="1">
      <x:c r="A92" s="15"/>
      <x:c r="B92" s="15"/>
      <x:c r="C92" s="15"/>
    </x:row>
    <x:row r="93" ht="20" customHeight="1">
      <x:c r="A93" s="15"/>
      <x:c r="B93" s="15"/>
      <x:c r="C93" s="15"/>
    </x:row>
    <x:row r="94" ht="20" customHeight="1">
      <x:c r="A94" s="15"/>
      <x:c r="B94" s="15"/>
      <x:c r="C94" s="15"/>
    </x:row>
    <x:row r="95" ht="20" customHeight="1">
      <x:c r="A95" s="15"/>
      <x:c r="B95" s="15"/>
      <x:c r="C95" s="15"/>
    </x:row>
    <x:row r="96" ht="20" customHeight="1">
      <x:c r="A96" s="15"/>
      <x:c r="B96" s="15"/>
      <x:c r="C96" s="15"/>
    </x:row>
    <x:row r="97" ht="20" customHeight="1">
      <x:c r="A97" s="15"/>
      <x:c r="B97" s="15"/>
      <x:c r="C97" s="15"/>
    </x:row>
    <x:row r="98" ht="20" customHeight="1">
      <x:c r="A98" s="15"/>
      <x:c r="B98" s="15"/>
      <x:c r="C98" s="15"/>
    </x:row>
    <x:row r="99" ht="20" customHeight="1">
      <x:c r="A99" s="15"/>
      <x:c r="B99" s="15"/>
      <x:c r="C99" s="15"/>
    </x:row>
    <x:row r="100" ht="20" customHeight="1">
      <x:c r="A100" s="15"/>
      <x:c r="B100" s="15"/>
      <x:c r="C100" s="15"/>
    </x:row>
    <x:row r="101" ht="20" customHeight="1">
      <x:c r="A101" s="15"/>
      <x:c r="B101" s="15"/>
      <x:c r="C101" s="15"/>
    </x:row>
    <x:row r="102" ht="20" customHeight="1">
      <x:c r="A102" s="15"/>
      <x:c r="B102" s="15"/>
      <x:c r="C102" s="15"/>
    </x:row>
    <x:row r="103" ht="20" customHeight="1">
      <x:c r="A103" s="15"/>
      <x:c r="B103" s="15"/>
      <x:c r="C103" s="15"/>
    </x:row>
    <x:row r="104" ht="20" customHeight="1">
      <x:c r="A104" s="15"/>
      <x:c r="B104" s="15"/>
      <x:c r="C104" s="15"/>
    </x:row>
    <x:row r="105" ht="20" customHeight="1">
      <x:c r="A105" s="15"/>
      <x:c r="B105" s="15"/>
      <x:c r="C105" s="15"/>
    </x:row>
    <x:row r="106" ht="20" customHeight="1">
      <x:c r="A106" s="15"/>
      <x:c r="B106" s="15"/>
      <x:c r="C106" s="15"/>
    </x:row>
    <x:row r="107" ht="20" customHeight="1">
      <x:c r="A107" s="15"/>
      <x:c r="B107" s="15"/>
      <x:c r="C107" s="15"/>
    </x:row>
    <x:row r="108" ht="20" customHeight="1">
      <x:c r="A108" s="15"/>
      <x:c r="B108" s="15"/>
      <x:c r="C108" s="15"/>
    </x:row>
    <x:row r="109" ht="20" customHeight="1">
      <x:c r="A109" s="15"/>
      <x:c r="B109" s="15"/>
      <x:c r="C109" s="15"/>
    </x:row>
    <x:row r="110" ht="20" customHeight="1">
      <x:c r="A110" s="15"/>
      <x:c r="B110" s="15"/>
      <x:c r="C110" s="15"/>
    </x:row>
    <x:row r="111" ht="20" customHeight="1">
      <x:c r="A111" s="15"/>
      <x:c r="B111" s="15"/>
      <x:c r="C111" s="15"/>
    </x:row>
    <x:row r="112" ht="20" customHeight="1">
      <x:c r="A112" s="15"/>
      <x:c r="B112" s="15"/>
      <x:c r="C112" s="15"/>
    </x:row>
    <x:row r="113" ht="20" customHeight="1">
      <x:c r="A113" s="15"/>
      <x:c r="B113" s="15"/>
      <x:c r="C113" s="15"/>
    </x:row>
    <x:row r="114" ht="20" customHeight="1">
      <x:c r="A114" s="15"/>
      <x:c r="B114" s="15"/>
      <x:c r="C114" s="15"/>
    </x:row>
    <x:row r="115" ht="20" customHeight="1">
      <x:c r="A115" s="15"/>
      <x:c r="B115" s="15"/>
      <x:c r="C115" s="15"/>
    </x:row>
    <x:row r="116" ht="20" customHeight="1">
      <x:c r="A116" s="15"/>
      <x:c r="B116" s="15"/>
      <x:c r="C116" s="15"/>
    </x:row>
    <x:row r="117" ht="20" customHeight="1">
      <x:c r="A117" s="15"/>
      <x:c r="B117" s="15"/>
      <x:c r="C117" s="15"/>
    </x:row>
    <x:row r="118" ht="20" customHeight="1">
      <x:c r="A118" s="15"/>
      <x:c r="B118" s="15"/>
      <x:c r="C118" s="15"/>
    </x:row>
    <x:row r="119" ht="20" customHeight="1">
      <x:c r="A119" s="15"/>
      <x:c r="B119" s="15"/>
      <x:c r="C119" s="15"/>
    </x:row>
    <x:row r="120" ht="20" customHeight="1">
      <x:c r="A120" s="15"/>
      <x:c r="B120" s="15"/>
      <x:c r="C120" s="15"/>
    </x:row>
    <x:row r="121" ht="20" customHeight="1">
      <x:c r="A121" s="15"/>
      <x:c r="B121" s="15"/>
      <x:c r="C121" s="15"/>
    </x:row>
  </x:sheetData>
  <x:pageMargins left="0.7" right="0.7" top="0.75" bottom="0.75" header="0.3" footer="0.3"/>
  <x:tableParts count="1">
    <x:tablePart xmlns:r="http://schemas.openxmlformats.org/officeDocument/2006/relationships" r:id="R6298de783126468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  <x:col min="3" max="3" width="60" hidden="0" customWidth="1"/>
  </x:cols>
  <x:sheetData>
    <x:row r="1" ht="30" customHeight="1">
      <x:c r="A1" s="44" t="str">
        <x:v>Folder</x:v>
      </x:c>
      <x:c r="B1" s="44" t="str">
        <x:v>Purpose</x:v>
      </x:c>
      <x:c r="C1" s="44" t="str">
        <x:v>Automation Use</x:v>
      </x:c>
    </x:row>
    <x:row r="2" ht="20" customHeight="1">
      <x:c r="A2" s="15" t="str">
        <x:v>00_SYSTEM_CONTROL</x:v>
      </x:c>
      <x:c r="B2" s="15" t="str">
        <x:v>System settings, IDs, permissions, field rules</x:v>
      </x:c>
      <x:c r="C2" s="15" t="str">
        <x:v>Do not route field files here unless admin/system config</x:v>
      </x:c>
    </x:row>
    <x:row r="3" ht="20" customHeight="1">
      <x:c r="A3" s="15" t="str">
        <x:v>01_ROUTER_AND_LOGS</x:v>
      </x:c>
      <x:c r="B3" s="15" t="str">
        <x:v>Inbound file router, import logs, audit logs</x:v>
      </x:c>
      <x:c r="C3" s="15" t="str">
        <x:v>First stop for file drops and automation events</x:v>
      </x:c>
    </x:row>
    <x:row r="4" ht="20" customHeight="1">
      <x:c r="A4" s="15" t="str">
        <x:v>02_PROJECT_MANAGEMENT</x:v>
      </x:c>
      <x:c r="B4" s="15" t="str">
        <x:v>Projects, jobs, schedules, assignments</x:v>
      </x:c>
      <x:c r="C4" s="15" t="str">
        <x:v>Link work to projects and crews</x:v>
      </x:c>
    </x:row>
    <x:row r="5" ht="20" customHeight="1">
      <x:c r="A5" s="15" t="str">
        <x:v>03_FINANCIALS</x:v>
      </x:c>
      <x:c r="B5" s="15" t="str">
        <x:v>Rate cards, cost backup, billing status</x:v>
      </x:c>
      <x:c r="C5" s="15" t="str">
        <x:v>Feeds closeout and margin views</x:v>
      </x:c>
    </x:row>
    <x:row r="6" ht="20" customHeight="1">
      <x:c r="A6" s="15" t="str">
        <x:v>04_DASHBOARD_SYSTEM</x:v>
      </x:c>
      <x:c r="B6" s="15" t="str">
        <x:v>Dashboard output and rollup tables</x:v>
      </x:c>
      <x:c r="C6" s="15" t="str">
        <x:v>Executive / office reporting layer</x:v>
      </x:c>
    </x:row>
    <x:row r="7" ht="20" customHeight="1">
      <x:c r="A7" s="15" t="str">
        <x:v>05_AUTOMATIONS_AND_REPORTS</x:v>
      </x:c>
      <x:c r="B7" s="15" t="str">
        <x:v>Apps Script, PDFs, reports, exports</x:v>
      </x:c>
      <x:c r="C7" s="15" t="str">
        <x:v>Runs daily, weekly, and monthly report actions</x:v>
      </x:c>
    </x:row>
    <x:row r="8" ht="20" customHeight="1">
      <x:c r="A8" s="15" t="str">
        <x:v>06_SUPPORT_FILES</x:v>
      </x:c>
      <x:c r="B8" s="15" t="str">
        <x:v>Reference docs, maps, permits, customer docs</x:v>
      </x:c>
      <x:c r="C8" s="15" t="str">
        <x:v>Attached proof and context</x:v>
      </x:c>
    </x:row>
    <x:row r="9" ht="20" customHeight="1">
      <x:c r="A9" s="15" t="str">
        <x:v>07_ONBOARDING</x:v>
      </x:c>
      <x:c r="B9" s="15" t="str">
        <x:v>Customer/company setup templates</x:v>
      </x:c>
      <x:c r="C9" s="15" t="str">
        <x:v>New company setup workflow</x:v>
      </x:c>
    </x:row>
    <x:row r="10" ht="20" customHeight="1">
      <x:c r="A10" s="15" t="str">
        <x:v>08_TEMPLATES</x:v>
      </x:c>
      <x:c r="B10" s="15" t="str">
        <x:v>Blank field templates</x:v>
      </x:c>
      <x:c r="C10" s="15" t="str">
        <x:v>Reusable forms for crews and office users</x:v>
      </x:c>
    </x:row>
    <x:row r="11" ht="20" customHeight="1">
      <x:c r="A11" s="15" t="str">
        <x:v>09_ARCHIVE</x:v>
      </x:c>
      <x:c r="B11" s="15" t="str">
        <x:v>Locked historical files and proofs</x:v>
      </x:c>
      <x:c r="C11" s="15" t="str">
        <x:v>Final destination after closeout</x:v>
      </x:c>
    </x:row>
    <x:row r="12" ht="20" customHeight="1">
      <x:c r="A12" s="15" t="str">
        <x:v>10_EXPORTS</x:v>
      </x:c>
      <x:c r="B12" s="15" t="str">
        <x:v>Customer PDFs, payroll summaries, invoice backup</x:v>
      </x:c>
      <x:c r="C12" s="15" t="str">
        <x:v>Deliverable output</x:v>
      </x:c>
    </x:row>
    <x:row r="13" ht="20" customHeight="1">
      <x:c r="A13" s="15"/>
      <x:c r="B13" s="15"/>
      <x:c r="C13" s="15"/>
    </x:row>
    <x:row r="14" ht="20" customHeight="1">
      <x:c r="A14" s="15"/>
      <x:c r="B14" s="15"/>
      <x:c r="C14" s="15"/>
    </x:row>
    <x:row r="15" ht="20" customHeight="1">
      <x:c r="A15" s="15"/>
      <x:c r="B15" s="15"/>
      <x:c r="C15" s="15"/>
    </x:row>
    <x:row r="16" ht="20" customHeight="1">
      <x:c r="A16" s="15"/>
      <x:c r="B16" s="15"/>
      <x:c r="C16" s="15"/>
    </x:row>
    <x:row r="17" ht="20" customHeight="1">
      <x:c r="A17" s="15"/>
      <x:c r="B17" s="15"/>
      <x:c r="C17" s="15"/>
    </x:row>
    <x:row r="18" ht="20" customHeight="1">
      <x:c r="A18" s="15"/>
      <x:c r="B18" s="15"/>
      <x:c r="C18" s="15"/>
    </x:row>
    <x:row r="19" ht="20" customHeight="1">
      <x:c r="A19" s="15"/>
      <x:c r="B19" s="15"/>
      <x:c r="C19" s="15"/>
    </x:row>
    <x:row r="20" ht="20" customHeight="1">
      <x:c r="A20" s="15"/>
      <x:c r="B20" s="15"/>
      <x:c r="C20" s="15"/>
    </x:row>
    <x:row r="21" ht="20" customHeight="1">
      <x:c r="A21" s="15"/>
      <x:c r="B21" s="15"/>
      <x:c r="C21" s="15"/>
    </x:row>
    <x:row r="22" ht="20" customHeight="1">
      <x:c r="A22" s="15"/>
      <x:c r="B22" s="15"/>
      <x:c r="C22" s="15"/>
    </x:row>
    <x:row r="23" ht="20" customHeight="1">
      <x:c r="A23" s="15"/>
      <x:c r="B23" s="15"/>
      <x:c r="C23" s="15"/>
    </x:row>
    <x:row r="24" ht="20" customHeight="1">
      <x:c r="A24" s="15"/>
      <x:c r="B24" s="15"/>
      <x:c r="C24" s="15"/>
    </x:row>
    <x:row r="25" ht="20" customHeight="1">
      <x:c r="A25" s="15"/>
      <x:c r="B25" s="15"/>
      <x:c r="C25" s="15"/>
    </x:row>
    <x:row r="26" ht="20" customHeight="1">
      <x:c r="A26" s="15"/>
      <x:c r="B26" s="15"/>
      <x:c r="C26" s="15"/>
    </x:row>
    <x:row r="27" ht="20" customHeight="1">
      <x:c r="A27" s="15"/>
      <x:c r="B27" s="15"/>
      <x:c r="C27" s="15"/>
    </x:row>
    <x:row r="28" ht="20" customHeight="1">
      <x:c r="A28" s="15"/>
      <x:c r="B28" s="15"/>
      <x:c r="C28" s="15"/>
    </x:row>
    <x:row r="29" ht="20" customHeight="1">
      <x:c r="A29" s="15"/>
      <x:c r="B29" s="15"/>
      <x:c r="C29" s="15"/>
    </x:row>
    <x:row r="30" ht="20" customHeight="1">
      <x:c r="A30" s="15"/>
      <x:c r="B30" s="15"/>
      <x:c r="C30" s="15"/>
    </x:row>
    <x:row r="31" ht="20" customHeight="1">
      <x:c r="A31" s="15"/>
      <x:c r="B31" s="15"/>
      <x:c r="C31" s="15"/>
    </x:row>
  </x:sheetData>
  <x:pageMargins left="0.7" right="0.7" top="0.75" bottom="0.75" header="0.3" footer="0.3"/>
  <x:tableParts count="1">
    <x:tablePart xmlns:r="http://schemas.openxmlformats.org/officeDocument/2006/relationships" r:id="R79d0d6a92ca84b1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0" hidden="0" customWidth="1"/>
    <x:col min="4" max="4" width="12" hidden="0" customWidth="1"/>
    <x:col min="5" max="5" width="20" hidden="0" customWidth="1"/>
    <x:col min="6" max="6" width="14" hidden="0" customWidth="1"/>
    <x:col min="7" max="7" width="14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42" hidden="0" customWidth="1"/>
  </x:cols>
  <x:sheetData>
    <x:row r="1" ht="30" customHeight="1">
      <x:c r="A1" s="54" t="str">
        <x:v>ProjectID</x:v>
      </x:c>
      <x:c r="B1" s="54" t="str">
        <x:v>CustomerID</x:v>
      </x:c>
      <x:c r="C1" s="54" t="str">
        <x:v>ProjectName</x:v>
      </x:c>
      <x:c r="D1" s="54" t="str">
        <x:v>Market</x:v>
      </x:c>
      <x:c r="E1" s="54" t="str">
        <x:v>JobType</x:v>
      </x:c>
      <x:c r="F1" s="54" t="str">
        <x:v>Status</x:v>
      </x:c>
      <x:c r="G1" s="54" t="str">
        <x:v>StartDate</x:v>
      </x:c>
      <x:c r="H1" s="54" t="str">
        <x:v>TargetCloseoutDate</x:v>
      </x:c>
      <x:c r="I1" s="54" t="str">
        <x:v>ProjectManager</x:v>
      </x:c>
      <x:c r="J1" s="54" t="str">
        <x:v>CustomerPM</x:v>
      </x:c>
      <x:c r="K1" s="54" t="str">
        <x:v>BillingModel</x:v>
      </x:c>
      <x:c r="L1" s="54" t="str">
        <x:v>Notes</x:v>
      </x:c>
    </x:row>
    <x:row r="2" ht="20" customHeight="1">
      <x:c r="A2" s="15" t="str">
        <x:v>PRJ-1001</x:v>
      </x:c>
      <x:c r="B2" s="15" t="str">
        <x:v>CUS-001</x:v>
      </x:c>
      <x:c r="C2" s="15" t="str">
        <x:v>North Ridge Fiber Build</x:v>
      </x:c>
      <x:c r="D2" s="15" t="str">
        <x:v>PA</x:v>
      </x:c>
      <x:c r="E2" s="15" t="str">
        <x:v>Underground Fiber</x:v>
      </x:c>
      <x:c r="F2" s="15" t="str">
        <x:v>Active</x:v>
      </x:c>
      <x:c r="G2" s="28" t="n">
        <x:v>46188</x:v>
      </x:c>
      <x:c r="H2" s="28" t="n">
        <x:v>46249</x:v>
      </x:c>
      <x:c r="I2" s="15" t="str">
        <x:v>Boss</x:v>
      </x:c>
      <x:c r="J2" s="15" t="str">
        <x:v>A. Walters</x:v>
      </x:c>
      <x:c r="K2" s="15" t="str">
        <x:v>Unit Rate</x:v>
      </x:c>
      <x:c r="L2" s="15" t="str">
        <x:v>Sample telecom project</x:v>
      </x:c>
    </x:row>
    <x:row r="3" ht="20" customHeight="1">
      <x:c r="A3" s="15" t="str">
        <x:v>PRJ-1002</x:v>
      </x:c>
      <x:c r="B3" s="15" t="str">
        <x:v>CUS-002</x:v>
      </x:c>
      <x:c r="C3" s="15" t="str">
        <x:v>East Loop Restoration</x:v>
      </x:c>
      <x:c r="D3" s="15" t="str">
        <x:v>NJ</x:v>
      </x:c>
      <x:c r="E3" s="15" t="str">
        <x:v>Restoration</x:v>
      </x:c>
      <x:c r="F3" s="15" t="str">
        <x:v>Active</x:v>
      </x:c>
      <x:c r="G3" s="28" t="n">
        <x:v>46193</x:v>
      </x:c>
      <x:c r="H3" s="28" t="n">
        <x:v>46223</x:v>
      </x:c>
      <x:c r="I3" s="15" t="str">
        <x:v>Boss</x:v>
      </x:c>
      <x:c r="J3" s="15" t="str">
        <x:v>M. Stone</x:v>
      </x:c>
      <x:c r="K3" s="15" t="str">
        <x:v>T&amp;M</x:v>
      </x:c>
      <x:c r="L3" s="15" t="str">
        <x:v>Restoration and punchlist</x:v>
      </x:c>
    </x:row>
    <x:row r="4" ht="20" customHeight="1">
      <x:c r="A4" s="15" t="str">
        <x:v>PRJ-1003</x:v>
      </x:c>
      <x:c r="B4" s="15" t="str">
        <x:v>CUS-003</x:v>
      </x:c>
      <x:c r="C4" s="15" t="str">
        <x:v>Metro 811 Sweep</x:v>
      </x:c>
      <x:c r="D4" s="15" t="str">
        <x:v>NY</x:v>
      </x:c>
      <x:c r="E4" s="15" t="str">
        <x:v>811 Locate</x:v>
      </x:c>
      <x:c r="F4" s="15" t="str">
        <x:v>Precon</x:v>
      </x:c>
      <x:c r="G4" s="28" t="n">
        <x:v>46204</x:v>
      </x:c>
      <x:c r="H4" s="28" t="n">
        <x:v>46234</x:v>
      </x:c>
      <x:c r="I4" s="15" t="str">
        <x:v>Boss</x:v>
      </x:c>
      <x:c r="J4" s="15" t="str">
        <x:v>C. Rivera</x:v>
      </x:c>
      <x:c r="K4" s="15" t="str">
        <x:v>Unit Rate</x:v>
      </x:c>
      <x:c r="L4" s="15" t="str">
        <x:v>Locate ticket tracking</x:v>
      </x:c>
    </x:row>
    <x:row r="5" ht="20" customHeight="1">
      <x:c r="A5" s="15"/>
      <x:c r="B5" s="15"/>
      <x:c r="C5" s="15"/>
      <x:c r="D5" s="15"/>
      <x:c r="E5" s="15"/>
      <x:c r="F5" s="15"/>
      <x:c r="G5" s="28"/>
      <x:c r="H5" s="28"/>
      <x:c r="I5" s="15"/>
      <x:c r="J5" s="15"/>
      <x:c r="K5" s="15"/>
      <x:c r="L5" s="15"/>
    </x:row>
    <x:row r="6" ht="20" customHeight="1">
      <x:c r="A6" s="15"/>
      <x:c r="B6" s="15"/>
      <x:c r="C6" s="15"/>
      <x:c r="D6" s="15"/>
      <x:c r="E6" s="15"/>
      <x:c r="F6" s="15"/>
      <x:c r="G6" s="28"/>
      <x:c r="H6" s="28"/>
      <x:c r="I6" s="15"/>
      <x:c r="J6" s="15"/>
      <x:c r="K6" s="15"/>
      <x:c r="L6" s="15"/>
    </x:row>
    <x:row r="7" ht="20" customHeight="1">
      <x:c r="A7" s="15"/>
      <x:c r="B7" s="15"/>
      <x:c r="C7" s="15"/>
      <x:c r="D7" s="15"/>
      <x:c r="E7" s="15"/>
      <x:c r="F7" s="15"/>
      <x:c r="G7" s="28"/>
      <x:c r="H7" s="28"/>
      <x:c r="I7" s="15"/>
      <x:c r="J7" s="15"/>
      <x:c r="K7" s="15"/>
      <x:c r="L7" s="15"/>
    </x:row>
    <x:row r="8" ht="20" customHeight="1">
      <x:c r="A8" s="15"/>
      <x:c r="B8" s="15"/>
      <x:c r="C8" s="15"/>
      <x:c r="D8" s="15"/>
      <x:c r="E8" s="15"/>
      <x:c r="F8" s="15"/>
      <x:c r="G8" s="28"/>
      <x:c r="H8" s="28"/>
      <x:c r="I8" s="15"/>
      <x:c r="J8" s="15"/>
      <x:c r="K8" s="15"/>
      <x:c r="L8" s="15"/>
    </x:row>
    <x:row r="9" ht="20" customHeight="1">
      <x:c r="A9" s="15"/>
      <x:c r="B9" s="15"/>
      <x:c r="C9" s="15"/>
      <x:c r="D9" s="15"/>
      <x:c r="E9" s="15"/>
      <x:c r="F9" s="15"/>
      <x:c r="G9" s="28"/>
      <x:c r="H9" s="28"/>
      <x:c r="I9" s="15"/>
      <x:c r="J9" s="15"/>
      <x:c r="K9" s="15"/>
      <x:c r="L9" s="15"/>
    </x:row>
    <x:row r="10" ht="20" customHeight="1">
      <x:c r="A10" s="15"/>
      <x:c r="B10" s="15"/>
      <x:c r="C10" s="15"/>
      <x:c r="D10" s="15"/>
      <x:c r="E10" s="15"/>
      <x:c r="F10" s="15"/>
      <x:c r="G10" s="28"/>
      <x:c r="H10" s="28"/>
      <x:c r="I10" s="15"/>
      <x:c r="J10" s="15"/>
      <x:c r="K10" s="15"/>
      <x:c r="L10" s="15"/>
    </x:row>
    <x:row r="11" ht="20" customHeight="1">
      <x:c r="A11" s="15"/>
      <x:c r="B11" s="15"/>
      <x:c r="C11" s="15"/>
      <x:c r="D11" s="15"/>
      <x:c r="E11" s="15"/>
      <x:c r="F11" s="15"/>
      <x:c r="G11" s="28"/>
      <x:c r="H11" s="28"/>
      <x:c r="I11" s="15"/>
      <x:c r="J11" s="15"/>
      <x:c r="K11" s="15"/>
      <x:c r="L11" s="15"/>
    </x:row>
    <x:row r="12" ht="20" customHeight="1">
      <x:c r="A12" s="15"/>
      <x:c r="B12" s="15"/>
      <x:c r="C12" s="15"/>
      <x:c r="D12" s="15"/>
      <x:c r="E12" s="15"/>
      <x:c r="F12" s="15"/>
      <x:c r="G12" s="28"/>
      <x:c r="H12" s="28"/>
      <x:c r="I12" s="15"/>
      <x:c r="J12" s="15"/>
      <x:c r="K12" s="15"/>
      <x:c r="L12" s="15"/>
    </x:row>
    <x:row r="13" ht="20" customHeight="1">
      <x:c r="A13" s="15"/>
      <x:c r="B13" s="15"/>
      <x:c r="C13" s="15"/>
      <x:c r="D13" s="15"/>
      <x:c r="E13" s="15"/>
      <x:c r="F13" s="15"/>
      <x:c r="G13" s="28"/>
      <x:c r="H13" s="28"/>
      <x:c r="I13" s="15"/>
      <x:c r="J13" s="15"/>
      <x:c r="K13" s="15"/>
      <x:c r="L13" s="15"/>
    </x:row>
    <x:row r="14" ht="20" customHeight="1">
      <x:c r="A14" s="15"/>
      <x:c r="B14" s="15"/>
      <x:c r="C14" s="15"/>
      <x:c r="D14" s="15"/>
      <x:c r="E14" s="15"/>
      <x:c r="F14" s="15"/>
      <x:c r="G14" s="28"/>
      <x:c r="H14" s="28"/>
      <x:c r="I14" s="15"/>
      <x:c r="J14" s="15"/>
      <x:c r="K14" s="15"/>
      <x:c r="L14" s="15"/>
    </x:row>
    <x:row r="15" ht="20" customHeight="1">
      <x:c r="A15" s="15"/>
      <x:c r="B15" s="15"/>
      <x:c r="C15" s="15"/>
      <x:c r="D15" s="15"/>
      <x:c r="E15" s="15"/>
      <x:c r="F15" s="15"/>
      <x:c r="G15" s="28"/>
      <x:c r="H15" s="28"/>
      <x:c r="I15" s="15"/>
      <x:c r="J15" s="15"/>
      <x:c r="K15" s="15"/>
      <x:c r="L15" s="15"/>
    </x:row>
    <x:row r="16" ht="20" customHeight="1">
      <x:c r="A16" s="15"/>
      <x:c r="B16" s="15"/>
      <x:c r="C16" s="15"/>
      <x:c r="D16" s="15"/>
      <x:c r="E16" s="15"/>
      <x:c r="F16" s="15"/>
      <x:c r="G16" s="28"/>
      <x:c r="H16" s="28"/>
      <x:c r="I16" s="15"/>
      <x:c r="J16" s="15"/>
      <x:c r="K16" s="15"/>
      <x:c r="L16" s="15"/>
    </x:row>
    <x:row r="17" ht="20" customHeight="1">
      <x:c r="A17" s="15"/>
      <x:c r="B17" s="15"/>
      <x:c r="C17" s="15"/>
      <x:c r="D17" s="15"/>
      <x:c r="E17" s="15"/>
      <x:c r="F17" s="15"/>
      <x:c r="G17" s="28"/>
      <x:c r="H17" s="28"/>
      <x:c r="I17" s="15"/>
      <x:c r="J17" s="15"/>
      <x:c r="K17" s="15"/>
      <x:c r="L17" s="15"/>
    </x:row>
    <x:row r="18" ht="20" customHeight="1">
      <x:c r="A18" s="15"/>
      <x:c r="B18" s="15"/>
      <x:c r="C18" s="15"/>
      <x:c r="D18" s="15"/>
      <x:c r="E18" s="15"/>
      <x:c r="F18" s="15"/>
      <x:c r="G18" s="28"/>
      <x:c r="H18" s="28"/>
      <x:c r="I18" s="15"/>
      <x:c r="J18" s="15"/>
      <x:c r="K18" s="15"/>
      <x:c r="L18" s="15"/>
    </x:row>
    <x:row r="19" ht="20" customHeight="1">
      <x:c r="A19" s="15"/>
      <x:c r="B19" s="15"/>
      <x:c r="C19" s="15"/>
      <x:c r="D19" s="15"/>
      <x:c r="E19" s="15"/>
      <x:c r="F19" s="15"/>
      <x:c r="G19" s="28"/>
      <x:c r="H19" s="28"/>
      <x:c r="I19" s="15"/>
      <x:c r="J19" s="15"/>
      <x:c r="K19" s="15"/>
      <x:c r="L19" s="15"/>
    </x:row>
    <x:row r="20" ht="20" customHeight="1">
      <x:c r="A20" s="15"/>
      <x:c r="B20" s="15"/>
      <x:c r="C20" s="15"/>
      <x:c r="D20" s="15"/>
      <x:c r="E20" s="15"/>
      <x:c r="F20" s="15"/>
      <x:c r="G20" s="28"/>
      <x:c r="H20" s="28"/>
      <x:c r="I20" s="15"/>
      <x:c r="J20" s="15"/>
      <x:c r="K20" s="15"/>
      <x:c r="L20" s="15"/>
    </x:row>
    <x:row r="21" ht="20" customHeight="1">
      <x:c r="A21" s="15"/>
      <x:c r="B21" s="15"/>
      <x:c r="C21" s="15"/>
      <x:c r="D21" s="15"/>
      <x:c r="E21" s="15"/>
      <x:c r="F21" s="15"/>
      <x:c r="G21" s="28"/>
      <x:c r="H21" s="28"/>
      <x:c r="I21" s="15"/>
      <x:c r="J21" s="15"/>
      <x:c r="K21" s="15"/>
      <x:c r="L21" s="15"/>
    </x:row>
    <x:row r="22" ht="20" customHeight="1">
      <x:c r="A22" s="15"/>
      <x:c r="B22" s="15"/>
      <x:c r="C22" s="15"/>
      <x:c r="D22" s="15"/>
      <x:c r="E22" s="15"/>
      <x:c r="F22" s="15"/>
      <x:c r="G22" s="28"/>
      <x:c r="H22" s="28"/>
      <x:c r="I22" s="15"/>
      <x:c r="J22" s="15"/>
      <x:c r="K22" s="15"/>
      <x:c r="L22" s="15"/>
    </x:row>
    <x:row r="23" ht="20" customHeight="1">
      <x:c r="A23" s="15"/>
      <x:c r="B23" s="15"/>
      <x:c r="C23" s="15"/>
      <x:c r="D23" s="15"/>
      <x:c r="E23" s="15"/>
      <x:c r="F23" s="15"/>
      <x:c r="G23" s="28"/>
      <x:c r="H23" s="28"/>
      <x:c r="I23" s="15"/>
      <x:c r="J23" s="15"/>
      <x:c r="K23" s="15"/>
      <x:c r="L23" s="15"/>
    </x:row>
    <x:row r="24" ht="20" customHeight="1">
      <x:c r="A24" s="15"/>
      <x:c r="B24" s="15"/>
      <x:c r="C24" s="15"/>
      <x:c r="D24" s="15"/>
      <x:c r="E24" s="15"/>
      <x:c r="F24" s="15"/>
      <x:c r="G24" s="28"/>
      <x:c r="H24" s="28"/>
      <x:c r="I24" s="15"/>
      <x:c r="J24" s="15"/>
      <x:c r="K24" s="15"/>
      <x:c r="L24" s="15"/>
    </x:row>
    <x:row r="25" ht="20" customHeight="1">
      <x:c r="A25" s="15"/>
      <x:c r="B25" s="15"/>
      <x:c r="C25" s="15"/>
      <x:c r="D25" s="15"/>
      <x:c r="E25" s="15"/>
      <x:c r="F25" s="15"/>
      <x:c r="G25" s="28"/>
      <x:c r="H25" s="28"/>
      <x:c r="I25" s="15"/>
      <x:c r="J25" s="15"/>
      <x:c r="K25" s="15"/>
      <x:c r="L25" s="15"/>
    </x:row>
    <x:row r="26" ht="20" customHeight="1">
      <x:c r="A26" s="15"/>
      <x:c r="B26" s="15"/>
      <x:c r="C26" s="15"/>
      <x:c r="D26" s="15"/>
      <x:c r="E26" s="15"/>
      <x:c r="F26" s="15"/>
      <x:c r="G26" s="28"/>
      <x:c r="H26" s="28"/>
      <x:c r="I26" s="15"/>
      <x:c r="J26" s="15"/>
      <x:c r="K26" s="15"/>
      <x:c r="L26" s="15"/>
    </x:row>
    <x:row r="27" ht="20" customHeight="1">
      <x:c r="A27" s="15"/>
      <x:c r="B27" s="15"/>
      <x:c r="C27" s="15"/>
      <x:c r="D27" s="15"/>
      <x:c r="E27" s="15"/>
      <x:c r="F27" s="15"/>
      <x:c r="G27" s="28"/>
      <x:c r="H27" s="28"/>
      <x:c r="I27" s="15"/>
      <x:c r="J27" s="15"/>
      <x:c r="K27" s="15"/>
      <x:c r="L27" s="15"/>
    </x:row>
    <x:row r="28" ht="20" customHeight="1">
      <x:c r="A28" s="15"/>
      <x:c r="B28" s="15"/>
      <x:c r="C28" s="15"/>
      <x:c r="D28" s="15"/>
      <x:c r="E28" s="15"/>
      <x:c r="F28" s="15"/>
      <x:c r="G28" s="28"/>
      <x:c r="H28" s="28"/>
      <x:c r="I28" s="15"/>
      <x:c r="J28" s="15"/>
      <x:c r="K28" s="15"/>
      <x:c r="L28" s="15"/>
    </x:row>
    <x:row r="29" ht="20" customHeight="1">
      <x:c r="A29" s="15"/>
      <x:c r="B29" s="15"/>
      <x:c r="C29" s="15"/>
      <x:c r="D29" s="15"/>
      <x:c r="E29" s="15"/>
      <x:c r="F29" s="15"/>
      <x:c r="G29" s="28"/>
      <x:c r="H29" s="28"/>
      <x:c r="I29" s="15"/>
      <x:c r="J29" s="15"/>
      <x:c r="K29" s="15"/>
      <x:c r="L29" s="15"/>
    </x:row>
    <x:row r="30" ht="20" customHeight="1">
      <x:c r="A30" s="15"/>
      <x:c r="B30" s="15"/>
      <x:c r="C30" s="15"/>
      <x:c r="D30" s="15"/>
      <x:c r="E30" s="15"/>
      <x:c r="F30" s="15"/>
      <x:c r="G30" s="28"/>
      <x:c r="H30" s="28"/>
      <x:c r="I30" s="15"/>
      <x:c r="J30" s="15"/>
      <x:c r="K30" s="15"/>
      <x:c r="L30" s="15"/>
    </x:row>
    <x:row r="31" ht="20" customHeight="1">
      <x:c r="A31" s="15"/>
      <x:c r="B31" s="15"/>
      <x:c r="C31" s="15"/>
      <x:c r="D31" s="15"/>
      <x:c r="E31" s="15"/>
      <x:c r="F31" s="15"/>
      <x:c r="G31" s="28"/>
      <x:c r="H31" s="28"/>
      <x:c r="I31" s="15"/>
      <x:c r="J31" s="15"/>
      <x:c r="K31" s="15"/>
      <x:c r="L31" s="15"/>
    </x:row>
    <x:row r="32" ht="20" customHeight="1">
      <x:c r="A32" s="15"/>
      <x:c r="B32" s="15"/>
      <x:c r="C32" s="15"/>
      <x:c r="D32" s="15"/>
      <x:c r="E32" s="15"/>
      <x:c r="F32" s="15"/>
      <x:c r="G32" s="28"/>
      <x:c r="H32" s="28"/>
      <x:c r="I32" s="15"/>
      <x:c r="J32" s="15"/>
      <x:c r="K32" s="15"/>
      <x:c r="L32" s="15"/>
    </x:row>
    <x:row r="33" ht="20" customHeight="1">
      <x:c r="A33" s="15"/>
      <x:c r="B33" s="15"/>
      <x:c r="C33" s="15"/>
      <x:c r="D33" s="15"/>
      <x:c r="E33" s="15"/>
      <x:c r="F33" s="15"/>
      <x:c r="G33" s="28"/>
      <x:c r="H33" s="28"/>
      <x:c r="I33" s="15"/>
      <x:c r="J33" s="15"/>
      <x:c r="K33" s="15"/>
      <x:c r="L33" s="15"/>
    </x:row>
    <x:row r="34" ht="20" customHeight="1">
      <x:c r="A34" s="15"/>
      <x:c r="B34" s="15"/>
      <x:c r="C34" s="15"/>
      <x:c r="D34" s="15"/>
      <x:c r="E34" s="15"/>
      <x:c r="F34" s="15"/>
      <x:c r="G34" s="28"/>
      <x:c r="H34" s="28"/>
      <x:c r="I34" s="15"/>
      <x:c r="J34" s="15"/>
      <x:c r="K34" s="15"/>
      <x:c r="L34" s="15"/>
    </x:row>
    <x:row r="35" ht="20" customHeight="1">
      <x:c r="A35" s="15"/>
      <x:c r="B35" s="15"/>
      <x:c r="C35" s="15"/>
      <x:c r="D35" s="15"/>
      <x:c r="E35" s="15"/>
      <x:c r="F35" s="15"/>
      <x:c r="G35" s="28"/>
      <x:c r="H35" s="28"/>
      <x:c r="I35" s="15"/>
      <x:c r="J35" s="15"/>
      <x:c r="K35" s="15"/>
      <x:c r="L35" s="15"/>
    </x:row>
    <x:row r="36" ht="20" customHeight="1">
      <x:c r="A36" s="15"/>
      <x:c r="B36" s="15"/>
      <x:c r="C36" s="15"/>
      <x:c r="D36" s="15"/>
      <x:c r="E36" s="15"/>
      <x:c r="F36" s="15"/>
      <x:c r="G36" s="28"/>
      <x:c r="H36" s="28"/>
      <x:c r="I36" s="15"/>
      <x:c r="J36" s="15"/>
      <x:c r="K36" s="15"/>
      <x:c r="L36" s="15"/>
    </x:row>
    <x:row r="37" ht="20" customHeight="1">
      <x:c r="A37" s="15"/>
      <x:c r="B37" s="15"/>
      <x:c r="C37" s="15"/>
      <x:c r="D37" s="15"/>
      <x:c r="E37" s="15"/>
      <x:c r="F37" s="15"/>
      <x:c r="G37" s="28"/>
      <x:c r="H37" s="28"/>
      <x:c r="I37" s="15"/>
      <x:c r="J37" s="15"/>
      <x:c r="K37" s="15"/>
      <x:c r="L37" s="15"/>
    </x:row>
    <x:row r="38" ht="20" customHeight="1">
      <x:c r="A38" s="15"/>
      <x:c r="B38" s="15"/>
      <x:c r="C38" s="15"/>
      <x:c r="D38" s="15"/>
      <x:c r="E38" s="15"/>
      <x:c r="F38" s="15"/>
      <x:c r="G38" s="28"/>
      <x:c r="H38" s="28"/>
      <x:c r="I38" s="15"/>
      <x:c r="J38" s="15"/>
      <x:c r="K38" s="15"/>
      <x:c r="L38" s="15"/>
    </x:row>
    <x:row r="39" ht="20" customHeight="1">
      <x:c r="A39" s="15"/>
      <x:c r="B39" s="15"/>
      <x:c r="C39" s="15"/>
      <x:c r="D39" s="15"/>
      <x:c r="E39" s="15"/>
      <x:c r="F39" s="15"/>
      <x:c r="G39" s="28"/>
      <x:c r="H39" s="28"/>
      <x:c r="I39" s="15"/>
      <x:c r="J39" s="15"/>
      <x:c r="K39" s="15"/>
      <x:c r="L39" s="15"/>
    </x:row>
    <x:row r="40" ht="20" customHeight="1">
      <x:c r="A40" s="15"/>
      <x:c r="B40" s="15"/>
      <x:c r="C40" s="15"/>
      <x:c r="D40" s="15"/>
      <x:c r="E40" s="15"/>
      <x:c r="F40" s="15"/>
      <x:c r="G40" s="28"/>
      <x:c r="H40" s="28"/>
      <x:c r="I40" s="15"/>
      <x:c r="J40" s="15"/>
      <x:c r="K40" s="15"/>
      <x:c r="L40" s="15"/>
    </x:row>
    <x:row r="41" ht="20" customHeight="1">
      <x:c r="A41" s="15"/>
      <x:c r="B41" s="15"/>
      <x:c r="C41" s="15"/>
      <x:c r="D41" s="15"/>
      <x:c r="E41" s="15"/>
      <x:c r="F41" s="15"/>
      <x:c r="G41" s="28"/>
      <x:c r="H41" s="28"/>
      <x:c r="I41" s="15"/>
      <x:c r="J41" s="15"/>
      <x:c r="K41" s="15"/>
      <x:c r="L41" s="15"/>
    </x:row>
    <x:row r="42" ht="20" customHeight="1">
      <x:c r="A42" s="15"/>
      <x:c r="B42" s="15"/>
      <x:c r="C42" s="15"/>
      <x:c r="D42" s="15"/>
      <x:c r="E42" s="15"/>
      <x:c r="F42" s="15"/>
      <x:c r="G42" s="28"/>
      <x:c r="H42" s="28"/>
      <x:c r="I42" s="15"/>
      <x:c r="J42" s="15"/>
      <x:c r="K42" s="15"/>
      <x:c r="L42" s="15"/>
    </x:row>
    <x:row r="43" ht="20" customHeight="1">
      <x:c r="A43" s="15"/>
      <x:c r="B43" s="15"/>
      <x:c r="C43" s="15"/>
      <x:c r="D43" s="15"/>
      <x:c r="E43" s="15"/>
      <x:c r="F43" s="15"/>
      <x:c r="G43" s="28"/>
      <x:c r="H43" s="28"/>
      <x:c r="I43" s="15"/>
      <x:c r="J43" s="15"/>
      <x:c r="K43" s="15"/>
      <x:c r="L43" s="15"/>
    </x:row>
    <x:row r="44" ht="20" customHeight="1">
      <x:c r="A44" s="15"/>
      <x:c r="B44" s="15"/>
      <x:c r="C44" s="15"/>
      <x:c r="D44" s="15"/>
      <x:c r="E44" s="15"/>
      <x:c r="F44" s="15"/>
      <x:c r="G44" s="28"/>
      <x:c r="H44" s="28"/>
      <x:c r="I44" s="15"/>
      <x:c r="J44" s="15"/>
      <x:c r="K44" s="15"/>
      <x:c r="L44" s="15"/>
    </x:row>
    <x:row r="45" ht="20" customHeight="1">
      <x:c r="A45" s="15"/>
      <x:c r="B45" s="15"/>
      <x:c r="C45" s="15"/>
      <x:c r="D45" s="15"/>
      <x:c r="E45" s="15"/>
      <x:c r="F45" s="15"/>
      <x:c r="G45" s="28"/>
      <x:c r="H45" s="28"/>
      <x:c r="I45" s="15"/>
      <x:c r="J45" s="15"/>
      <x:c r="K45" s="15"/>
      <x:c r="L45" s="15"/>
    </x:row>
    <x:row r="46" ht="20" customHeight="1">
      <x:c r="A46" s="15"/>
      <x:c r="B46" s="15"/>
      <x:c r="C46" s="15"/>
      <x:c r="D46" s="15"/>
      <x:c r="E46" s="15"/>
      <x:c r="F46" s="15"/>
      <x:c r="G46" s="28"/>
      <x:c r="H46" s="28"/>
      <x:c r="I46" s="15"/>
      <x:c r="J46" s="15"/>
      <x:c r="K46" s="15"/>
      <x:c r="L46" s="15"/>
    </x:row>
    <x:row r="47" ht="20" customHeight="1">
      <x:c r="A47" s="15"/>
      <x:c r="B47" s="15"/>
      <x:c r="C47" s="15"/>
      <x:c r="D47" s="15"/>
      <x:c r="E47" s="15"/>
      <x:c r="F47" s="15"/>
      <x:c r="G47" s="28"/>
      <x:c r="H47" s="28"/>
      <x:c r="I47" s="15"/>
      <x:c r="J47" s="15"/>
      <x:c r="K47" s="15"/>
      <x:c r="L47" s="15"/>
    </x:row>
    <x:row r="48" ht="20" customHeight="1">
      <x:c r="A48" s="15"/>
      <x:c r="B48" s="15"/>
      <x:c r="C48" s="15"/>
      <x:c r="D48" s="15"/>
      <x:c r="E48" s="15"/>
      <x:c r="F48" s="15"/>
      <x:c r="G48" s="28"/>
      <x:c r="H48" s="28"/>
      <x:c r="I48" s="15"/>
      <x:c r="J48" s="15"/>
      <x:c r="K48" s="15"/>
      <x:c r="L48" s="15"/>
    </x:row>
    <x:row r="49" ht="20" customHeight="1">
      <x:c r="A49" s="15"/>
      <x:c r="B49" s="15"/>
      <x:c r="C49" s="15"/>
      <x:c r="D49" s="15"/>
      <x:c r="E49" s="15"/>
      <x:c r="F49" s="15"/>
      <x:c r="G49" s="28"/>
      <x:c r="H49" s="28"/>
      <x:c r="I49" s="15"/>
      <x:c r="J49" s="15"/>
      <x:c r="K49" s="15"/>
      <x:c r="L49" s="15"/>
    </x:row>
    <x:row r="50" ht="20" customHeight="1">
      <x:c r="A50" s="15"/>
      <x:c r="B50" s="15"/>
      <x:c r="C50" s="15"/>
      <x:c r="D50" s="15"/>
      <x:c r="E50" s="15"/>
      <x:c r="F50" s="15"/>
      <x:c r="G50" s="28"/>
      <x:c r="H50" s="28"/>
      <x:c r="I50" s="15"/>
      <x:c r="J50" s="15"/>
      <x:c r="K50" s="15"/>
      <x:c r="L50" s="15"/>
    </x:row>
    <x:row r="51" ht="20" customHeight="1">
      <x:c r="A51" s="15"/>
      <x:c r="B51" s="15"/>
      <x:c r="C51" s="15"/>
      <x:c r="D51" s="15"/>
      <x:c r="E51" s="15"/>
      <x:c r="F51" s="15"/>
      <x:c r="G51" s="28"/>
      <x:c r="H51" s="28"/>
      <x:c r="I51" s="15"/>
      <x:c r="J51" s="15"/>
      <x:c r="K51" s="15"/>
      <x:c r="L51" s="15"/>
    </x:row>
    <x:row r="52" ht="20" customHeight="1">
      <x:c r="A52" s="15"/>
      <x:c r="B52" s="15"/>
      <x:c r="C52" s="15"/>
      <x:c r="D52" s="15"/>
      <x:c r="E52" s="15"/>
      <x:c r="F52" s="15"/>
      <x:c r="G52" s="28"/>
      <x:c r="H52" s="28"/>
      <x:c r="I52" s="15"/>
      <x:c r="J52" s="15"/>
      <x:c r="K52" s="15"/>
      <x:c r="L52" s="15"/>
    </x:row>
    <x:row r="53" ht="20" customHeight="1">
      <x:c r="A53" s="15"/>
      <x:c r="B53" s="15"/>
      <x:c r="C53" s="15"/>
      <x:c r="D53" s="15"/>
      <x:c r="E53" s="15"/>
      <x:c r="F53" s="15"/>
      <x:c r="G53" s="28"/>
      <x:c r="H53" s="28"/>
      <x:c r="I53" s="15"/>
      <x:c r="J53" s="15"/>
      <x:c r="K53" s="15"/>
      <x:c r="L53" s="15"/>
    </x:row>
    <x:row r="54" ht="20" customHeight="1">
      <x:c r="A54" s="15"/>
      <x:c r="B54" s="15"/>
      <x:c r="C54" s="15"/>
      <x:c r="D54" s="15"/>
      <x:c r="E54" s="15"/>
      <x:c r="F54" s="15"/>
      <x:c r="G54" s="28"/>
      <x:c r="H54" s="28"/>
      <x:c r="I54" s="15"/>
      <x:c r="J54" s="15"/>
      <x:c r="K54" s="15"/>
      <x:c r="L54" s="15"/>
    </x:row>
    <x:row r="55" ht="20" customHeight="1">
      <x:c r="A55" s="15"/>
      <x:c r="B55" s="15"/>
      <x:c r="C55" s="15"/>
      <x:c r="D55" s="15"/>
      <x:c r="E55" s="15"/>
      <x:c r="F55" s="15"/>
      <x:c r="G55" s="28"/>
      <x:c r="H55" s="28"/>
      <x:c r="I55" s="15"/>
      <x:c r="J55" s="15"/>
      <x:c r="K55" s="15"/>
      <x:c r="L55" s="15"/>
    </x:row>
    <x:row r="56" ht="20" customHeight="1">
      <x:c r="A56" s="15"/>
      <x:c r="B56" s="15"/>
      <x:c r="C56" s="15"/>
      <x:c r="D56" s="15"/>
      <x:c r="E56" s="15"/>
      <x:c r="F56" s="15"/>
      <x:c r="G56" s="28"/>
      <x:c r="H56" s="28"/>
      <x:c r="I56" s="15"/>
      <x:c r="J56" s="15"/>
      <x:c r="K56" s="15"/>
      <x:c r="L56" s="15"/>
    </x:row>
    <x:row r="57" ht="20" customHeight="1">
      <x:c r="A57" s="15"/>
      <x:c r="B57" s="15"/>
      <x:c r="C57" s="15"/>
      <x:c r="D57" s="15"/>
      <x:c r="E57" s="15"/>
      <x:c r="F57" s="15"/>
      <x:c r="G57" s="28"/>
      <x:c r="H57" s="28"/>
      <x:c r="I57" s="15"/>
      <x:c r="J57" s="15"/>
      <x:c r="K57" s="15"/>
      <x:c r="L57" s="15"/>
    </x:row>
    <x:row r="58" ht="20" customHeight="1">
      <x:c r="A58" s="15"/>
      <x:c r="B58" s="15"/>
      <x:c r="C58" s="15"/>
      <x:c r="D58" s="15"/>
      <x:c r="E58" s="15"/>
      <x:c r="F58" s="15"/>
      <x:c r="G58" s="28"/>
      <x:c r="H58" s="28"/>
      <x:c r="I58" s="15"/>
      <x:c r="J58" s="15"/>
      <x:c r="K58" s="15"/>
      <x:c r="L58" s="15"/>
    </x:row>
    <x:row r="59" ht="20" customHeight="1">
      <x:c r="A59" s="15"/>
      <x:c r="B59" s="15"/>
      <x:c r="C59" s="15"/>
      <x:c r="D59" s="15"/>
      <x:c r="E59" s="15"/>
      <x:c r="F59" s="15"/>
      <x:c r="G59" s="28"/>
      <x:c r="H59" s="28"/>
      <x:c r="I59" s="15"/>
      <x:c r="J59" s="15"/>
      <x:c r="K59" s="15"/>
      <x:c r="L59" s="15"/>
    </x:row>
    <x:row r="60" ht="20" customHeight="1">
      <x:c r="A60" s="15"/>
      <x:c r="B60" s="15"/>
      <x:c r="C60" s="15"/>
      <x:c r="D60" s="15"/>
      <x:c r="E60" s="15"/>
      <x:c r="F60" s="15"/>
      <x:c r="G60" s="28"/>
      <x:c r="H60" s="28"/>
      <x:c r="I60" s="15"/>
      <x:c r="J60" s="15"/>
      <x:c r="K60" s="15"/>
      <x:c r="L60" s="15"/>
    </x:row>
    <x:row r="61" ht="20" customHeight="1">
      <x:c r="A61" s="15"/>
      <x:c r="B61" s="15"/>
      <x:c r="C61" s="15"/>
      <x:c r="D61" s="15"/>
      <x:c r="E61" s="15"/>
      <x:c r="F61" s="15"/>
      <x:c r="G61" s="28"/>
      <x:c r="H61" s="28"/>
      <x:c r="I61" s="15"/>
      <x:c r="J61" s="15"/>
      <x:c r="K61" s="15"/>
      <x:c r="L61" s="15"/>
    </x:row>
    <x:row r="62" ht="20" customHeight="1">
      <x:c r="A62" s="15"/>
      <x:c r="B62" s="15"/>
      <x:c r="C62" s="15"/>
      <x:c r="D62" s="15"/>
      <x:c r="E62" s="15"/>
      <x:c r="F62" s="15"/>
      <x:c r="G62" s="28"/>
      <x:c r="H62" s="28"/>
      <x:c r="I62" s="15"/>
      <x:c r="J62" s="15"/>
      <x:c r="K62" s="15"/>
      <x:c r="L62" s="15"/>
    </x:row>
    <x:row r="63" ht="20" customHeight="1">
      <x:c r="A63" s="15"/>
      <x:c r="B63" s="15"/>
      <x:c r="C63" s="15"/>
      <x:c r="D63" s="15"/>
      <x:c r="E63" s="15"/>
      <x:c r="F63" s="15"/>
      <x:c r="G63" s="28"/>
      <x:c r="H63" s="28"/>
      <x:c r="I63" s="15"/>
      <x:c r="J63" s="15"/>
      <x:c r="K63" s="15"/>
      <x:c r="L63" s="15"/>
    </x:row>
    <x:row r="64" ht="20" customHeight="1">
      <x:c r="A64" s="15"/>
      <x:c r="B64" s="15"/>
      <x:c r="C64" s="15"/>
      <x:c r="D64" s="15"/>
      <x:c r="E64" s="15"/>
      <x:c r="F64" s="15"/>
      <x:c r="G64" s="28"/>
      <x:c r="H64" s="28"/>
      <x:c r="I64" s="15"/>
      <x:c r="J64" s="15"/>
      <x:c r="K64" s="15"/>
      <x:c r="L64" s="15"/>
    </x:row>
    <x:row r="65" ht="20" customHeight="1">
      <x:c r="A65" s="15"/>
      <x:c r="B65" s="15"/>
      <x:c r="C65" s="15"/>
      <x:c r="D65" s="15"/>
      <x:c r="E65" s="15"/>
      <x:c r="F65" s="15"/>
      <x:c r="G65" s="28"/>
      <x:c r="H65" s="28"/>
      <x:c r="I65" s="15"/>
      <x:c r="J65" s="15"/>
      <x:c r="K65" s="15"/>
      <x:c r="L65" s="15"/>
    </x:row>
    <x:row r="66" ht="20" customHeight="1">
      <x:c r="A66" s="15"/>
      <x:c r="B66" s="15"/>
      <x:c r="C66" s="15"/>
      <x:c r="D66" s="15"/>
      <x:c r="E66" s="15"/>
      <x:c r="F66" s="15"/>
      <x:c r="G66" s="28"/>
      <x:c r="H66" s="28"/>
      <x:c r="I66" s="15"/>
      <x:c r="J66" s="15"/>
      <x:c r="K66" s="15"/>
      <x:c r="L66" s="15"/>
    </x:row>
    <x:row r="67" ht="20" customHeight="1">
      <x:c r="A67" s="15"/>
      <x:c r="B67" s="15"/>
      <x:c r="C67" s="15"/>
      <x:c r="D67" s="15"/>
      <x:c r="E67" s="15"/>
      <x:c r="F67" s="15"/>
      <x:c r="G67" s="28"/>
      <x:c r="H67" s="28"/>
      <x:c r="I67" s="15"/>
      <x:c r="J67" s="15"/>
      <x:c r="K67" s="15"/>
      <x:c r="L67" s="15"/>
    </x:row>
    <x:row r="68" ht="20" customHeight="1">
      <x:c r="A68" s="15"/>
      <x:c r="B68" s="15"/>
      <x:c r="C68" s="15"/>
      <x:c r="D68" s="15"/>
      <x:c r="E68" s="15"/>
      <x:c r="F68" s="15"/>
      <x:c r="G68" s="28"/>
      <x:c r="H68" s="28"/>
      <x:c r="I68" s="15"/>
      <x:c r="J68" s="15"/>
      <x:c r="K68" s="15"/>
      <x:c r="L68" s="15"/>
    </x:row>
    <x:row r="69" ht="20" customHeight="1">
      <x:c r="A69" s="15"/>
      <x:c r="B69" s="15"/>
      <x:c r="C69" s="15"/>
      <x:c r="D69" s="15"/>
      <x:c r="E69" s="15"/>
      <x:c r="F69" s="15"/>
      <x:c r="G69" s="28"/>
      <x:c r="H69" s="28"/>
      <x:c r="I69" s="15"/>
      <x:c r="J69" s="15"/>
      <x:c r="K69" s="15"/>
      <x:c r="L69" s="15"/>
    </x:row>
    <x:row r="70" ht="20" customHeight="1">
      <x:c r="A70" s="15"/>
      <x:c r="B70" s="15"/>
      <x:c r="C70" s="15"/>
      <x:c r="D70" s="15"/>
      <x:c r="E70" s="15"/>
      <x:c r="F70" s="15"/>
      <x:c r="G70" s="28"/>
      <x:c r="H70" s="28"/>
      <x:c r="I70" s="15"/>
      <x:c r="J70" s="15"/>
      <x:c r="K70" s="15"/>
      <x:c r="L70" s="15"/>
    </x:row>
    <x:row r="71" ht="20" customHeight="1">
      <x:c r="A71" s="15"/>
      <x:c r="B71" s="15"/>
      <x:c r="C71" s="15"/>
      <x:c r="D71" s="15"/>
      <x:c r="E71" s="15"/>
      <x:c r="F71" s="15"/>
      <x:c r="G71" s="28"/>
      <x:c r="H71" s="28"/>
      <x:c r="I71" s="15"/>
      <x:c r="J71" s="15"/>
      <x:c r="K71" s="15"/>
      <x:c r="L71" s="15"/>
    </x:row>
    <x:row r="72" ht="20" customHeight="1">
      <x:c r="A72" s="15"/>
      <x:c r="B72" s="15"/>
      <x:c r="C72" s="15"/>
      <x:c r="D72" s="15"/>
      <x:c r="E72" s="15"/>
      <x:c r="F72" s="15"/>
      <x:c r="G72" s="28"/>
      <x:c r="H72" s="28"/>
      <x:c r="I72" s="15"/>
      <x:c r="J72" s="15"/>
      <x:c r="K72" s="15"/>
      <x:c r="L72" s="15"/>
    </x:row>
    <x:row r="73" ht="20" customHeight="1">
      <x:c r="A73" s="15"/>
      <x:c r="B73" s="15"/>
      <x:c r="C73" s="15"/>
      <x:c r="D73" s="15"/>
      <x:c r="E73" s="15"/>
      <x:c r="F73" s="15"/>
      <x:c r="G73" s="28"/>
      <x:c r="H73" s="28"/>
      <x:c r="I73" s="15"/>
      <x:c r="J73" s="15"/>
      <x:c r="K73" s="15"/>
      <x:c r="L73" s="15"/>
    </x:row>
    <x:row r="74" ht="20" customHeight="1">
      <x:c r="A74" s="15"/>
      <x:c r="B74" s="15"/>
      <x:c r="C74" s="15"/>
      <x:c r="D74" s="15"/>
      <x:c r="E74" s="15"/>
      <x:c r="F74" s="15"/>
      <x:c r="G74" s="28"/>
      <x:c r="H74" s="28"/>
      <x:c r="I74" s="15"/>
      <x:c r="J74" s="15"/>
      <x:c r="K74" s="15"/>
      <x:c r="L74" s="15"/>
    </x:row>
    <x:row r="75" ht="20" customHeight="1">
      <x:c r="A75" s="15"/>
      <x:c r="B75" s="15"/>
      <x:c r="C75" s="15"/>
      <x:c r="D75" s="15"/>
      <x:c r="E75" s="15"/>
      <x:c r="F75" s="15"/>
      <x:c r="G75" s="28"/>
      <x:c r="H75" s="28"/>
      <x:c r="I75" s="15"/>
      <x:c r="J75" s="15"/>
      <x:c r="K75" s="15"/>
      <x:c r="L75" s="15"/>
    </x:row>
    <x:row r="76" ht="20" customHeight="1">
      <x:c r="A76" s="15"/>
      <x:c r="B76" s="15"/>
      <x:c r="C76" s="15"/>
      <x:c r="D76" s="15"/>
      <x:c r="E76" s="15"/>
      <x:c r="F76" s="15"/>
      <x:c r="G76" s="28"/>
      <x:c r="H76" s="28"/>
      <x:c r="I76" s="15"/>
      <x:c r="J76" s="15"/>
      <x:c r="K76" s="15"/>
      <x:c r="L76" s="15"/>
    </x:row>
    <x:row r="77" ht="20" customHeight="1">
      <x:c r="A77" s="15"/>
      <x:c r="B77" s="15"/>
      <x:c r="C77" s="15"/>
      <x:c r="D77" s="15"/>
      <x:c r="E77" s="15"/>
      <x:c r="F77" s="15"/>
      <x:c r="G77" s="28"/>
      <x:c r="H77" s="28"/>
      <x:c r="I77" s="15"/>
      <x:c r="J77" s="15"/>
      <x:c r="K77" s="15"/>
      <x:c r="L77" s="15"/>
    </x:row>
    <x:row r="78" ht="20" customHeight="1">
      <x:c r="A78" s="15"/>
      <x:c r="B78" s="15"/>
      <x:c r="C78" s="15"/>
      <x:c r="D78" s="15"/>
      <x:c r="E78" s="15"/>
      <x:c r="F78" s="15"/>
      <x:c r="G78" s="28"/>
      <x:c r="H78" s="28"/>
      <x:c r="I78" s="15"/>
      <x:c r="J78" s="15"/>
      <x:c r="K78" s="15"/>
      <x:c r="L78" s="15"/>
    </x:row>
    <x:row r="79" ht="20" customHeight="1">
      <x:c r="A79" s="15"/>
      <x:c r="B79" s="15"/>
      <x:c r="C79" s="15"/>
      <x:c r="D79" s="15"/>
      <x:c r="E79" s="15"/>
      <x:c r="F79" s="15"/>
      <x:c r="G79" s="28"/>
      <x:c r="H79" s="28"/>
      <x:c r="I79" s="15"/>
      <x:c r="J79" s="15"/>
      <x:c r="K79" s="15"/>
      <x:c r="L79" s="15"/>
    </x:row>
    <x:row r="80" ht="20" customHeight="1">
      <x:c r="A80" s="15"/>
      <x:c r="B80" s="15"/>
      <x:c r="C80" s="15"/>
      <x:c r="D80" s="15"/>
      <x:c r="E80" s="15"/>
      <x:c r="F80" s="15"/>
      <x:c r="G80" s="28"/>
      <x:c r="H80" s="28"/>
      <x:c r="I80" s="15"/>
      <x:c r="J80" s="15"/>
      <x:c r="K80" s="15"/>
      <x:c r="L80" s="15"/>
    </x:row>
    <x:row r="81" ht="20" customHeight="1">
      <x:c r="A81" s="15"/>
      <x:c r="B81" s="15"/>
      <x:c r="C81" s="15"/>
      <x:c r="D81" s="15"/>
      <x:c r="E81" s="15"/>
      <x:c r="F81" s="15"/>
      <x:c r="G81" s="28"/>
      <x:c r="H81" s="28"/>
      <x:c r="I81" s="15"/>
      <x:c r="J81" s="15"/>
      <x:c r="K81" s="15"/>
      <x:c r="L81" s="15"/>
    </x:row>
  </x:sheetData>
  <x:dataValidations count="2">
    <x:dataValidation type="list" sqref="F2:F81">
      <x:formula1>"Planning,Precon,Active,On Hold,Closeout,Complete"</x:formula1>
    </x:dataValidation>
    <x:dataValidation type="list" sqref="K2:K81">
      <x:formula1>"Unit Rate,T&amp;M,Fixed Fee,Hybrid"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ab31eeb1f948f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8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  <x:col min="9" max="9" width="28" hidden="0" customWidth="1"/>
    <x:col min="10" max="10" width="14" hidden="0" customWidth="1"/>
    <x:col min="11" max="11" width="38" hidden="0" customWidth="1"/>
  </x:cols>
  <x:sheetData>
    <x:row r="1" ht="30" customHeight="1">
      <x:c r="A1" s="64" t="str">
        <x:v>EmployeeID</x:v>
      </x:c>
      <x:c r="B1" s="64" t="str">
        <x:v>FullName</x:v>
      </x:c>
      <x:c r="C1" s="64" t="str">
        <x:v>Company</x:v>
      </x:c>
      <x:c r="D1" s="64" t="str">
        <x:v>Role</x:v>
      </x:c>
      <x:c r="E1" s="64" t="str">
        <x:v>CrewID</x:v>
      </x:c>
      <x:c r="F1" s="64" t="str">
        <x:v>Status</x:v>
      </x:c>
      <x:c r="G1" s="64" t="str">
        <x:v>Phone</x:v>
      </x:c>
      <x:c r="H1" s="64" t="str">
        <x:v>HourlyRate</x:v>
      </x:c>
      <x:c r="I1" s="64" t="str">
        <x:v>Certifications</x:v>
      </x:c>
      <x:c r="J1" s="64" t="str">
        <x:v>CertExpiry</x:v>
      </x:c>
      <x:c r="K1" s="64" t="str">
        <x:v>Notes</x:v>
      </x:c>
    </x:row>
    <x:row r="2" ht="20" customHeight="1">
      <x:c r="A2" s="15" t="str">
        <x:v>EMP-001</x:v>
      </x:c>
      <x:c r="B2" s="15" t="str">
        <x:v>D. Foreman</x:v>
      </x:c>
      <x:c r="C2" s="15" t="str">
        <x:v>Crewproof Demo</x:v>
      </x:c>
      <x:c r="D2" s="15" t="str">
        <x:v>Foreman</x:v>
      </x:c>
      <x:c r="E2" s="15" t="str">
        <x:v>CRW-A</x:v>
      </x:c>
      <x:c r="F2" s="15" t="str">
        <x:v>Active</x:v>
      </x:c>
      <x:c r="G2" s="15" t="str">
        <x:v>555-0101</x:v>
      </x:c>
      <x:c r="H2" s="70" t="n">
        <x:v>42</x:v>
      </x:c>
      <x:c r="I2" s="15" t="str">
        <x:v>OSHA10, First Aid</x:v>
      </x:c>
      <x:c r="J2" s="28" t="n">
        <x:v>46387</x:v>
      </x:c>
      <x:c r="K2" s="15" t="str">
        <x:v>Sample</x:v>
      </x:c>
    </x:row>
    <x:row r="3" ht="20" customHeight="1">
      <x:c r="A3" s="15" t="str">
        <x:v>EMP-002</x:v>
      </x:c>
      <x:c r="B3" s="15" t="str">
        <x:v>J. Tech</x:v>
      </x:c>
      <x:c r="C3" s="15" t="str">
        <x:v>Crewproof Demo</x:v>
      </x:c>
      <x:c r="D3" s="15" t="str">
        <x:v>Laborer</x:v>
      </x:c>
      <x:c r="E3" s="15" t="str">
        <x:v>CRW-A</x:v>
      </x:c>
      <x:c r="F3" s="15" t="str">
        <x:v>Active</x:v>
      </x:c>
      <x:c r="G3" s="15" t="str">
        <x:v>555-0102</x:v>
      </x:c>
      <x:c r="H3" s="70" t="n">
        <x:v>28</x:v>
      </x:c>
      <x:c r="I3" s="15" t="str">
        <x:v>OSHA10</x:v>
      </x:c>
      <x:c r="J3" s="28" t="n">
        <x:v>46356</x:v>
      </x:c>
      <x:c r="K3" s="15" t="str">
        <x:v>Sample</x:v>
      </x:c>
    </x:row>
    <x:row r="4" ht="20" customHeight="1">
      <x:c r="A4" s="15" t="str">
        <x:v>EMP-003</x:v>
      </x:c>
      <x:c r="B4" s="15" t="str">
        <x:v>S. Operator</x:v>
      </x:c>
      <x:c r="C4" s="15" t="str">
        <x:v>Crewproof Demo</x:v>
      </x:c>
      <x:c r="D4" s="15" t="str">
        <x:v>Operator</x:v>
      </x:c>
      <x:c r="E4" s="15" t="str">
        <x:v>CRW-B</x:v>
      </x:c>
      <x:c r="F4" s="15" t="str">
        <x:v>Active</x:v>
      </x:c>
      <x:c r="G4" s="15" t="str">
        <x:v>555-0103</x:v>
      </x:c>
      <x:c r="H4" s="70" t="n">
        <x:v>36</x:v>
      </x:c>
      <x:c r="I4" s="15" t="str">
        <x:v>CDL, OSHA10</x:v>
      </x:c>
      <x:c r="J4" s="28" t="n">
        <x:v>46310</x:v>
      </x:c>
      <x:c r="K4" s="15" t="str">
        <x:v>Sample</x:v>
      </x:c>
    </x:row>
    <x:row r="5" ht="20" customHeight="1">
      <x:c r="A5" s="15" t="str">
        <x:v>EMP-004</x:v>
      </x:c>
      <x:c r="B5" s="15" t="str">
        <x:v>L. Splicer</x:v>
      </x:c>
      <x:c r="C5" s="15" t="str">
        <x:v>Subcontractor LLC</x:v>
      </x:c>
      <x:c r="D5" s="15" t="str">
        <x:v>Splicer</x:v>
      </x:c>
      <x:c r="E5" s="15" t="str">
        <x:v>CRW-C</x:v>
      </x:c>
      <x:c r="F5" s="15" t="str">
        <x:v>Active</x:v>
      </x:c>
      <x:c r="G5" s="15" t="str">
        <x:v>555-0104</x:v>
      </x:c>
      <x:c r="H5" s="70" t="n">
        <x:v>44</x:v>
      </x:c>
      <x:c r="I5" s="15" t="str">
        <x:v>Fiber Splice</x:v>
      </x:c>
      <x:c r="J5" s="28" t="n">
        <x:v>46402</x:v>
      </x:c>
      <x:c r="K5" s="15" t="str">
        <x:v>Sample</x:v>
      </x:c>
    </x:row>
    <x:row r="6" ht="20" customHeight="1">
      <x:c r="A6" s="15"/>
      <x:c r="B6" s="15"/>
      <x:c r="C6" s="15"/>
      <x:c r="D6" s="15"/>
      <x:c r="E6" s="15"/>
      <x:c r="F6" s="15"/>
      <x:c r="G6" s="15"/>
      <x:c r="H6" s="70"/>
      <x:c r="I6" s="15"/>
      <x:c r="J6" s="28"/>
      <x:c r="K6" s="15"/>
    </x:row>
    <x:row r="7" ht="20" customHeight="1">
      <x:c r="A7" s="15"/>
      <x:c r="B7" s="15"/>
      <x:c r="C7" s="15"/>
      <x:c r="D7" s="15"/>
      <x:c r="E7" s="15"/>
      <x:c r="F7" s="15"/>
      <x:c r="G7" s="15"/>
      <x:c r="H7" s="70"/>
      <x:c r="I7" s="15"/>
      <x:c r="J7" s="28"/>
      <x:c r="K7" s="15"/>
    </x:row>
    <x:row r="8" ht="20" customHeight="1">
      <x:c r="A8" s="15"/>
      <x:c r="B8" s="15"/>
      <x:c r="C8" s="15"/>
      <x:c r="D8" s="15"/>
      <x:c r="E8" s="15"/>
      <x:c r="F8" s="15"/>
      <x:c r="G8" s="15"/>
      <x:c r="H8" s="70"/>
      <x:c r="I8" s="15"/>
      <x:c r="J8" s="28"/>
      <x:c r="K8" s="15"/>
    </x:row>
    <x:row r="9" ht="20" customHeight="1">
      <x:c r="A9" s="15"/>
      <x:c r="B9" s="15"/>
      <x:c r="C9" s="15"/>
      <x:c r="D9" s="15"/>
      <x:c r="E9" s="15"/>
      <x:c r="F9" s="15"/>
      <x:c r="G9" s="15"/>
      <x:c r="H9" s="70"/>
      <x:c r="I9" s="15"/>
      <x:c r="J9" s="28"/>
      <x:c r="K9" s="15"/>
    </x:row>
    <x:row r="10" ht="20" customHeight="1">
      <x:c r="A10" s="15"/>
      <x:c r="B10" s="15"/>
      <x:c r="C10" s="15"/>
      <x:c r="D10" s="15"/>
      <x:c r="E10" s="15"/>
      <x:c r="F10" s="15"/>
      <x:c r="G10" s="15"/>
      <x:c r="H10" s="70"/>
      <x:c r="I10" s="15"/>
      <x:c r="J10" s="28"/>
      <x:c r="K10" s="15"/>
    </x:row>
    <x:row r="11" ht="20" customHeight="1">
      <x:c r="A11" s="15"/>
      <x:c r="B11" s="15"/>
      <x:c r="C11" s="15"/>
      <x:c r="D11" s="15"/>
      <x:c r="E11" s="15"/>
      <x:c r="F11" s="15"/>
      <x:c r="G11" s="15"/>
      <x:c r="H11" s="70"/>
      <x:c r="I11" s="15"/>
      <x:c r="J11" s="28"/>
      <x:c r="K11" s="15"/>
    </x:row>
    <x:row r="12" ht="20" customHeight="1">
      <x:c r="A12" s="15"/>
      <x:c r="B12" s="15"/>
      <x:c r="C12" s="15"/>
      <x:c r="D12" s="15"/>
      <x:c r="E12" s="15"/>
      <x:c r="F12" s="15"/>
      <x:c r="G12" s="15"/>
      <x:c r="H12" s="70"/>
      <x:c r="I12" s="15"/>
      <x:c r="J12" s="28"/>
      <x:c r="K12" s="15"/>
    </x:row>
    <x:row r="13" ht="20" customHeight="1">
      <x:c r="A13" s="15"/>
      <x:c r="B13" s="15"/>
      <x:c r="C13" s="15"/>
      <x:c r="D13" s="15"/>
      <x:c r="E13" s="15"/>
      <x:c r="F13" s="15"/>
      <x:c r="G13" s="15"/>
      <x:c r="H13" s="70"/>
      <x:c r="I13" s="15"/>
      <x:c r="J13" s="28"/>
      <x:c r="K13" s="15"/>
    </x:row>
    <x:row r="14" ht="20" customHeight="1">
      <x:c r="A14" s="15"/>
      <x:c r="B14" s="15"/>
      <x:c r="C14" s="15"/>
      <x:c r="D14" s="15"/>
      <x:c r="E14" s="15"/>
      <x:c r="F14" s="15"/>
      <x:c r="G14" s="15"/>
      <x:c r="H14" s="70"/>
      <x:c r="I14" s="15"/>
      <x:c r="J14" s="28"/>
      <x:c r="K14" s="15"/>
    </x:row>
    <x:row r="15" ht="20" customHeight="1">
      <x:c r="A15" s="15"/>
      <x:c r="B15" s="15"/>
      <x:c r="C15" s="15"/>
      <x:c r="D15" s="15"/>
      <x:c r="E15" s="15"/>
      <x:c r="F15" s="15"/>
      <x:c r="G15" s="15"/>
      <x:c r="H15" s="70"/>
      <x:c r="I15" s="15"/>
      <x:c r="J15" s="28"/>
      <x:c r="K15" s="15"/>
    </x:row>
    <x:row r="16" ht="20" customHeight="1">
      <x:c r="A16" s="15"/>
      <x:c r="B16" s="15"/>
      <x:c r="C16" s="15"/>
      <x:c r="D16" s="15"/>
      <x:c r="E16" s="15"/>
      <x:c r="F16" s="15"/>
      <x:c r="G16" s="15"/>
      <x:c r="H16" s="70"/>
      <x:c r="I16" s="15"/>
      <x:c r="J16" s="28"/>
      <x:c r="K16" s="15"/>
    </x:row>
    <x:row r="17" ht="20" customHeight="1">
      <x:c r="A17" s="15"/>
      <x:c r="B17" s="15"/>
      <x:c r="C17" s="15"/>
      <x:c r="D17" s="15"/>
      <x:c r="E17" s="15"/>
      <x:c r="F17" s="15"/>
      <x:c r="G17" s="15"/>
      <x:c r="H17" s="70"/>
      <x:c r="I17" s="15"/>
      <x:c r="J17" s="28"/>
      <x:c r="K17" s="15"/>
    </x:row>
    <x:row r="18" ht="20" customHeight="1">
      <x:c r="A18" s="15"/>
      <x:c r="B18" s="15"/>
      <x:c r="C18" s="15"/>
      <x:c r="D18" s="15"/>
      <x:c r="E18" s="15"/>
      <x:c r="F18" s="15"/>
      <x:c r="G18" s="15"/>
      <x:c r="H18" s="70"/>
      <x:c r="I18" s="15"/>
      <x:c r="J18" s="28"/>
      <x:c r="K18" s="15"/>
    </x:row>
    <x:row r="19" ht="20" customHeight="1">
      <x:c r="A19" s="15"/>
      <x:c r="B19" s="15"/>
      <x:c r="C19" s="15"/>
      <x:c r="D19" s="15"/>
      <x:c r="E19" s="15"/>
      <x:c r="F19" s="15"/>
      <x:c r="G19" s="15"/>
      <x:c r="H19" s="70"/>
      <x:c r="I19" s="15"/>
      <x:c r="J19" s="28"/>
      <x:c r="K19" s="15"/>
    </x:row>
    <x:row r="20" ht="20" customHeight="1">
      <x:c r="A20" s="15"/>
      <x:c r="B20" s="15"/>
      <x:c r="C20" s="15"/>
      <x:c r="D20" s="15"/>
      <x:c r="E20" s="15"/>
      <x:c r="F20" s="15"/>
      <x:c r="G20" s="15"/>
      <x:c r="H20" s="70"/>
      <x:c r="I20" s="15"/>
      <x:c r="J20" s="28"/>
      <x:c r="K20" s="15"/>
    </x:row>
    <x:row r="21" ht="20" customHeight="1">
      <x:c r="A21" s="15"/>
      <x:c r="B21" s="15"/>
      <x:c r="C21" s="15"/>
      <x:c r="D21" s="15"/>
      <x:c r="E21" s="15"/>
      <x:c r="F21" s="15"/>
      <x:c r="G21" s="15"/>
      <x:c r="H21" s="70"/>
      <x:c r="I21" s="15"/>
      <x:c r="J21" s="28"/>
      <x:c r="K21" s="15"/>
    </x:row>
    <x:row r="22" ht="20" customHeight="1">
      <x:c r="A22" s="15"/>
      <x:c r="B22" s="15"/>
      <x:c r="C22" s="15"/>
      <x:c r="D22" s="15"/>
      <x:c r="E22" s="15"/>
      <x:c r="F22" s="15"/>
      <x:c r="G22" s="15"/>
      <x:c r="H22" s="70"/>
      <x:c r="I22" s="15"/>
      <x:c r="J22" s="28"/>
      <x:c r="K22" s="15"/>
    </x:row>
    <x:row r="23" ht="20" customHeight="1">
      <x:c r="A23" s="15"/>
      <x:c r="B23" s="15"/>
      <x:c r="C23" s="15"/>
      <x:c r="D23" s="15"/>
      <x:c r="E23" s="15"/>
      <x:c r="F23" s="15"/>
      <x:c r="G23" s="15"/>
      <x:c r="H23" s="70"/>
      <x:c r="I23" s="15"/>
      <x:c r="J23" s="28"/>
      <x:c r="K23" s="15"/>
    </x:row>
    <x:row r="24" ht="20" customHeight="1">
      <x:c r="A24" s="15"/>
      <x:c r="B24" s="15"/>
      <x:c r="C24" s="15"/>
      <x:c r="D24" s="15"/>
      <x:c r="E24" s="15"/>
      <x:c r="F24" s="15"/>
      <x:c r="G24" s="15"/>
      <x:c r="H24" s="70"/>
      <x:c r="I24" s="15"/>
      <x:c r="J24" s="28"/>
      <x:c r="K24" s="15"/>
    </x:row>
    <x:row r="25" ht="20" customHeight="1">
      <x:c r="A25" s="15"/>
      <x:c r="B25" s="15"/>
      <x:c r="C25" s="15"/>
      <x:c r="D25" s="15"/>
      <x:c r="E25" s="15"/>
      <x:c r="F25" s="15"/>
      <x:c r="G25" s="15"/>
      <x:c r="H25" s="70"/>
      <x:c r="I25" s="15"/>
      <x:c r="J25" s="28"/>
      <x:c r="K25" s="15"/>
    </x:row>
    <x:row r="26" ht="20" customHeight="1">
      <x:c r="A26" s="15"/>
      <x:c r="B26" s="15"/>
      <x:c r="C26" s="15"/>
      <x:c r="D26" s="15"/>
      <x:c r="E26" s="15"/>
      <x:c r="F26" s="15"/>
      <x:c r="G26" s="15"/>
      <x:c r="H26" s="70"/>
      <x:c r="I26" s="15"/>
      <x:c r="J26" s="28"/>
      <x:c r="K26" s="15"/>
    </x:row>
    <x:row r="27" ht="20" customHeight="1">
      <x:c r="A27" s="15"/>
      <x:c r="B27" s="15"/>
      <x:c r="C27" s="15"/>
      <x:c r="D27" s="15"/>
      <x:c r="E27" s="15"/>
      <x:c r="F27" s="15"/>
      <x:c r="G27" s="15"/>
      <x:c r="H27" s="70"/>
      <x:c r="I27" s="15"/>
      <x:c r="J27" s="28"/>
      <x:c r="K27" s="15"/>
    </x:row>
    <x:row r="28" ht="20" customHeight="1">
      <x:c r="A28" s="15"/>
      <x:c r="B28" s="15"/>
      <x:c r="C28" s="15"/>
      <x:c r="D28" s="15"/>
      <x:c r="E28" s="15"/>
      <x:c r="F28" s="15"/>
      <x:c r="G28" s="15"/>
      <x:c r="H28" s="70"/>
      <x:c r="I28" s="15"/>
      <x:c r="J28" s="28"/>
      <x:c r="K28" s="15"/>
    </x:row>
    <x:row r="29" ht="20" customHeight="1">
      <x:c r="A29" s="15"/>
      <x:c r="B29" s="15"/>
      <x:c r="C29" s="15"/>
      <x:c r="D29" s="15"/>
      <x:c r="E29" s="15"/>
      <x:c r="F29" s="15"/>
      <x:c r="G29" s="15"/>
      <x:c r="H29" s="70"/>
      <x:c r="I29" s="15"/>
      <x:c r="J29" s="28"/>
      <x:c r="K29" s="15"/>
    </x:row>
    <x:row r="30" ht="20" customHeight="1">
      <x:c r="A30" s="15"/>
      <x:c r="B30" s="15"/>
      <x:c r="C30" s="15"/>
      <x:c r="D30" s="15"/>
      <x:c r="E30" s="15"/>
      <x:c r="F30" s="15"/>
      <x:c r="G30" s="15"/>
      <x:c r="H30" s="70"/>
      <x:c r="I30" s="15"/>
      <x:c r="J30" s="28"/>
      <x:c r="K30" s="15"/>
    </x:row>
    <x:row r="31" ht="20" customHeight="1">
      <x:c r="A31" s="15"/>
      <x:c r="B31" s="15"/>
      <x:c r="C31" s="15"/>
      <x:c r="D31" s="15"/>
      <x:c r="E31" s="15"/>
      <x:c r="F31" s="15"/>
      <x:c r="G31" s="15"/>
      <x:c r="H31" s="70"/>
      <x:c r="I31" s="15"/>
      <x:c r="J31" s="28"/>
      <x:c r="K31" s="15"/>
    </x:row>
    <x:row r="32" ht="20" customHeight="1">
      <x:c r="A32" s="15"/>
      <x:c r="B32" s="15"/>
      <x:c r="C32" s="15"/>
      <x:c r="D32" s="15"/>
      <x:c r="E32" s="15"/>
      <x:c r="F32" s="15"/>
      <x:c r="G32" s="15"/>
      <x:c r="H32" s="70"/>
      <x:c r="I32" s="15"/>
      <x:c r="J32" s="28"/>
      <x:c r="K32" s="15"/>
    </x:row>
    <x:row r="33" ht="20" customHeight="1">
      <x:c r="A33" s="15"/>
      <x:c r="B33" s="15"/>
      <x:c r="C33" s="15"/>
      <x:c r="D33" s="15"/>
      <x:c r="E33" s="15"/>
      <x:c r="F33" s="15"/>
      <x:c r="G33" s="15"/>
      <x:c r="H33" s="70"/>
      <x:c r="I33" s="15"/>
      <x:c r="J33" s="28"/>
      <x:c r="K33" s="15"/>
    </x:row>
    <x:row r="34" ht="20" customHeight="1">
      <x:c r="A34" s="15"/>
      <x:c r="B34" s="15"/>
      <x:c r="C34" s="15"/>
      <x:c r="D34" s="15"/>
      <x:c r="E34" s="15"/>
      <x:c r="F34" s="15"/>
      <x:c r="G34" s="15"/>
      <x:c r="H34" s="70"/>
      <x:c r="I34" s="15"/>
      <x:c r="J34" s="28"/>
      <x:c r="K34" s="15"/>
    </x:row>
    <x:row r="35" ht="20" customHeight="1">
      <x:c r="A35" s="15"/>
      <x:c r="B35" s="15"/>
      <x:c r="C35" s="15"/>
      <x:c r="D35" s="15"/>
      <x:c r="E35" s="15"/>
      <x:c r="F35" s="15"/>
      <x:c r="G35" s="15"/>
      <x:c r="H35" s="70"/>
      <x:c r="I35" s="15"/>
      <x:c r="J35" s="28"/>
      <x:c r="K35" s="15"/>
    </x:row>
    <x:row r="36" ht="20" customHeight="1">
      <x:c r="A36" s="15"/>
      <x:c r="B36" s="15"/>
      <x:c r="C36" s="15"/>
      <x:c r="D36" s="15"/>
      <x:c r="E36" s="15"/>
      <x:c r="F36" s="15"/>
      <x:c r="G36" s="15"/>
      <x:c r="H36" s="70"/>
      <x:c r="I36" s="15"/>
      <x:c r="J36" s="28"/>
      <x:c r="K36" s="15"/>
    </x:row>
    <x:row r="37" ht="20" customHeight="1">
      <x:c r="A37" s="15"/>
      <x:c r="B37" s="15"/>
      <x:c r="C37" s="15"/>
      <x:c r="D37" s="15"/>
      <x:c r="E37" s="15"/>
      <x:c r="F37" s="15"/>
      <x:c r="G37" s="15"/>
      <x:c r="H37" s="70"/>
      <x:c r="I37" s="15"/>
      <x:c r="J37" s="28"/>
      <x:c r="K37" s="15"/>
    </x:row>
    <x:row r="38" ht="20" customHeight="1">
      <x:c r="A38" s="15"/>
      <x:c r="B38" s="15"/>
      <x:c r="C38" s="15"/>
      <x:c r="D38" s="15"/>
      <x:c r="E38" s="15"/>
      <x:c r="F38" s="15"/>
      <x:c r="G38" s="15"/>
      <x:c r="H38" s="70"/>
      <x:c r="I38" s="15"/>
      <x:c r="J38" s="28"/>
      <x:c r="K38" s="15"/>
    </x:row>
    <x:row r="39" ht="20" customHeight="1">
      <x:c r="A39" s="15"/>
      <x:c r="B39" s="15"/>
      <x:c r="C39" s="15"/>
      <x:c r="D39" s="15"/>
      <x:c r="E39" s="15"/>
      <x:c r="F39" s="15"/>
      <x:c r="G39" s="15"/>
      <x:c r="H39" s="70"/>
      <x:c r="I39" s="15"/>
      <x:c r="J39" s="28"/>
      <x:c r="K39" s="15"/>
    </x:row>
    <x:row r="40" ht="20" customHeight="1">
      <x:c r="A40" s="15"/>
      <x:c r="B40" s="15"/>
      <x:c r="C40" s="15"/>
      <x:c r="D40" s="15"/>
      <x:c r="E40" s="15"/>
      <x:c r="F40" s="15"/>
      <x:c r="G40" s="15"/>
      <x:c r="H40" s="70"/>
      <x:c r="I40" s="15"/>
      <x:c r="J40" s="28"/>
      <x:c r="K40" s="15"/>
    </x:row>
    <x:row r="41" ht="20" customHeight="1">
      <x:c r="A41" s="15"/>
      <x:c r="B41" s="15"/>
      <x:c r="C41" s="15"/>
      <x:c r="D41" s="15"/>
      <x:c r="E41" s="15"/>
      <x:c r="F41" s="15"/>
      <x:c r="G41" s="15"/>
      <x:c r="H41" s="70"/>
      <x:c r="I41" s="15"/>
      <x:c r="J41" s="28"/>
      <x:c r="K41" s="15"/>
    </x:row>
    <x:row r="42" ht="20" customHeight="1">
      <x:c r="A42" s="15"/>
      <x:c r="B42" s="15"/>
      <x:c r="C42" s="15"/>
      <x:c r="D42" s="15"/>
      <x:c r="E42" s="15"/>
      <x:c r="F42" s="15"/>
      <x:c r="G42" s="15"/>
      <x:c r="H42" s="70"/>
      <x:c r="I42" s="15"/>
      <x:c r="J42" s="28"/>
      <x:c r="K42" s="15"/>
    </x:row>
    <x:row r="43" ht="20" customHeight="1">
      <x:c r="A43" s="15"/>
      <x:c r="B43" s="15"/>
      <x:c r="C43" s="15"/>
      <x:c r="D43" s="15"/>
      <x:c r="E43" s="15"/>
      <x:c r="F43" s="15"/>
      <x:c r="G43" s="15"/>
      <x:c r="H43" s="70"/>
      <x:c r="I43" s="15"/>
      <x:c r="J43" s="28"/>
      <x:c r="K43" s="15"/>
    </x:row>
    <x:row r="44" ht="20" customHeight="1">
      <x:c r="A44" s="15"/>
      <x:c r="B44" s="15"/>
      <x:c r="C44" s="15"/>
      <x:c r="D44" s="15"/>
      <x:c r="E44" s="15"/>
      <x:c r="F44" s="15"/>
      <x:c r="G44" s="15"/>
      <x:c r="H44" s="70"/>
      <x:c r="I44" s="15"/>
      <x:c r="J44" s="28"/>
      <x:c r="K44" s="15"/>
    </x:row>
    <x:row r="45" ht="20" customHeight="1">
      <x:c r="A45" s="15"/>
      <x:c r="B45" s="15"/>
      <x:c r="C45" s="15"/>
      <x:c r="D45" s="15"/>
      <x:c r="E45" s="15"/>
      <x:c r="F45" s="15"/>
      <x:c r="G45" s="15"/>
      <x:c r="H45" s="70"/>
      <x:c r="I45" s="15"/>
      <x:c r="J45" s="28"/>
      <x:c r="K45" s="15"/>
    </x:row>
    <x:row r="46" ht="20" customHeight="1">
      <x:c r="A46" s="15"/>
      <x:c r="B46" s="15"/>
      <x:c r="C46" s="15"/>
      <x:c r="D46" s="15"/>
      <x:c r="E46" s="15"/>
      <x:c r="F46" s="15"/>
      <x:c r="G46" s="15"/>
      <x:c r="H46" s="70"/>
      <x:c r="I46" s="15"/>
      <x:c r="J46" s="28"/>
      <x:c r="K46" s="15"/>
    </x:row>
    <x:row r="47" ht="20" customHeight="1">
      <x:c r="A47" s="15"/>
      <x:c r="B47" s="15"/>
      <x:c r="C47" s="15"/>
      <x:c r="D47" s="15"/>
      <x:c r="E47" s="15"/>
      <x:c r="F47" s="15"/>
      <x:c r="G47" s="15"/>
      <x:c r="H47" s="70"/>
      <x:c r="I47" s="15"/>
      <x:c r="J47" s="28"/>
      <x:c r="K47" s="15"/>
    </x:row>
    <x:row r="48" ht="20" customHeight="1">
      <x:c r="A48" s="15"/>
      <x:c r="B48" s="15"/>
      <x:c r="C48" s="15"/>
      <x:c r="D48" s="15"/>
      <x:c r="E48" s="15"/>
      <x:c r="F48" s="15"/>
      <x:c r="G48" s="15"/>
      <x:c r="H48" s="70"/>
      <x:c r="I48" s="15"/>
      <x:c r="J48" s="28"/>
      <x:c r="K48" s="15"/>
    </x:row>
    <x:row r="49" ht="20" customHeight="1">
      <x:c r="A49" s="15"/>
      <x:c r="B49" s="15"/>
      <x:c r="C49" s="15"/>
      <x:c r="D49" s="15"/>
      <x:c r="E49" s="15"/>
      <x:c r="F49" s="15"/>
      <x:c r="G49" s="15"/>
      <x:c r="H49" s="70"/>
      <x:c r="I49" s="15"/>
      <x:c r="J49" s="28"/>
      <x:c r="K49" s="15"/>
    </x:row>
    <x:row r="50" ht="20" customHeight="1">
      <x:c r="A50" s="15"/>
      <x:c r="B50" s="15"/>
      <x:c r="C50" s="15"/>
      <x:c r="D50" s="15"/>
      <x:c r="E50" s="15"/>
      <x:c r="F50" s="15"/>
      <x:c r="G50" s="15"/>
      <x:c r="H50" s="70"/>
      <x:c r="I50" s="15"/>
      <x:c r="J50" s="28"/>
      <x:c r="K50" s="15"/>
    </x:row>
    <x:row r="51" ht="20" customHeight="1">
      <x:c r="A51" s="15"/>
      <x:c r="B51" s="15"/>
      <x:c r="C51" s="15"/>
      <x:c r="D51" s="15"/>
      <x:c r="E51" s="15"/>
      <x:c r="F51" s="15"/>
      <x:c r="G51" s="15"/>
      <x:c r="H51" s="70"/>
      <x:c r="I51" s="15"/>
      <x:c r="J51" s="28"/>
      <x:c r="K51" s="15"/>
    </x:row>
    <x:row r="52" ht="20" customHeight="1">
      <x:c r="A52" s="15"/>
      <x:c r="B52" s="15"/>
      <x:c r="C52" s="15"/>
      <x:c r="D52" s="15"/>
      <x:c r="E52" s="15"/>
      <x:c r="F52" s="15"/>
      <x:c r="G52" s="15"/>
      <x:c r="H52" s="70"/>
      <x:c r="I52" s="15"/>
      <x:c r="J52" s="28"/>
      <x:c r="K52" s="15"/>
    </x:row>
    <x:row r="53" ht="20" customHeight="1">
      <x:c r="A53" s="15"/>
      <x:c r="B53" s="15"/>
      <x:c r="C53" s="15"/>
      <x:c r="D53" s="15"/>
      <x:c r="E53" s="15"/>
      <x:c r="F53" s="15"/>
      <x:c r="G53" s="15"/>
      <x:c r="H53" s="70"/>
      <x:c r="I53" s="15"/>
      <x:c r="J53" s="28"/>
      <x:c r="K53" s="15"/>
    </x:row>
    <x:row r="54" ht="20" customHeight="1">
      <x:c r="A54" s="15"/>
      <x:c r="B54" s="15"/>
      <x:c r="C54" s="15"/>
      <x:c r="D54" s="15"/>
      <x:c r="E54" s="15"/>
      <x:c r="F54" s="15"/>
      <x:c r="G54" s="15"/>
      <x:c r="H54" s="70"/>
      <x:c r="I54" s="15"/>
      <x:c r="J54" s="28"/>
      <x:c r="K54" s="15"/>
    </x:row>
    <x:row r="55" ht="20" customHeight="1">
      <x:c r="A55" s="15"/>
      <x:c r="B55" s="15"/>
      <x:c r="C55" s="15"/>
      <x:c r="D55" s="15"/>
      <x:c r="E55" s="15"/>
      <x:c r="F55" s="15"/>
      <x:c r="G55" s="15"/>
      <x:c r="H55" s="70"/>
      <x:c r="I55" s="15"/>
      <x:c r="J55" s="28"/>
      <x:c r="K55" s="15"/>
    </x:row>
    <x:row r="56" ht="20" customHeight="1">
      <x:c r="A56" s="15"/>
      <x:c r="B56" s="15"/>
      <x:c r="C56" s="15"/>
      <x:c r="D56" s="15"/>
      <x:c r="E56" s="15"/>
      <x:c r="F56" s="15"/>
      <x:c r="G56" s="15"/>
      <x:c r="H56" s="70"/>
      <x:c r="I56" s="15"/>
      <x:c r="J56" s="28"/>
      <x:c r="K56" s="15"/>
    </x:row>
    <x:row r="57" ht="20" customHeight="1">
      <x:c r="A57" s="15"/>
      <x:c r="B57" s="15"/>
      <x:c r="C57" s="15"/>
      <x:c r="D57" s="15"/>
      <x:c r="E57" s="15"/>
      <x:c r="F57" s="15"/>
      <x:c r="G57" s="15"/>
      <x:c r="H57" s="70"/>
      <x:c r="I57" s="15"/>
      <x:c r="J57" s="28"/>
      <x:c r="K57" s="15"/>
    </x:row>
    <x:row r="58" ht="20" customHeight="1">
      <x:c r="A58" s="15"/>
      <x:c r="B58" s="15"/>
      <x:c r="C58" s="15"/>
      <x:c r="D58" s="15"/>
      <x:c r="E58" s="15"/>
      <x:c r="F58" s="15"/>
      <x:c r="G58" s="15"/>
      <x:c r="H58" s="70"/>
      <x:c r="I58" s="15"/>
      <x:c r="J58" s="28"/>
      <x:c r="K58" s="15"/>
    </x:row>
    <x:row r="59" ht="20" customHeight="1">
      <x:c r="A59" s="15"/>
      <x:c r="B59" s="15"/>
      <x:c r="C59" s="15"/>
      <x:c r="D59" s="15"/>
      <x:c r="E59" s="15"/>
      <x:c r="F59" s="15"/>
      <x:c r="G59" s="15"/>
      <x:c r="H59" s="70"/>
      <x:c r="I59" s="15"/>
      <x:c r="J59" s="28"/>
      <x:c r="K59" s="15"/>
    </x:row>
    <x:row r="60" ht="20" customHeight="1">
      <x:c r="A60" s="15"/>
      <x:c r="B60" s="15"/>
      <x:c r="C60" s="15"/>
      <x:c r="D60" s="15"/>
      <x:c r="E60" s="15"/>
      <x:c r="F60" s="15"/>
      <x:c r="G60" s="15"/>
      <x:c r="H60" s="70"/>
      <x:c r="I60" s="15"/>
      <x:c r="J60" s="28"/>
      <x:c r="K60" s="15"/>
    </x:row>
    <x:row r="61" ht="20" customHeight="1">
      <x:c r="A61" s="15"/>
      <x:c r="B61" s="15"/>
      <x:c r="C61" s="15"/>
      <x:c r="D61" s="15"/>
      <x:c r="E61" s="15"/>
      <x:c r="F61" s="15"/>
      <x:c r="G61" s="15"/>
      <x:c r="H61" s="70"/>
      <x:c r="I61" s="15"/>
      <x:c r="J61" s="28"/>
      <x:c r="K61" s="15"/>
    </x:row>
    <x:row r="62" ht="20" customHeight="1">
      <x:c r="A62" s="15"/>
      <x:c r="B62" s="15"/>
      <x:c r="C62" s="15"/>
      <x:c r="D62" s="15"/>
      <x:c r="E62" s="15"/>
      <x:c r="F62" s="15"/>
      <x:c r="G62" s="15"/>
      <x:c r="H62" s="70"/>
      <x:c r="I62" s="15"/>
      <x:c r="J62" s="28"/>
      <x:c r="K62" s="15"/>
    </x:row>
    <x:row r="63" ht="20" customHeight="1">
      <x:c r="A63" s="15"/>
      <x:c r="B63" s="15"/>
      <x:c r="C63" s="15"/>
      <x:c r="D63" s="15"/>
      <x:c r="E63" s="15"/>
      <x:c r="F63" s="15"/>
      <x:c r="G63" s="15"/>
      <x:c r="H63" s="70"/>
      <x:c r="I63" s="15"/>
      <x:c r="J63" s="28"/>
      <x:c r="K63" s="15"/>
    </x:row>
    <x:row r="64" ht="20" customHeight="1">
      <x:c r="A64" s="15"/>
      <x:c r="B64" s="15"/>
      <x:c r="C64" s="15"/>
      <x:c r="D64" s="15"/>
      <x:c r="E64" s="15"/>
      <x:c r="F64" s="15"/>
      <x:c r="G64" s="15"/>
      <x:c r="H64" s="70"/>
      <x:c r="I64" s="15"/>
      <x:c r="J64" s="28"/>
      <x:c r="K64" s="15"/>
    </x:row>
    <x:row r="65" ht="20" customHeight="1">
      <x:c r="A65" s="15"/>
      <x:c r="B65" s="15"/>
      <x:c r="C65" s="15"/>
      <x:c r="D65" s="15"/>
      <x:c r="E65" s="15"/>
      <x:c r="F65" s="15"/>
      <x:c r="G65" s="15"/>
      <x:c r="H65" s="70"/>
      <x:c r="I65" s="15"/>
      <x:c r="J65" s="28"/>
      <x:c r="K65" s="15"/>
    </x:row>
    <x:row r="66" ht="20" customHeight="1">
      <x:c r="A66" s="15"/>
      <x:c r="B66" s="15"/>
      <x:c r="C66" s="15"/>
      <x:c r="D66" s="15"/>
      <x:c r="E66" s="15"/>
      <x:c r="F66" s="15"/>
      <x:c r="G66" s="15"/>
      <x:c r="H66" s="70"/>
      <x:c r="I66" s="15"/>
      <x:c r="J66" s="28"/>
      <x:c r="K66" s="15"/>
    </x:row>
    <x:row r="67" ht="20" customHeight="1">
      <x:c r="A67" s="15"/>
      <x:c r="B67" s="15"/>
      <x:c r="C67" s="15"/>
      <x:c r="D67" s="15"/>
      <x:c r="E67" s="15"/>
      <x:c r="F67" s="15"/>
      <x:c r="G67" s="15"/>
      <x:c r="H67" s="70"/>
      <x:c r="I67" s="15"/>
      <x:c r="J67" s="28"/>
      <x:c r="K67" s="15"/>
    </x:row>
    <x:row r="68" ht="20" customHeight="1">
      <x:c r="A68" s="15"/>
      <x:c r="B68" s="15"/>
      <x:c r="C68" s="15"/>
      <x:c r="D68" s="15"/>
      <x:c r="E68" s="15"/>
      <x:c r="F68" s="15"/>
      <x:c r="G68" s="15"/>
      <x:c r="H68" s="70"/>
      <x:c r="I68" s="15"/>
      <x:c r="J68" s="28"/>
      <x:c r="K68" s="15"/>
    </x:row>
    <x:row r="69" ht="20" customHeight="1">
      <x:c r="A69" s="15"/>
      <x:c r="B69" s="15"/>
      <x:c r="C69" s="15"/>
      <x:c r="D69" s="15"/>
      <x:c r="E69" s="15"/>
      <x:c r="F69" s="15"/>
      <x:c r="G69" s="15"/>
      <x:c r="H69" s="70"/>
      <x:c r="I69" s="15"/>
      <x:c r="J69" s="28"/>
      <x:c r="K69" s="15"/>
    </x:row>
    <x:row r="70" ht="20" customHeight="1">
      <x:c r="A70" s="15"/>
      <x:c r="B70" s="15"/>
      <x:c r="C70" s="15"/>
      <x:c r="D70" s="15"/>
      <x:c r="E70" s="15"/>
      <x:c r="F70" s="15"/>
      <x:c r="G70" s="15"/>
      <x:c r="H70" s="70"/>
      <x:c r="I70" s="15"/>
      <x:c r="J70" s="28"/>
      <x:c r="K70" s="15"/>
    </x:row>
    <x:row r="71" ht="20" customHeight="1">
      <x:c r="A71" s="15"/>
      <x:c r="B71" s="15"/>
      <x:c r="C71" s="15"/>
      <x:c r="D71" s="15"/>
      <x:c r="E71" s="15"/>
      <x:c r="F71" s="15"/>
      <x:c r="G71" s="15"/>
      <x:c r="H71" s="70"/>
      <x:c r="I71" s="15"/>
      <x:c r="J71" s="28"/>
      <x:c r="K71" s="15"/>
    </x:row>
    <x:row r="72" ht="20" customHeight="1">
      <x:c r="A72" s="15"/>
      <x:c r="B72" s="15"/>
      <x:c r="C72" s="15"/>
      <x:c r="D72" s="15"/>
      <x:c r="E72" s="15"/>
      <x:c r="F72" s="15"/>
      <x:c r="G72" s="15"/>
      <x:c r="H72" s="70"/>
      <x:c r="I72" s="15"/>
      <x:c r="J72" s="28"/>
      <x:c r="K72" s="15"/>
    </x:row>
    <x:row r="73" ht="20" customHeight="1">
      <x:c r="A73" s="15"/>
      <x:c r="B73" s="15"/>
      <x:c r="C73" s="15"/>
      <x:c r="D73" s="15"/>
      <x:c r="E73" s="15"/>
      <x:c r="F73" s="15"/>
      <x:c r="G73" s="15"/>
      <x:c r="H73" s="70"/>
      <x:c r="I73" s="15"/>
      <x:c r="J73" s="28"/>
      <x:c r="K73" s="15"/>
    </x:row>
    <x:row r="74" ht="20" customHeight="1">
      <x:c r="A74" s="15"/>
      <x:c r="B74" s="15"/>
      <x:c r="C74" s="15"/>
      <x:c r="D74" s="15"/>
      <x:c r="E74" s="15"/>
      <x:c r="F74" s="15"/>
      <x:c r="G74" s="15"/>
      <x:c r="H74" s="70"/>
      <x:c r="I74" s="15"/>
      <x:c r="J74" s="28"/>
      <x:c r="K74" s="15"/>
    </x:row>
    <x:row r="75" ht="20" customHeight="1">
      <x:c r="A75" s="15"/>
      <x:c r="B75" s="15"/>
      <x:c r="C75" s="15"/>
      <x:c r="D75" s="15"/>
      <x:c r="E75" s="15"/>
      <x:c r="F75" s="15"/>
      <x:c r="G75" s="15"/>
      <x:c r="H75" s="70"/>
      <x:c r="I75" s="15"/>
      <x:c r="J75" s="28"/>
      <x:c r="K75" s="15"/>
    </x:row>
    <x:row r="76" ht="20" customHeight="1">
      <x:c r="A76" s="15"/>
      <x:c r="B76" s="15"/>
      <x:c r="C76" s="15"/>
      <x:c r="D76" s="15"/>
      <x:c r="E76" s="15"/>
      <x:c r="F76" s="15"/>
      <x:c r="G76" s="15"/>
      <x:c r="H76" s="70"/>
      <x:c r="I76" s="15"/>
      <x:c r="J76" s="28"/>
      <x:c r="K76" s="15"/>
    </x:row>
    <x:row r="77" ht="20" customHeight="1">
      <x:c r="A77" s="15"/>
      <x:c r="B77" s="15"/>
      <x:c r="C77" s="15"/>
      <x:c r="D77" s="15"/>
      <x:c r="E77" s="15"/>
      <x:c r="F77" s="15"/>
      <x:c r="G77" s="15"/>
      <x:c r="H77" s="70"/>
      <x:c r="I77" s="15"/>
      <x:c r="J77" s="28"/>
      <x:c r="K77" s="15"/>
    </x:row>
    <x:row r="78" ht="20" customHeight="1">
      <x:c r="A78" s="15"/>
      <x:c r="B78" s="15"/>
      <x:c r="C78" s="15"/>
      <x:c r="D78" s="15"/>
      <x:c r="E78" s="15"/>
      <x:c r="F78" s="15"/>
      <x:c r="G78" s="15"/>
      <x:c r="H78" s="70"/>
      <x:c r="I78" s="15"/>
      <x:c r="J78" s="28"/>
      <x:c r="K78" s="15"/>
    </x:row>
    <x:row r="79" ht="20" customHeight="1">
      <x:c r="A79" s="15"/>
      <x:c r="B79" s="15"/>
      <x:c r="C79" s="15"/>
      <x:c r="D79" s="15"/>
      <x:c r="E79" s="15"/>
      <x:c r="F79" s="15"/>
      <x:c r="G79" s="15"/>
      <x:c r="H79" s="70"/>
      <x:c r="I79" s="15"/>
      <x:c r="J79" s="28"/>
      <x:c r="K79" s="15"/>
    </x:row>
    <x:row r="80" ht="20" customHeight="1">
      <x:c r="A80" s="15"/>
      <x:c r="B80" s="15"/>
      <x:c r="C80" s="15"/>
      <x:c r="D80" s="15"/>
      <x:c r="E80" s="15"/>
      <x:c r="F80" s="15"/>
      <x:c r="G80" s="15"/>
      <x:c r="H80" s="70"/>
      <x:c r="I80" s="15"/>
      <x:c r="J80" s="28"/>
      <x:c r="K80" s="15"/>
    </x:row>
    <x:row r="81" ht="20" customHeight="1">
      <x:c r="A81" s="15"/>
      <x:c r="B81" s="15"/>
      <x:c r="C81" s="15"/>
      <x:c r="D81" s="15"/>
      <x:c r="E81" s="15"/>
      <x:c r="F81" s="15"/>
      <x:c r="G81" s="15"/>
      <x:c r="H81" s="70"/>
      <x:c r="I81" s="15"/>
      <x:c r="J81" s="28"/>
      <x:c r="K81" s="15"/>
    </x:row>
    <x:row r="82" ht="20" customHeight="1">
      <x:c r="A82" s="15"/>
      <x:c r="B82" s="15"/>
      <x:c r="C82" s="15"/>
      <x:c r="D82" s="15"/>
      <x:c r="E82" s="15"/>
      <x:c r="F82" s="15"/>
      <x:c r="G82" s="15"/>
      <x:c r="H82" s="70"/>
      <x:c r="I82" s="15"/>
      <x:c r="J82" s="28"/>
      <x:c r="K82" s="15"/>
    </x:row>
    <x:row r="83" ht="20" customHeight="1">
      <x:c r="A83" s="15"/>
      <x:c r="B83" s="15"/>
      <x:c r="C83" s="15"/>
      <x:c r="D83" s="15"/>
      <x:c r="E83" s="15"/>
      <x:c r="F83" s="15"/>
      <x:c r="G83" s="15"/>
      <x:c r="H83" s="70"/>
      <x:c r="I83" s="15"/>
      <x:c r="J83" s="28"/>
      <x:c r="K83" s="15"/>
    </x:row>
    <x:row r="84" ht="20" customHeight="1">
      <x:c r="A84" s="15"/>
      <x:c r="B84" s="15"/>
      <x:c r="C84" s="15"/>
      <x:c r="D84" s="15"/>
      <x:c r="E84" s="15"/>
      <x:c r="F84" s="15"/>
      <x:c r="G84" s="15"/>
      <x:c r="H84" s="70"/>
      <x:c r="I84" s="15"/>
      <x:c r="J84" s="28"/>
      <x:c r="K84" s="15"/>
    </x:row>
    <x:row r="85" ht="20" customHeight="1">
      <x:c r="A85" s="15"/>
      <x:c r="B85" s="15"/>
      <x:c r="C85" s="15"/>
      <x:c r="D85" s="15"/>
      <x:c r="E85" s="15"/>
      <x:c r="F85" s="15"/>
      <x:c r="G85" s="15"/>
      <x:c r="H85" s="70"/>
      <x:c r="I85" s="15"/>
      <x:c r="J85" s="28"/>
      <x:c r="K85" s="15"/>
    </x:row>
    <x:row r="86" ht="20" customHeight="1">
      <x:c r="A86" s="15"/>
      <x:c r="B86" s="15"/>
      <x:c r="C86" s="15"/>
      <x:c r="D86" s="15"/>
      <x:c r="E86" s="15"/>
      <x:c r="F86" s="15"/>
      <x:c r="G86" s="15"/>
      <x:c r="H86" s="70"/>
      <x:c r="I86" s="15"/>
      <x:c r="J86" s="28"/>
      <x:c r="K86" s="15"/>
    </x:row>
    <x:row r="87" ht="20" customHeight="1">
      <x:c r="A87" s="15"/>
      <x:c r="B87" s="15"/>
      <x:c r="C87" s="15"/>
      <x:c r="D87" s="15"/>
      <x:c r="E87" s="15"/>
      <x:c r="F87" s="15"/>
      <x:c r="G87" s="15"/>
      <x:c r="H87" s="70"/>
      <x:c r="I87" s="15"/>
      <x:c r="J87" s="28"/>
      <x:c r="K87" s="15"/>
    </x:row>
    <x:row r="88" ht="20" customHeight="1">
      <x:c r="A88" s="15"/>
      <x:c r="B88" s="15"/>
      <x:c r="C88" s="15"/>
      <x:c r="D88" s="15"/>
      <x:c r="E88" s="15"/>
      <x:c r="F88" s="15"/>
      <x:c r="G88" s="15"/>
      <x:c r="H88" s="70"/>
      <x:c r="I88" s="15"/>
      <x:c r="J88" s="28"/>
      <x:c r="K88" s="15"/>
    </x:row>
    <x:row r="89" ht="20" customHeight="1">
      <x:c r="A89" s="15"/>
      <x:c r="B89" s="15"/>
      <x:c r="C89" s="15"/>
      <x:c r="D89" s="15"/>
      <x:c r="E89" s="15"/>
      <x:c r="F89" s="15"/>
      <x:c r="G89" s="15"/>
      <x:c r="H89" s="70"/>
      <x:c r="I89" s="15"/>
      <x:c r="J89" s="28"/>
      <x:c r="K89" s="15"/>
    </x:row>
    <x:row r="90" ht="20" customHeight="1">
      <x:c r="A90" s="15"/>
      <x:c r="B90" s="15"/>
      <x:c r="C90" s="15"/>
      <x:c r="D90" s="15"/>
      <x:c r="E90" s="15"/>
      <x:c r="F90" s="15"/>
      <x:c r="G90" s="15"/>
      <x:c r="H90" s="70"/>
      <x:c r="I90" s="15"/>
      <x:c r="J90" s="28"/>
      <x:c r="K90" s="15"/>
    </x:row>
    <x:row r="91" ht="20" customHeight="1">
      <x:c r="A91" s="15"/>
      <x:c r="B91" s="15"/>
      <x:c r="C91" s="15"/>
      <x:c r="D91" s="15"/>
      <x:c r="E91" s="15"/>
      <x:c r="F91" s="15"/>
      <x:c r="G91" s="15"/>
      <x:c r="H91" s="70"/>
      <x:c r="I91" s="15"/>
      <x:c r="J91" s="28"/>
      <x:c r="K91" s="15"/>
    </x:row>
    <x:row r="92" ht="20" customHeight="1">
      <x:c r="A92" s="15"/>
      <x:c r="B92" s="15"/>
      <x:c r="C92" s="15"/>
      <x:c r="D92" s="15"/>
      <x:c r="E92" s="15"/>
      <x:c r="F92" s="15"/>
      <x:c r="G92" s="15"/>
      <x:c r="H92" s="70"/>
      <x:c r="I92" s="15"/>
      <x:c r="J92" s="28"/>
      <x:c r="K92" s="15"/>
    </x:row>
    <x:row r="93" ht="20" customHeight="1">
      <x:c r="A93" s="15"/>
      <x:c r="B93" s="15"/>
      <x:c r="C93" s="15"/>
      <x:c r="D93" s="15"/>
      <x:c r="E93" s="15"/>
      <x:c r="F93" s="15"/>
      <x:c r="G93" s="15"/>
      <x:c r="H93" s="70"/>
      <x:c r="I93" s="15"/>
      <x:c r="J93" s="28"/>
      <x:c r="K93" s="15"/>
    </x:row>
    <x:row r="94" ht="20" customHeight="1">
      <x:c r="A94" s="15"/>
      <x:c r="B94" s="15"/>
      <x:c r="C94" s="15"/>
      <x:c r="D94" s="15"/>
      <x:c r="E94" s="15"/>
      <x:c r="F94" s="15"/>
      <x:c r="G94" s="15"/>
      <x:c r="H94" s="70"/>
      <x:c r="I94" s="15"/>
      <x:c r="J94" s="28"/>
      <x:c r="K94" s="15"/>
    </x:row>
    <x:row r="95" ht="20" customHeight="1">
      <x:c r="A95" s="15"/>
      <x:c r="B95" s="15"/>
      <x:c r="C95" s="15"/>
      <x:c r="D95" s="15"/>
      <x:c r="E95" s="15"/>
      <x:c r="F95" s="15"/>
      <x:c r="G95" s="15"/>
      <x:c r="H95" s="70"/>
      <x:c r="I95" s="15"/>
      <x:c r="J95" s="28"/>
      <x:c r="K95" s="15"/>
    </x:row>
    <x:row r="96" ht="20" customHeight="1">
      <x:c r="A96" s="15"/>
      <x:c r="B96" s="15"/>
      <x:c r="C96" s="15"/>
      <x:c r="D96" s="15"/>
      <x:c r="E96" s="15"/>
      <x:c r="F96" s="15"/>
      <x:c r="G96" s="15"/>
      <x:c r="H96" s="70"/>
      <x:c r="I96" s="15"/>
      <x:c r="J96" s="28"/>
      <x:c r="K96" s="15"/>
    </x:row>
    <x:row r="97" ht="20" customHeight="1">
      <x:c r="A97" s="15"/>
      <x:c r="B97" s="15"/>
      <x:c r="C97" s="15"/>
      <x:c r="D97" s="15"/>
      <x:c r="E97" s="15"/>
      <x:c r="F97" s="15"/>
      <x:c r="G97" s="15"/>
      <x:c r="H97" s="70"/>
      <x:c r="I97" s="15"/>
      <x:c r="J97" s="28"/>
      <x:c r="K97" s="15"/>
    </x:row>
    <x:row r="98" ht="20" customHeight="1">
      <x:c r="A98" s="15"/>
      <x:c r="B98" s="15"/>
      <x:c r="C98" s="15"/>
      <x:c r="D98" s="15"/>
      <x:c r="E98" s="15"/>
      <x:c r="F98" s="15"/>
      <x:c r="G98" s="15"/>
      <x:c r="H98" s="70"/>
      <x:c r="I98" s="15"/>
      <x:c r="J98" s="28"/>
      <x:c r="K98" s="15"/>
    </x:row>
    <x:row r="99" ht="20" customHeight="1">
      <x:c r="A99" s="15"/>
      <x:c r="B99" s="15"/>
      <x:c r="C99" s="15"/>
      <x:c r="D99" s="15"/>
      <x:c r="E99" s="15"/>
      <x:c r="F99" s="15"/>
      <x:c r="G99" s="15"/>
      <x:c r="H99" s="70"/>
      <x:c r="I99" s="15"/>
      <x:c r="J99" s="28"/>
      <x:c r="K99" s="15"/>
    </x:row>
    <x:row r="100" ht="20" customHeight="1">
      <x:c r="A100" s="15"/>
      <x:c r="B100" s="15"/>
      <x:c r="C100" s="15"/>
      <x:c r="D100" s="15"/>
      <x:c r="E100" s="15"/>
      <x:c r="F100" s="15"/>
      <x:c r="G100" s="15"/>
      <x:c r="H100" s="70"/>
      <x:c r="I100" s="15"/>
      <x:c r="J100" s="28"/>
      <x:c r="K100" s="15"/>
    </x:row>
    <x:row r="101" ht="20" customHeight="1">
      <x:c r="A101" s="15"/>
      <x:c r="B101" s="15"/>
      <x:c r="C101" s="15"/>
      <x:c r="D101" s="15"/>
      <x:c r="E101" s="15"/>
      <x:c r="F101" s="15"/>
      <x:c r="G101" s="15"/>
      <x:c r="H101" s="70"/>
      <x:c r="I101" s="15"/>
      <x:c r="J101" s="28"/>
      <x:c r="K101" s="15"/>
    </x:row>
    <x:row r="102" ht="20" customHeight="1">
      <x:c r="A102" s="15"/>
      <x:c r="B102" s="15"/>
      <x:c r="C102" s="15"/>
      <x:c r="D102" s="15"/>
      <x:c r="E102" s="15"/>
      <x:c r="F102" s="15"/>
      <x:c r="G102" s="15"/>
      <x:c r="H102" s="70"/>
      <x:c r="I102" s="15"/>
      <x:c r="J102" s="28"/>
      <x:c r="K102" s="15"/>
    </x:row>
    <x:row r="103" ht="20" customHeight="1">
      <x:c r="A103" s="15"/>
      <x:c r="B103" s="15"/>
      <x:c r="C103" s="15"/>
      <x:c r="D103" s="15"/>
      <x:c r="E103" s="15"/>
      <x:c r="F103" s="15"/>
      <x:c r="G103" s="15"/>
      <x:c r="H103" s="70"/>
      <x:c r="I103" s="15"/>
      <x:c r="J103" s="28"/>
      <x:c r="K103" s="15"/>
    </x:row>
    <x:row r="104" ht="20" customHeight="1">
      <x:c r="A104" s="15"/>
      <x:c r="B104" s="15"/>
      <x:c r="C104" s="15"/>
      <x:c r="D104" s="15"/>
      <x:c r="E104" s="15"/>
      <x:c r="F104" s="15"/>
      <x:c r="G104" s="15"/>
      <x:c r="H104" s="70"/>
      <x:c r="I104" s="15"/>
      <x:c r="J104" s="28"/>
      <x:c r="K104" s="15"/>
    </x:row>
    <x:row r="105" ht="20" customHeight="1">
      <x:c r="A105" s="15"/>
      <x:c r="B105" s="15"/>
      <x:c r="C105" s="15"/>
      <x:c r="D105" s="15"/>
      <x:c r="E105" s="15"/>
      <x:c r="F105" s="15"/>
      <x:c r="G105" s="15"/>
      <x:c r="H105" s="70"/>
      <x:c r="I105" s="15"/>
      <x:c r="J105" s="28"/>
      <x:c r="K105" s="15"/>
    </x:row>
    <x:row r="106" ht="20" customHeight="1">
      <x:c r="A106" s="15"/>
      <x:c r="B106" s="15"/>
      <x:c r="C106" s="15"/>
      <x:c r="D106" s="15"/>
      <x:c r="E106" s="15"/>
      <x:c r="F106" s="15"/>
      <x:c r="G106" s="15"/>
      <x:c r="H106" s="70"/>
      <x:c r="I106" s="15"/>
      <x:c r="J106" s="28"/>
      <x:c r="K106" s="15"/>
    </x:row>
    <x:row r="107" ht="20" customHeight="1">
      <x:c r="A107" s="15"/>
      <x:c r="B107" s="15"/>
      <x:c r="C107" s="15"/>
      <x:c r="D107" s="15"/>
      <x:c r="E107" s="15"/>
      <x:c r="F107" s="15"/>
      <x:c r="G107" s="15"/>
      <x:c r="H107" s="70"/>
      <x:c r="I107" s="15"/>
      <x:c r="J107" s="28"/>
      <x:c r="K107" s="15"/>
    </x:row>
    <x:row r="108" ht="20" customHeight="1">
      <x:c r="A108" s="15"/>
      <x:c r="B108" s="15"/>
      <x:c r="C108" s="15"/>
      <x:c r="D108" s="15"/>
      <x:c r="E108" s="15"/>
      <x:c r="F108" s="15"/>
      <x:c r="G108" s="15"/>
      <x:c r="H108" s="70"/>
      <x:c r="I108" s="15"/>
      <x:c r="J108" s="28"/>
      <x:c r="K108" s="15"/>
    </x:row>
    <x:row r="109" ht="20" customHeight="1">
      <x:c r="A109" s="15"/>
      <x:c r="B109" s="15"/>
      <x:c r="C109" s="15"/>
      <x:c r="D109" s="15"/>
      <x:c r="E109" s="15"/>
      <x:c r="F109" s="15"/>
      <x:c r="G109" s="15"/>
      <x:c r="H109" s="70"/>
      <x:c r="I109" s="15"/>
      <x:c r="J109" s="28"/>
      <x:c r="K109" s="15"/>
    </x:row>
    <x:row r="110" ht="20" customHeight="1">
      <x:c r="A110" s="15"/>
      <x:c r="B110" s="15"/>
      <x:c r="C110" s="15"/>
      <x:c r="D110" s="15"/>
      <x:c r="E110" s="15"/>
      <x:c r="F110" s="15"/>
      <x:c r="G110" s="15"/>
      <x:c r="H110" s="70"/>
      <x:c r="I110" s="15"/>
      <x:c r="J110" s="28"/>
      <x:c r="K110" s="15"/>
    </x:row>
    <x:row r="111" ht="20" customHeight="1">
      <x:c r="A111" s="15"/>
      <x:c r="B111" s="15"/>
      <x:c r="C111" s="15"/>
      <x:c r="D111" s="15"/>
      <x:c r="E111" s="15"/>
      <x:c r="F111" s="15"/>
      <x:c r="G111" s="15"/>
      <x:c r="H111" s="70"/>
      <x:c r="I111" s="15"/>
      <x:c r="J111" s="28"/>
      <x:c r="K111" s="15"/>
    </x:row>
    <x:row r="112" ht="20" customHeight="1">
      <x:c r="A112" s="15"/>
      <x:c r="B112" s="15"/>
      <x:c r="C112" s="15"/>
      <x:c r="D112" s="15"/>
      <x:c r="E112" s="15"/>
      <x:c r="F112" s="15"/>
      <x:c r="G112" s="15"/>
      <x:c r="H112" s="70"/>
      <x:c r="I112" s="15"/>
      <x:c r="J112" s="28"/>
      <x:c r="K112" s="15"/>
    </x:row>
    <x:row r="113" ht="20" customHeight="1">
      <x:c r="A113" s="15"/>
      <x:c r="B113" s="15"/>
      <x:c r="C113" s="15"/>
      <x:c r="D113" s="15"/>
      <x:c r="E113" s="15"/>
      <x:c r="F113" s="15"/>
      <x:c r="G113" s="15"/>
      <x:c r="H113" s="70"/>
      <x:c r="I113" s="15"/>
      <x:c r="J113" s="28"/>
      <x:c r="K113" s="15"/>
    </x:row>
    <x:row r="114" ht="20" customHeight="1">
      <x:c r="A114" s="15"/>
      <x:c r="B114" s="15"/>
      <x:c r="C114" s="15"/>
      <x:c r="D114" s="15"/>
      <x:c r="E114" s="15"/>
      <x:c r="F114" s="15"/>
      <x:c r="G114" s="15"/>
      <x:c r="H114" s="70"/>
      <x:c r="I114" s="15"/>
      <x:c r="J114" s="28"/>
      <x:c r="K114" s="15"/>
    </x:row>
    <x:row r="115" ht="20" customHeight="1">
      <x:c r="A115" s="15"/>
      <x:c r="B115" s="15"/>
      <x:c r="C115" s="15"/>
      <x:c r="D115" s="15"/>
      <x:c r="E115" s="15"/>
      <x:c r="F115" s="15"/>
      <x:c r="G115" s="15"/>
      <x:c r="H115" s="70"/>
      <x:c r="I115" s="15"/>
      <x:c r="J115" s="28"/>
      <x:c r="K115" s="15"/>
    </x:row>
    <x:row r="116" ht="20" customHeight="1">
      <x:c r="A116" s="15"/>
      <x:c r="B116" s="15"/>
      <x:c r="C116" s="15"/>
      <x:c r="D116" s="15"/>
      <x:c r="E116" s="15"/>
      <x:c r="F116" s="15"/>
      <x:c r="G116" s="15"/>
      <x:c r="H116" s="70"/>
      <x:c r="I116" s="15"/>
      <x:c r="J116" s="28"/>
      <x:c r="K116" s="15"/>
    </x:row>
    <x:row r="117" ht="20" customHeight="1">
      <x:c r="A117" s="15"/>
      <x:c r="B117" s="15"/>
      <x:c r="C117" s="15"/>
      <x:c r="D117" s="15"/>
      <x:c r="E117" s="15"/>
      <x:c r="F117" s="15"/>
      <x:c r="G117" s="15"/>
      <x:c r="H117" s="70"/>
      <x:c r="I117" s="15"/>
      <x:c r="J117" s="28"/>
      <x:c r="K117" s="15"/>
    </x:row>
    <x:row r="118" ht="20" customHeight="1">
      <x:c r="A118" s="15"/>
      <x:c r="B118" s="15"/>
      <x:c r="C118" s="15"/>
      <x:c r="D118" s="15"/>
      <x:c r="E118" s="15"/>
      <x:c r="F118" s="15"/>
      <x:c r="G118" s="15"/>
      <x:c r="H118" s="70"/>
      <x:c r="I118" s="15"/>
      <x:c r="J118" s="28"/>
      <x:c r="K118" s="15"/>
    </x:row>
    <x:row r="119" ht="20" customHeight="1">
      <x:c r="A119" s="15"/>
      <x:c r="B119" s="15"/>
      <x:c r="C119" s="15"/>
      <x:c r="D119" s="15"/>
      <x:c r="E119" s="15"/>
      <x:c r="F119" s="15"/>
      <x:c r="G119" s="15"/>
      <x:c r="H119" s="70"/>
      <x:c r="I119" s="15"/>
      <x:c r="J119" s="28"/>
      <x:c r="K119" s="15"/>
    </x:row>
    <x:row r="120" ht="20" customHeight="1">
      <x:c r="A120" s="15"/>
      <x:c r="B120" s="15"/>
      <x:c r="C120" s="15"/>
      <x:c r="D120" s="15"/>
      <x:c r="E120" s="15"/>
      <x:c r="F120" s="15"/>
      <x:c r="G120" s="15"/>
      <x:c r="H120" s="70"/>
      <x:c r="I120" s="15"/>
      <x:c r="J120" s="28"/>
      <x:c r="K120" s="15"/>
    </x:row>
    <x:row r="121" ht="20" customHeight="1">
      <x:c r="A121" s="15"/>
      <x:c r="B121" s="15"/>
      <x:c r="C121" s="15"/>
      <x:c r="D121" s="15"/>
      <x:c r="E121" s="15"/>
      <x:c r="F121" s="15"/>
      <x:c r="G121" s="15"/>
      <x:c r="H121" s="70"/>
      <x:c r="I121" s="15"/>
      <x:c r="J121" s="28"/>
      <x:c r="K121" s="15"/>
    </x:row>
    <x:row r="122" ht="20" customHeight="1">
      <x:c r="A122" s="15"/>
      <x:c r="B122" s="15"/>
      <x:c r="C122" s="15"/>
      <x:c r="D122" s="15"/>
      <x:c r="E122" s="15"/>
      <x:c r="F122" s="15"/>
      <x:c r="G122" s="15"/>
      <x:c r="H122" s="70"/>
      <x:c r="I122" s="15"/>
      <x:c r="J122" s="28"/>
      <x:c r="K122" s="15"/>
    </x:row>
    <x:row r="123" ht="20" customHeight="1">
      <x:c r="A123" s="15"/>
      <x:c r="B123" s="15"/>
      <x:c r="C123" s="15"/>
      <x:c r="D123" s="15"/>
      <x:c r="E123" s="15"/>
      <x:c r="F123" s="15"/>
      <x:c r="G123" s="15"/>
      <x:c r="H123" s="70"/>
      <x:c r="I123" s="15"/>
      <x:c r="J123" s="28"/>
      <x:c r="K123" s="15"/>
    </x:row>
    <x:row r="124" ht="20" customHeight="1">
      <x:c r="A124" s="15"/>
      <x:c r="B124" s="15"/>
      <x:c r="C124" s="15"/>
      <x:c r="D124" s="15"/>
      <x:c r="E124" s="15"/>
      <x:c r="F124" s="15"/>
      <x:c r="G124" s="15"/>
      <x:c r="H124" s="70"/>
      <x:c r="I124" s="15"/>
      <x:c r="J124" s="28"/>
      <x:c r="K124" s="15"/>
    </x:row>
    <x:row r="125" ht="20" customHeight="1">
      <x:c r="A125" s="15"/>
      <x:c r="B125" s="15"/>
      <x:c r="C125" s="15"/>
      <x:c r="D125" s="15"/>
      <x:c r="E125" s="15"/>
      <x:c r="F125" s="15"/>
      <x:c r="G125" s="15"/>
      <x:c r="H125" s="70"/>
      <x:c r="I125" s="15"/>
      <x:c r="J125" s="28"/>
      <x:c r="K125" s="15"/>
    </x:row>
    <x:row r="126" ht="20" customHeight="1">
      <x:c r="A126" s="15"/>
      <x:c r="B126" s="15"/>
      <x:c r="C126" s="15"/>
      <x:c r="D126" s="15"/>
      <x:c r="E126" s="15"/>
      <x:c r="F126" s="15"/>
      <x:c r="G126" s="15"/>
      <x:c r="H126" s="70"/>
      <x:c r="I126" s="15"/>
      <x:c r="J126" s="28"/>
      <x:c r="K126" s="15"/>
    </x:row>
    <x:row r="127" ht="20" customHeight="1">
      <x:c r="A127" s="15"/>
      <x:c r="B127" s="15"/>
      <x:c r="C127" s="15"/>
      <x:c r="D127" s="15"/>
      <x:c r="E127" s="15"/>
      <x:c r="F127" s="15"/>
      <x:c r="G127" s="15"/>
      <x:c r="H127" s="70"/>
      <x:c r="I127" s="15"/>
      <x:c r="J127" s="28"/>
      <x:c r="K127" s="15"/>
    </x:row>
    <x:row r="128" ht="20" customHeight="1">
      <x:c r="A128" s="15"/>
      <x:c r="B128" s="15"/>
      <x:c r="C128" s="15"/>
      <x:c r="D128" s="15"/>
      <x:c r="E128" s="15"/>
      <x:c r="F128" s="15"/>
      <x:c r="G128" s="15"/>
      <x:c r="H128" s="70"/>
      <x:c r="I128" s="15"/>
      <x:c r="J128" s="28"/>
      <x:c r="K128" s="15"/>
    </x:row>
    <x:row r="129" ht="20" customHeight="1">
      <x:c r="A129" s="15"/>
      <x:c r="B129" s="15"/>
      <x:c r="C129" s="15"/>
      <x:c r="D129" s="15"/>
      <x:c r="E129" s="15"/>
      <x:c r="F129" s="15"/>
      <x:c r="G129" s="15"/>
      <x:c r="H129" s="70"/>
      <x:c r="I129" s="15"/>
      <x:c r="J129" s="28"/>
      <x:c r="K129" s="15"/>
    </x:row>
    <x:row r="130" ht="20" customHeight="1">
      <x:c r="A130" s="15"/>
      <x:c r="B130" s="15"/>
      <x:c r="C130" s="15"/>
      <x:c r="D130" s="15"/>
      <x:c r="E130" s="15"/>
      <x:c r="F130" s="15"/>
      <x:c r="G130" s="15"/>
      <x:c r="H130" s="70"/>
      <x:c r="I130" s="15"/>
      <x:c r="J130" s="28"/>
      <x:c r="K130" s="15"/>
    </x:row>
    <x:row r="131" ht="20" customHeight="1">
      <x:c r="A131" s="15"/>
      <x:c r="B131" s="15"/>
      <x:c r="C131" s="15"/>
      <x:c r="D131" s="15"/>
      <x:c r="E131" s="15"/>
      <x:c r="F131" s="15"/>
      <x:c r="G131" s="15"/>
      <x:c r="H131" s="70"/>
      <x:c r="I131" s="15"/>
      <x:c r="J131" s="28"/>
      <x:c r="K131" s="15"/>
    </x:row>
    <x:row r="132" ht="20" customHeight="1">
      <x:c r="A132" s="15"/>
      <x:c r="B132" s="15"/>
      <x:c r="C132" s="15"/>
      <x:c r="D132" s="15"/>
      <x:c r="E132" s="15"/>
      <x:c r="F132" s="15"/>
      <x:c r="G132" s="15"/>
      <x:c r="H132" s="70"/>
      <x:c r="I132" s="15"/>
      <x:c r="J132" s="28"/>
      <x:c r="K132" s="15"/>
    </x:row>
    <x:row r="133" ht="20" customHeight="1">
      <x:c r="A133" s="15"/>
      <x:c r="B133" s="15"/>
      <x:c r="C133" s="15"/>
      <x:c r="D133" s="15"/>
      <x:c r="E133" s="15"/>
      <x:c r="F133" s="15"/>
      <x:c r="G133" s="15"/>
      <x:c r="H133" s="70"/>
      <x:c r="I133" s="15"/>
      <x:c r="J133" s="28"/>
      <x:c r="K133" s="15"/>
    </x:row>
    <x:row r="134" ht="20" customHeight="1">
      <x:c r="A134" s="15"/>
      <x:c r="B134" s="15"/>
      <x:c r="C134" s="15"/>
      <x:c r="D134" s="15"/>
      <x:c r="E134" s="15"/>
      <x:c r="F134" s="15"/>
      <x:c r="G134" s="15"/>
      <x:c r="H134" s="70"/>
      <x:c r="I134" s="15"/>
      <x:c r="J134" s="28"/>
      <x:c r="K134" s="15"/>
    </x:row>
    <x:row r="135" ht="20" customHeight="1">
      <x:c r="A135" s="15"/>
      <x:c r="B135" s="15"/>
      <x:c r="C135" s="15"/>
      <x:c r="D135" s="15"/>
      <x:c r="E135" s="15"/>
      <x:c r="F135" s="15"/>
      <x:c r="G135" s="15"/>
      <x:c r="H135" s="70"/>
      <x:c r="I135" s="15"/>
      <x:c r="J135" s="28"/>
      <x:c r="K135" s="15"/>
    </x:row>
    <x:row r="136" ht="20" customHeight="1">
      <x:c r="A136" s="15"/>
      <x:c r="B136" s="15"/>
      <x:c r="C136" s="15"/>
      <x:c r="D136" s="15"/>
      <x:c r="E136" s="15"/>
      <x:c r="F136" s="15"/>
      <x:c r="G136" s="15"/>
      <x:c r="H136" s="70"/>
      <x:c r="I136" s="15"/>
      <x:c r="J136" s="28"/>
      <x:c r="K136" s="15"/>
    </x:row>
    <x:row r="137" ht="20" customHeight="1">
      <x:c r="A137" s="15"/>
      <x:c r="B137" s="15"/>
      <x:c r="C137" s="15"/>
      <x:c r="D137" s="15"/>
      <x:c r="E137" s="15"/>
      <x:c r="F137" s="15"/>
      <x:c r="G137" s="15"/>
      <x:c r="H137" s="70"/>
      <x:c r="I137" s="15"/>
      <x:c r="J137" s="28"/>
      <x:c r="K137" s="15"/>
    </x:row>
    <x:row r="138" ht="20" customHeight="1">
      <x:c r="A138" s="15"/>
      <x:c r="B138" s="15"/>
      <x:c r="C138" s="15"/>
      <x:c r="D138" s="15"/>
      <x:c r="E138" s="15"/>
      <x:c r="F138" s="15"/>
      <x:c r="G138" s="15"/>
      <x:c r="H138" s="70"/>
      <x:c r="I138" s="15"/>
      <x:c r="J138" s="28"/>
      <x:c r="K138" s="15"/>
    </x:row>
    <x:row r="139" ht="20" customHeight="1">
      <x:c r="A139" s="15"/>
      <x:c r="B139" s="15"/>
      <x:c r="C139" s="15"/>
      <x:c r="D139" s="15"/>
      <x:c r="E139" s="15"/>
      <x:c r="F139" s="15"/>
      <x:c r="G139" s="15"/>
      <x:c r="H139" s="70"/>
      <x:c r="I139" s="15"/>
      <x:c r="J139" s="28"/>
      <x:c r="K139" s="15"/>
    </x:row>
    <x:row r="140" ht="20" customHeight="1">
      <x:c r="A140" s="15"/>
      <x:c r="B140" s="15"/>
      <x:c r="C140" s="15"/>
      <x:c r="D140" s="15"/>
      <x:c r="E140" s="15"/>
      <x:c r="F140" s="15"/>
      <x:c r="G140" s="15"/>
      <x:c r="H140" s="70"/>
      <x:c r="I140" s="15"/>
      <x:c r="J140" s="28"/>
      <x:c r="K140" s="15"/>
    </x:row>
    <x:row r="141" ht="20" customHeight="1">
      <x:c r="A141" s="15"/>
      <x:c r="B141" s="15"/>
      <x:c r="C141" s="15"/>
      <x:c r="D141" s="15"/>
      <x:c r="E141" s="15"/>
      <x:c r="F141" s="15"/>
      <x:c r="G141" s="15"/>
      <x:c r="H141" s="70"/>
      <x:c r="I141" s="15"/>
      <x:c r="J141" s="28"/>
      <x:c r="K141" s="15"/>
    </x:row>
    <x:row r="142" ht="20" customHeight="1">
      <x:c r="A142" s="15"/>
      <x:c r="B142" s="15"/>
      <x:c r="C142" s="15"/>
      <x:c r="D142" s="15"/>
      <x:c r="E142" s="15"/>
      <x:c r="F142" s="15"/>
      <x:c r="G142" s="15"/>
      <x:c r="H142" s="70"/>
      <x:c r="I142" s="15"/>
      <x:c r="J142" s="28"/>
      <x:c r="K142" s="15"/>
    </x:row>
    <x:row r="143" ht="20" customHeight="1">
      <x:c r="A143" s="15"/>
      <x:c r="B143" s="15"/>
      <x:c r="C143" s="15"/>
      <x:c r="D143" s="15"/>
      <x:c r="E143" s="15"/>
      <x:c r="F143" s="15"/>
      <x:c r="G143" s="15"/>
      <x:c r="H143" s="70"/>
      <x:c r="I143" s="15"/>
      <x:c r="J143" s="28"/>
      <x:c r="K143" s="15"/>
    </x:row>
    <x:row r="144" ht="20" customHeight="1">
      <x:c r="A144" s="15"/>
      <x:c r="B144" s="15"/>
      <x:c r="C144" s="15"/>
      <x:c r="D144" s="15"/>
      <x:c r="E144" s="15"/>
      <x:c r="F144" s="15"/>
      <x:c r="G144" s="15"/>
      <x:c r="H144" s="70"/>
      <x:c r="I144" s="15"/>
      <x:c r="J144" s="28"/>
      <x:c r="K144" s="15"/>
    </x:row>
    <x:row r="145" ht="20" customHeight="1">
      <x:c r="A145" s="15"/>
      <x:c r="B145" s="15"/>
      <x:c r="C145" s="15"/>
      <x:c r="D145" s="15"/>
      <x:c r="E145" s="15"/>
      <x:c r="F145" s="15"/>
      <x:c r="G145" s="15"/>
      <x:c r="H145" s="70"/>
      <x:c r="I145" s="15"/>
      <x:c r="J145" s="28"/>
      <x:c r="K145" s="15"/>
    </x:row>
    <x:row r="146" ht="20" customHeight="1">
      <x:c r="A146" s="15"/>
      <x:c r="B146" s="15"/>
      <x:c r="C146" s="15"/>
      <x:c r="D146" s="15"/>
      <x:c r="E146" s="15"/>
      <x:c r="F146" s="15"/>
      <x:c r="G146" s="15"/>
      <x:c r="H146" s="70"/>
      <x:c r="I146" s="15"/>
      <x:c r="J146" s="28"/>
      <x:c r="K146" s="15"/>
    </x:row>
    <x:row r="147" ht="20" customHeight="1">
      <x:c r="A147" s="15"/>
      <x:c r="B147" s="15"/>
      <x:c r="C147" s="15"/>
      <x:c r="D147" s="15"/>
      <x:c r="E147" s="15"/>
      <x:c r="F147" s="15"/>
      <x:c r="G147" s="15"/>
      <x:c r="H147" s="70"/>
      <x:c r="I147" s="15"/>
      <x:c r="J147" s="28"/>
      <x:c r="K147" s="15"/>
    </x:row>
    <x:row r="148" ht="20" customHeight="1">
      <x:c r="A148" s="15"/>
      <x:c r="B148" s="15"/>
      <x:c r="C148" s="15"/>
      <x:c r="D148" s="15"/>
      <x:c r="E148" s="15"/>
      <x:c r="F148" s="15"/>
      <x:c r="G148" s="15"/>
      <x:c r="H148" s="70"/>
      <x:c r="I148" s="15"/>
      <x:c r="J148" s="28"/>
      <x:c r="K148" s="15"/>
    </x:row>
    <x:row r="149" ht="20" customHeight="1">
      <x:c r="A149" s="15"/>
      <x:c r="B149" s="15"/>
      <x:c r="C149" s="15"/>
      <x:c r="D149" s="15"/>
      <x:c r="E149" s="15"/>
      <x:c r="F149" s="15"/>
      <x:c r="G149" s="15"/>
      <x:c r="H149" s="70"/>
      <x:c r="I149" s="15"/>
      <x:c r="J149" s="28"/>
      <x:c r="K149" s="15"/>
    </x:row>
    <x:row r="150" ht="20" customHeight="1">
      <x:c r="A150" s="15"/>
      <x:c r="B150" s="15"/>
      <x:c r="C150" s="15"/>
      <x:c r="D150" s="15"/>
      <x:c r="E150" s="15"/>
      <x:c r="F150" s="15"/>
      <x:c r="G150" s="15"/>
      <x:c r="H150" s="70"/>
      <x:c r="I150" s="15"/>
      <x:c r="J150" s="28"/>
      <x:c r="K150" s="15"/>
    </x:row>
    <x:row r="151" ht="20" customHeight="1">
      <x:c r="A151" s="15"/>
      <x:c r="B151" s="15"/>
      <x:c r="C151" s="15"/>
      <x:c r="D151" s="15"/>
      <x:c r="E151" s="15"/>
      <x:c r="F151" s="15"/>
      <x:c r="G151" s="15"/>
      <x:c r="H151" s="70"/>
      <x:c r="I151" s="15"/>
      <x:c r="J151" s="28"/>
      <x:c r="K151" s="15"/>
    </x:row>
  </x:sheetData>
  <x:dataValidations count="1">
    <x:dataValidation type="list" sqref="F2:F151">
      <x:formula1>"Active,Inactive,On Leave,Pending"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b302d06702437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18" hidden="0" customWidth="1"/>
    <x:col min="5" max="5" width="14" hidden="0" customWidth="1"/>
    <x:col min="6" max="6" width="12" hidden="0" customWidth="1"/>
    <x:col min="7" max="7" width="20" hidden="0" customWidth="1"/>
    <x:col min="8" max="8" width="42" hidden="0" customWidth="1"/>
  </x:cols>
  <x:sheetData>
    <x:row r="1" ht="30" customHeight="1">
      <x:c r="A1" s="76" t="str">
        <x:v>CrewID</x:v>
      </x:c>
      <x:c r="B1" s="76" t="str">
        <x:v>CrewName</x:v>
      </x:c>
      <x:c r="C1" s="76" t="str">
        <x:v>DefaultForemanID</x:v>
      </x:c>
      <x:c r="D1" s="76" t="str">
        <x:v>CrewType</x:v>
      </x:c>
      <x:c r="E1" s="76" t="str">
        <x:v>HomeMarket</x:v>
      </x:c>
      <x:c r="F1" s="76" t="str">
        <x:v>Status</x:v>
      </x:c>
      <x:c r="G1" s="76" t="str">
        <x:v>PrimaryEquipmentID</x:v>
      </x:c>
      <x:c r="H1" s="76" t="str">
        <x:v>Notes</x:v>
      </x:c>
    </x:row>
    <x:row r="2" ht="20" customHeight="1">
      <x:c r="A2" s="15" t="str">
        <x:v>CRW-A</x:v>
      </x:c>
      <x:c r="B2" s="15" t="str">
        <x:v>Alpha Underground</x:v>
      </x:c>
      <x:c r="C2" s="15" t="str">
        <x:v>EMP-001</x:v>
      </x:c>
      <x:c r="D2" s="15" t="str">
        <x:v>Underground</x:v>
      </x:c>
      <x:c r="E2" s="15" t="str">
        <x:v>PA</x:v>
      </x:c>
      <x:c r="F2" s="15" t="str">
        <x:v>Active</x:v>
      </x:c>
      <x:c r="G2" s="15" t="str">
        <x:v>EQ-101</x:v>
      </x:c>
      <x:c r="H2" s="15" t="str">
        <x:v>Daily production crew</x:v>
      </x:c>
    </x:row>
    <x:row r="3" ht="20" customHeight="1">
      <x:c r="A3" s="15" t="str">
        <x:v>CRW-B</x:v>
      </x:c>
      <x:c r="B3" s="15" t="str">
        <x:v>Bravo Bore</x:v>
      </x:c>
      <x:c r="C3" s="15" t="str">
        <x:v>EMP-003</x:v>
      </x:c>
      <x:c r="D3" s="15" t="str">
        <x:v>Bore</x:v>
      </x:c>
      <x:c r="E3" s="15" t="str">
        <x:v>PA</x:v>
      </x:c>
      <x:c r="F3" s="15" t="str">
        <x:v>Active</x:v>
      </x:c>
      <x:c r="G3" s="15" t="str">
        <x:v>EQ-201</x:v>
      </x:c>
      <x:c r="H3" s="15" t="str">
        <x:v>Boring crew</x:v>
      </x:c>
    </x:row>
    <x:row r="4" ht="20" customHeight="1">
      <x:c r="A4" s="15" t="str">
        <x:v>CRW-C</x:v>
      </x:c>
      <x:c r="B4" s="15" t="str">
        <x:v>Charlie Splice</x:v>
      </x:c>
      <x:c r="C4" s="15" t="str">
        <x:v>EMP-004</x:v>
      </x:c>
      <x:c r="D4" s="15" t="str">
        <x:v>Splice</x:v>
      </x:c>
      <x:c r="E4" s="15" t="str">
        <x:v>NJ</x:v>
      </x:c>
      <x:c r="F4" s="15" t="str">
        <x:v>Active</x:v>
      </x:c>
      <x:c r="G4" s="15" t="str">
        <x:v>EQ-301</x:v>
      </x:c>
      <x:c r="H4" s="15" t="str">
        <x:v>Splice/closeout crew</x:v>
      </x:c>
    </x:row>
    <x:row r="5" ht="20" customHeight="1">
      <x:c r="A5" s="15"/>
      <x:c r="B5" s="15"/>
      <x:c r="C5" s="15"/>
      <x:c r="D5" s="15"/>
      <x:c r="E5" s="15"/>
      <x:c r="F5" s="15"/>
      <x:c r="G5" s="15"/>
      <x:c r="H5" s="15"/>
    </x:row>
    <x:row r="6" ht="20" customHeight="1">
      <x:c r="A6" s="15"/>
      <x:c r="B6" s="15"/>
      <x:c r="C6" s="15"/>
      <x:c r="D6" s="15"/>
      <x:c r="E6" s="15"/>
      <x:c r="F6" s="15"/>
      <x:c r="G6" s="15"/>
      <x:c r="H6" s="15"/>
    </x:row>
    <x:row r="7" ht="20" customHeight="1">
      <x:c r="A7" s="15"/>
      <x:c r="B7" s="15"/>
      <x:c r="C7" s="15"/>
      <x:c r="D7" s="15"/>
      <x:c r="E7" s="15"/>
      <x:c r="F7" s="15"/>
      <x:c r="G7" s="15"/>
      <x:c r="H7" s="15"/>
    </x:row>
    <x:row r="8" ht="20" customHeight="1">
      <x:c r="A8" s="15"/>
      <x:c r="B8" s="15"/>
      <x:c r="C8" s="15"/>
      <x:c r="D8" s="15"/>
      <x:c r="E8" s="15"/>
      <x:c r="F8" s="15"/>
      <x:c r="G8" s="15"/>
      <x:c r="H8" s="15"/>
    </x:row>
    <x:row r="9" ht="20" customHeight="1">
      <x:c r="A9" s="15"/>
      <x:c r="B9" s="15"/>
      <x:c r="C9" s="15"/>
      <x:c r="D9" s="15"/>
      <x:c r="E9" s="15"/>
      <x:c r="F9" s="15"/>
      <x:c r="G9" s="15"/>
      <x:c r="H9" s="15"/>
    </x:row>
    <x:row r="10" ht="20" customHeight="1">
      <x:c r="A10" s="15"/>
      <x:c r="B10" s="15"/>
      <x:c r="C10" s="15"/>
      <x:c r="D10" s="15"/>
      <x:c r="E10" s="15"/>
      <x:c r="F10" s="15"/>
      <x:c r="G10" s="15"/>
      <x:c r="H10" s="15"/>
    </x:row>
    <x:row r="11" ht="20" customHeight="1">
      <x:c r="A11" s="15"/>
      <x:c r="B11" s="15"/>
      <x:c r="C11" s="15"/>
      <x:c r="D11" s="15"/>
      <x:c r="E11" s="15"/>
      <x:c r="F11" s="15"/>
      <x:c r="G11" s="15"/>
      <x:c r="H11" s="15"/>
    </x:row>
    <x:row r="12" ht="20" customHeight="1">
      <x:c r="A12" s="15"/>
      <x:c r="B12" s="15"/>
      <x:c r="C12" s="15"/>
      <x:c r="D12" s="15"/>
      <x:c r="E12" s="15"/>
      <x:c r="F12" s="15"/>
      <x:c r="G12" s="15"/>
      <x:c r="H12" s="15"/>
    </x:row>
    <x:row r="13" ht="20" customHeight="1">
      <x:c r="A13" s="15"/>
      <x:c r="B13" s="15"/>
      <x:c r="C13" s="15"/>
      <x:c r="D13" s="15"/>
      <x:c r="E13" s="15"/>
      <x:c r="F13" s="15"/>
      <x:c r="G13" s="15"/>
      <x:c r="H13" s="15"/>
    </x:row>
    <x:row r="14" ht="20" customHeight="1">
      <x:c r="A14" s="15"/>
      <x:c r="B14" s="15"/>
      <x:c r="C14" s="15"/>
      <x:c r="D14" s="15"/>
      <x:c r="E14" s="15"/>
      <x:c r="F14" s="15"/>
      <x:c r="G14" s="15"/>
      <x:c r="H14" s="15"/>
    </x:row>
    <x:row r="15" ht="20" customHeight="1">
      <x:c r="A15" s="15"/>
      <x:c r="B15" s="15"/>
      <x:c r="C15" s="15"/>
      <x:c r="D15" s="15"/>
      <x:c r="E15" s="15"/>
      <x:c r="F15" s="15"/>
      <x:c r="G15" s="15"/>
      <x:c r="H15" s="15"/>
    </x:row>
    <x:row r="16" ht="20" customHeight="1">
      <x:c r="A16" s="15"/>
      <x:c r="B16" s="15"/>
      <x:c r="C16" s="15"/>
      <x:c r="D16" s="15"/>
      <x:c r="E16" s="15"/>
      <x:c r="F16" s="15"/>
      <x:c r="G16" s="15"/>
      <x:c r="H16" s="15"/>
    </x:row>
    <x:row r="17" ht="20" customHeight="1">
      <x:c r="A17" s="15"/>
      <x:c r="B17" s="15"/>
      <x:c r="C17" s="15"/>
      <x:c r="D17" s="15"/>
      <x:c r="E17" s="15"/>
      <x:c r="F17" s="15"/>
      <x:c r="G17" s="15"/>
      <x:c r="H17" s="15"/>
    </x:row>
    <x:row r="18" ht="20" customHeight="1">
      <x:c r="A18" s="15"/>
      <x:c r="B18" s="15"/>
      <x:c r="C18" s="15"/>
      <x:c r="D18" s="15"/>
      <x:c r="E18" s="15"/>
      <x:c r="F18" s="15"/>
      <x:c r="G18" s="15"/>
      <x:c r="H18" s="15"/>
    </x:row>
    <x:row r="19" ht="20" customHeight="1">
      <x:c r="A19" s="15"/>
      <x:c r="B19" s="15"/>
      <x:c r="C19" s="15"/>
      <x:c r="D19" s="15"/>
      <x:c r="E19" s="15"/>
      <x:c r="F19" s="15"/>
      <x:c r="G19" s="15"/>
      <x:c r="H19" s="15"/>
    </x:row>
    <x:row r="20" ht="20" customHeight="1">
      <x:c r="A20" s="15"/>
      <x:c r="B20" s="15"/>
      <x:c r="C20" s="15"/>
      <x:c r="D20" s="15"/>
      <x:c r="E20" s="15"/>
      <x:c r="F20" s="15"/>
      <x:c r="G20" s="15"/>
      <x:c r="H20" s="15"/>
    </x:row>
    <x:row r="21" ht="20" customHeight="1">
      <x:c r="A21" s="15"/>
      <x:c r="B21" s="15"/>
      <x:c r="C21" s="15"/>
      <x:c r="D21" s="15"/>
      <x:c r="E21" s="15"/>
      <x:c r="F21" s="15"/>
      <x:c r="G21" s="15"/>
      <x:c r="H21" s="15"/>
    </x:row>
    <x:row r="22" ht="20" customHeight="1">
      <x:c r="A22" s="15"/>
      <x:c r="B22" s="15"/>
      <x:c r="C22" s="15"/>
      <x:c r="D22" s="15"/>
      <x:c r="E22" s="15"/>
      <x:c r="F22" s="15"/>
      <x:c r="G22" s="15"/>
      <x:c r="H22" s="15"/>
    </x:row>
    <x:row r="23" ht="20" customHeight="1">
      <x:c r="A23" s="15"/>
      <x:c r="B23" s="15"/>
      <x:c r="C23" s="15"/>
      <x:c r="D23" s="15"/>
      <x:c r="E23" s="15"/>
      <x:c r="F23" s="15"/>
      <x:c r="G23" s="15"/>
      <x:c r="H23" s="15"/>
    </x:row>
    <x:row r="24" ht="20" customHeight="1">
      <x:c r="A24" s="15"/>
      <x:c r="B24" s="15"/>
      <x:c r="C24" s="15"/>
      <x:c r="D24" s="15"/>
      <x:c r="E24" s="15"/>
      <x:c r="F24" s="15"/>
      <x:c r="G24" s="15"/>
      <x:c r="H24" s="15"/>
    </x:row>
    <x:row r="25" ht="20" customHeight="1">
      <x:c r="A25" s="15"/>
      <x:c r="B25" s="15"/>
      <x:c r="C25" s="15"/>
      <x:c r="D25" s="15"/>
      <x:c r="E25" s="15"/>
      <x:c r="F25" s="15"/>
      <x:c r="G25" s="15"/>
      <x:c r="H25" s="15"/>
    </x:row>
    <x:row r="26" ht="20" customHeight="1">
      <x:c r="A26" s="15"/>
      <x:c r="B26" s="15"/>
      <x:c r="C26" s="15"/>
      <x:c r="D26" s="15"/>
      <x:c r="E26" s="15"/>
      <x:c r="F26" s="15"/>
      <x:c r="G26" s="15"/>
      <x:c r="H26" s="15"/>
    </x:row>
    <x:row r="27" ht="20" customHeight="1">
      <x:c r="A27" s="15"/>
      <x:c r="B27" s="15"/>
      <x:c r="C27" s="15"/>
      <x:c r="D27" s="15"/>
      <x:c r="E27" s="15"/>
      <x:c r="F27" s="15"/>
      <x:c r="G27" s="15"/>
      <x:c r="H27" s="15"/>
    </x:row>
    <x:row r="28" ht="20" customHeight="1">
      <x:c r="A28" s="15"/>
      <x:c r="B28" s="15"/>
      <x:c r="C28" s="15"/>
      <x:c r="D28" s="15"/>
      <x:c r="E28" s="15"/>
      <x:c r="F28" s="15"/>
      <x:c r="G28" s="15"/>
      <x:c r="H28" s="15"/>
    </x:row>
    <x:row r="29" ht="20" customHeight="1">
      <x:c r="A29" s="15"/>
      <x:c r="B29" s="15"/>
      <x:c r="C29" s="15"/>
      <x:c r="D29" s="15"/>
      <x:c r="E29" s="15"/>
      <x:c r="F29" s="15"/>
      <x:c r="G29" s="15"/>
      <x:c r="H29" s="15"/>
    </x:row>
    <x:row r="30" ht="20" customHeight="1">
      <x:c r="A30" s="15"/>
      <x:c r="B30" s="15"/>
      <x:c r="C30" s="15"/>
      <x:c r="D30" s="15"/>
      <x:c r="E30" s="15"/>
      <x:c r="F30" s="15"/>
      <x:c r="G30" s="15"/>
      <x:c r="H30" s="15"/>
    </x:row>
    <x:row r="31" ht="20" customHeight="1">
      <x:c r="A31" s="15"/>
      <x:c r="B31" s="15"/>
      <x:c r="C31" s="15"/>
      <x:c r="D31" s="15"/>
      <x:c r="E31" s="15"/>
      <x:c r="F31" s="15"/>
      <x:c r="G31" s="15"/>
      <x:c r="H31" s="15"/>
    </x:row>
    <x:row r="32" ht="20" customHeight="1">
      <x:c r="A32" s="15"/>
      <x:c r="B32" s="15"/>
      <x:c r="C32" s="15"/>
      <x:c r="D32" s="15"/>
      <x:c r="E32" s="15"/>
      <x:c r="F32" s="15"/>
      <x:c r="G32" s="15"/>
      <x:c r="H32" s="15"/>
    </x:row>
    <x:row r="33" ht="20" customHeight="1">
      <x:c r="A33" s="15"/>
      <x:c r="B33" s="15"/>
      <x:c r="C33" s="15"/>
      <x:c r="D33" s="15"/>
      <x:c r="E33" s="15"/>
      <x:c r="F33" s="15"/>
      <x:c r="G33" s="15"/>
      <x:c r="H33" s="15"/>
    </x:row>
    <x:row r="34" ht="20" customHeight="1">
      <x:c r="A34" s="15"/>
      <x:c r="B34" s="15"/>
      <x:c r="C34" s="15"/>
      <x:c r="D34" s="15"/>
      <x:c r="E34" s="15"/>
      <x:c r="F34" s="15"/>
      <x:c r="G34" s="15"/>
      <x:c r="H34" s="15"/>
    </x:row>
    <x:row r="35" ht="20" customHeight="1">
      <x:c r="A35" s="15"/>
      <x:c r="B35" s="15"/>
      <x:c r="C35" s="15"/>
      <x:c r="D35" s="15"/>
      <x:c r="E35" s="15"/>
      <x:c r="F35" s="15"/>
      <x:c r="G35" s="15"/>
      <x:c r="H35" s="15"/>
    </x:row>
    <x:row r="36" ht="20" customHeight="1">
      <x:c r="A36" s="15"/>
      <x:c r="B36" s="15"/>
      <x:c r="C36" s="15"/>
      <x:c r="D36" s="15"/>
      <x:c r="E36" s="15"/>
      <x:c r="F36" s="15"/>
      <x:c r="G36" s="15"/>
      <x:c r="H36" s="15"/>
    </x:row>
    <x:row r="37" ht="20" customHeight="1">
      <x:c r="A37" s="15"/>
      <x:c r="B37" s="15"/>
      <x:c r="C37" s="15"/>
      <x:c r="D37" s="15"/>
      <x:c r="E37" s="15"/>
      <x:c r="F37" s="15"/>
      <x:c r="G37" s="15"/>
      <x:c r="H37" s="15"/>
    </x:row>
    <x:row r="38" ht="20" customHeight="1">
      <x:c r="A38" s="15"/>
      <x:c r="B38" s="15"/>
      <x:c r="C38" s="15"/>
      <x:c r="D38" s="15"/>
      <x:c r="E38" s="15"/>
      <x:c r="F38" s="15"/>
      <x:c r="G38" s="15"/>
      <x:c r="H38" s="15"/>
    </x:row>
    <x:row r="39" ht="20" customHeight="1">
      <x:c r="A39" s="15"/>
      <x:c r="B39" s="15"/>
      <x:c r="C39" s="15"/>
      <x:c r="D39" s="15"/>
      <x:c r="E39" s="15"/>
      <x:c r="F39" s="15"/>
      <x:c r="G39" s="15"/>
      <x:c r="H39" s="15"/>
    </x:row>
    <x:row r="40" ht="20" customHeight="1">
      <x:c r="A40" s="15"/>
      <x:c r="B40" s="15"/>
      <x:c r="C40" s="15"/>
      <x:c r="D40" s="15"/>
      <x:c r="E40" s="15"/>
      <x:c r="F40" s="15"/>
      <x:c r="G40" s="15"/>
      <x:c r="H40" s="15"/>
    </x:row>
    <x:row r="41" ht="20" customHeight="1">
      <x:c r="A41" s="15"/>
      <x:c r="B41" s="15"/>
      <x:c r="C41" s="15"/>
      <x:c r="D41" s="15"/>
      <x:c r="E41" s="15"/>
      <x:c r="F41" s="15"/>
      <x:c r="G41" s="15"/>
      <x:c r="H41" s="15"/>
    </x:row>
    <x:row r="42" ht="20" customHeight="1">
      <x:c r="A42" s="15"/>
      <x:c r="B42" s="15"/>
      <x:c r="C42" s="15"/>
      <x:c r="D42" s="15"/>
      <x:c r="E42" s="15"/>
      <x:c r="F42" s="15"/>
      <x:c r="G42" s="15"/>
      <x:c r="H42" s="15"/>
    </x:row>
    <x:row r="43" ht="20" customHeight="1">
      <x:c r="A43" s="15"/>
      <x:c r="B43" s="15"/>
      <x:c r="C43" s="15"/>
      <x:c r="D43" s="15"/>
      <x:c r="E43" s="15"/>
      <x:c r="F43" s="15"/>
      <x:c r="G43" s="15"/>
      <x:c r="H43" s="15"/>
    </x:row>
    <x:row r="44" ht="20" customHeight="1">
      <x:c r="A44" s="15"/>
      <x:c r="B44" s="15"/>
      <x:c r="C44" s="15"/>
      <x:c r="D44" s="15"/>
      <x:c r="E44" s="15"/>
      <x:c r="F44" s="15"/>
      <x:c r="G44" s="15"/>
      <x:c r="H44" s="15"/>
    </x:row>
    <x:row r="45" ht="20" customHeight="1">
      <x:c r="A45" s="15"/>
      <x:c r="B45" s="15"/>
      <x:c r="C45" s="15"/>
      <x:c r="D45" s="15"/>
      <x:c r="E45" s="15"/>
      <x:c r="F45" s="15"/>
      <x:c r="G45" s="15"/>
      <x:c r="H45" s="15"/>
    </x:row>
    <x:row r="46" ht="20" customHeight="1">
      <x:c r="A46" s="15"/>
      <x:c r="B46" s="15"/>
      <x:c r="C46" s="15"/>
      <x:c r="D46" s="15"/>
      <x:c r="E46" s="15"/>
      <x:c r="F46" s="15"/>
      <x:c r="G46" s="15"/>
      <x:c r="H46" s="15"/>
    </x:row>
    <x:row r="47" ht="20" customHeight="1">
      <x:c r="A47" s="15"/>
      <x:c r="B47" s="15"/>
      <x:c r="C47" s="15"/>
      <x:c r="D47" s="15"/>
      <x:c r="E47" s="15"/>
      <x:c r="F47" s="15"/>
      <x:c r="G47" s="15"/>
      <x:c r="H47" s="15"/>
    </x:row>
    <x:row r="48" ht="20" customHeight="1">
      <x:c r="A48" s="15"/>
      <x:c r="B48" s="15"/>
      <x:c r="C48" s="15"/>
      <x:c r="D48" s="15"/>
      <x:c r="E48" s="15"/>
      <x:c r="F48" s="15"/>
      <x:c r="G48" s="15"/>
      <x:c r="H48" s="15"/>
    </x:row>
    <x:row r="49" ht="20" customHeight="1">
      <x:c r="A49" s="15"/>
      <x:c r="B49" s="15"/>
      <x:c r="C49" s="15"/>
      <x:c r="D49" s="15"/>
      <x:c r="E49" s="15"/>
      <x:c r="F49" s="15"/>
      <x:c r="G49" s="15"/>
      <x:c r="H49" s="15"/>
    </x:row>
    <x:row r="50" ht="20" customHeight="1">
      <x:c r="A50" s="15"/>
      <x:c r="B50" s="15"/>
      <x:c r="C50" s="15"/>
      <x:c r="D50" s="15"/>
      <x:c r="E50" s="15"/>
      <x:c r="F50" s="15"/>
      <x:c r="G50" s="15"/>
      <x:c r="H50" s="15"/>
    </x:row>
    <x:row r="51" ht="20" customHeight="1">
      <x:c r="A51" s="15"/>
      <x:c r="B51" s="15"/>
      <x:c r="C51" s="15"/>
      <x:c r="D51" s="15"/>
      <x:c r="E51" s="15"/>
      <x:c r="F51" s="15"/>
      <x:c r="G51" s="15"/>
      <x:c r="H51" s="15"/>
    </x:row>
    <x:row r="52" ht="20" customHeight="1">
      <x:c r="A52" s="15"/>
      <x:c r="B52" s="15"/>
      <x:c r="C52" s="15"/>
      <x:c r="D52" s="15"/>
      <x:c r="E52" s="15"/>
      <x:c r="F52" s="15"/>
      <x:c r="G52" s="15"/>
      <x:c r="H52" s="15"/>
    </x:row>
    <x:row r="53" ht="20" customHeight="1">
      <x:c r="A53" s="15"/>
      <x:c r="B53" s="15"/>
      <x:c r="C53" s="15"/>
      <x:c r="D53" s="15"/>
      <x:c r="E53" s="15"/>
      <x:c r="F53" s="15"/>
      <x:c r="G53" s="15"/>
      <x:c r="H53" s="15"/>
    </x:row>
    <x:row r="54" ht="20" customHeight="1">
      <x:c r="A54" s="15"/>
      <x:c r="B54" s="15"/>
      <x:c r="C54" s="15"/>
      <x:c r="D54" s="15"/>
      <x:c r="E54" s="15"/>
      <x:c r="F54" s="15"/>
      <x:c r="G54" s="15"/>
      <x:c r="H54" s="15"/>
    </x:row>
    <x:row r="55" ht="20" customHeight="1">
      <x:c r="A55" s="15"/>
      <x:c r="B55" s="15"/>
      <x:c r="C55" s="15"/>
      <x:c r="D55" s="15"/>
      <x:c r="E55" s="15"/>
      <x:c r="F55" s="15"/>
      <x:c r="G55" s="15"/>
      <x:c r="H55" s="15"/>
    </x:row>
    <x:row r="56" ht="20" customHeight="1">
      <x:c r="A56" s="15"/>
      <x:c r="B56" s="15"/>
      <x:c r="C56" s="15"/>
      <x:c r="D56" s="15"/>
      <x:c r="E56" s="15"/>
      <x:c r="F56" s="15"/>
      <x:c r="G56" s="15"/>
      <x:c r="H56" s="15"/>
    </x:row>
    <x:row r="57" ht="20" customHeight="1">
      <x:c r="A57" s="15"/>
      <x:c r="B57" s="15"/>
      <x:c r="C57" s="15"/>
      <x:c r="D57" s="15"/>
      <x:c r="E57" s="15"/>
      <x:c r="F57" s="15"/>
      <x:c r="G57" s="15"/>
      <x:c r="H57" s="15"/>
    </x:row>
    <x:row r="58" ht="20" customHeight="1">
      <x:c r="A58" s="15"/>
      <x:c r="B58" s="15"/>
      <x:c r="C58" s="15"/>
      <x:c r="D58" s="15"/>
      <x:c r="E58" s="15"/>
      <x:c r="F58" s="15"/>
      <x:c r="G58" s="15"/>
      <x:c r="H58" s="15"/>
    </x:row>
    <x:row r="59" ht="20" customHeight="1">
      <x:c r="A59" s="15"/>
      <x:c r="B59" s="15"/>
      <x:c r="C59" s="15"/>
      <x:c r="D59" s="15"/>
      <x:c r="E59" s="15"/>
      <x:c r="F59" s="15"/>
      <x:c r="G59" s="15"/>
      <x:c r="H59" s="15"/>
    </x:row>
    <x:row r="60" ht="20" customHeight="1">
      <x:c r="A60" s="15"/>
      <x:c r="B60" s="15"/>
      <x:c r="C60" s="15"/>
      <x:c r="D60" s="15"/>
      <x:c r="E60" s="15"/>
      <x:c r="F60" s="15"/>
      <x:c r="G60" s="15"/>
      <x:c r="H60" s="15"/>
    </x:row>
    <x:row r="61" ht="20" customHeight="1">
      <x:c r="A61" s="15"/>
      <x:c r="B61" s="15"/>
      <x:c r="C61" s="15"/>
      <x:c r="D61" s="15"/>
      <x:c r="E61" s="15"/>
      <x:c r="F61" s="15"/>
      <x:c r="G61" s="15"/>
      <x:c r="H61" s="15"/>
    </x:row>
    <x:row r="62" ht="20" customHeight="1">
      <x:c r="A62" s="15"/>
      <x:c r="B62" s="15"/>
      <x:c r="C62" s="15"/>
      <x:c r="D62" s="15"/>
      <x:c r="E62" s="15"/>
      <x:c r="F62" s="15"/>
      <x:c r="G62" s="15"/>
      <x:c r="H62" s="15"/>
    </x:row>
    <x:row r="63" ht="20" customHeight="1">
      <x:c r="A63" s="15"/>
      <x:c r="B63" s="15"/>
      <x:c r="C63" s="15"/>
      <x:c r="D63" s="15"/>
      <x:c r="E63" s="15"/>
      <x:c r="F63" s="15"/>
      <x:c r="G63" s="15"/>
      <x:c r="H63" s="15"/>
    </x:row>
    <x:row r="64" ht="20" customHeight="1">
      <x:c r="A64" s="15"/>
      <x:c r="B64" s="15"/>
      <x:c r="C64" s="15"/>
      <x:c r="D64" s="15"/>
      <x:c r="E64" s="15"/>
      <x:c r="F64" s="15"/>
      <x:c r="G64" s="15"/>
      <x:c r="H64" s="15"/>
    </x:row>
    <x:row r="65" ht="20" customHeight="1">
      <x:c r="A65" s="15"/>
      <x:c r="B65" s="15"/>
      <x:c r="C65" s="15"/>
      <x:c r="D65" s="15"/>
      <x:c r="E65" s="15"/>
      <x:c r="F65" s="15"/>
      <x:c r="G65" s="15"/>
      <x:c r="H65" s="15"/>
    </x:row>
    <x:row r="66" ht="20" customHeight="1">
      <x:c r="A66" s="15"/>
      <x:c r="B66" s="15"/>
      <x:c r="C66" s="15"/>
      <x:c r="D66" s="15"/>
      <x:c r="E66" s="15"/>
      <x:c r="F66" s="15"/>
      <x:c r="G66" s="15"/>
      <x:c r="H66" s="15"/>
    </x:row>
    <x:row r="67" ht="20" customHeight="1">
      <x:c r="A67" s="15"/>
      <x:c r="B67" s="15"/>
      <x:c r="C67" s="15"/>
      <x:c r="D67" s="15"/>
      <x:c r="E67" s="15"/>
      <x:c r="F67" s="15"/>
      <x:c r="G67" s="15"/>
      <x:c r="H67" s="15"/>
    </x:row>
    <x:row r="68" ht="20" customHeight="1">
      <x:c r="A68" s="15"/>
      <x:c r="B68" s="15"/>
      <x:c r="C68" s="15"/>
      <x:c r="D68" s="15"/>
      <x:c r="E68" s="15"/>
      <x:c r="F68" s="15"/>
      <x:c r="G68" s="15"/>
      <x:c r="H68" s="15"/>
    </x:row>
    <x:row r="69" ht="20" customHeight="1">
      <x:c r="A69" s="15"/>
      <x:c r="B69" s="15"/>
      <x:c r="C69" s="15"/>
      <x:c r="D69" s="15"/>
      <x:c r="E69" s="15"/>
      <x:c r="F69" s="15"/>
      <x:c r="G69" s="15"/>
      <x:c r="H69" s="15"/>
    </x:row>
    <x:row r="70" ht="20" customHeight="1">
      <x:c r="A70" s="15"/>
      <x:c r="B70" s="15"/>
      <x:c r="C70" s="15"/>
      <x:c r="D70" s="15"/>
      <x:c r="E70" s="15"/>
      <x:c r="F70" s="15"/>
      <x:c r="G70" s="15"/>
      <x:c r="H70" s="15"/>
    </x:row>
    <x:row r="71" ht="20" customHeight="1">
      <x:c r="A71" s="15"/>
      <x:c r="B71" s="15"/>
      <x:c r="C71" s="15"/>
      <x:c r="D71" s="15"/>
      <x:c r="E71" s="15"/>
      <x:c r="F71" s="15"/>
      <x:c r="G71" s="15"/>
      <x:c r="H71" s="15"/>
    </x:row>
    <x:row r="72" ht="20" customHeight="1">
      <x:c r="A72" s="15"/>
      <x:c r="B72" s="15"/>
      <x:c r="C72" s="15"/>
      <x:c r="D72" s="15"/>
      <x:c r="E72" s="15"/>
      <x:c r="F72" s="15"/>
      <x:c r="G72" s="15"/>
      <x:c r="H72" s="15"/>
    </x:row>
    <x:row r="73" ht="20" customHeight="1">
      <x:c r="A73" s="15"/>
      <x:c r="B73" s="15"/>
      <x:c r="C73" s="15"/>
      <x:c r="D73" s="15"/>
      <x:c r="E73" s="15"/>
      <x:c r="F73" s="15"/>
      <x:c r="G73" s="15"/>
      <x:c r="H73" s="15"/>
    </x:row>
    <x:row r="74" ht="20" customHeight="1">
      <x:c r="A74" s="15"/>
      <x:c r="B74" s="15"/>
      <x:c r="C74" s="15"/>
      <x:c r="D74" s="15"/>
      <x:c r="E74" s="15"/>
      <x:c r="F74" s="15"/>
      <x:c r="G74" s="15"/>
      <x:c r="H74" s="15"/>
    </x:row>
    <x:row r="75" ht="20" customHeight="1">
      <x:c r="A75" s="15"/>
      <x:c r="B75" s="15"/>
      <x:c r="C75" s="15"/>
      <x:c r="D75" s="15"/>
      <x:c r="E75" s="15"/>
      <x:c r="F75" s="15"/>
      <x:c r="G75" s="15"/>
      <x:c r="H75" s="15"/>
    </x:row>
    <x:row r="76" ht="20" customHeight="1">
      <x:c r="A76" s="15"/>
      <x:c r="B76" s="15"/>
      <x:c r="C76" s="15"/>
      <x:c r="D76" s="15"/>
      <x:c r="E76" s="15"/>
      <x:c r="F76" s="15"/>
      <x:c r="G76" s="15"/>
      <x:c r="H76" s="15"/>
    </x:row>
    <x:row r="77" ht="20" customHeight="1">
      <x:c r="A77" s="15"/>
      <x:c r="B77" s="15"/>
      <x:c r="C77" s="15"/>
      <x:c r="D77" s="15"/>
      <x:c r="E77" s="15"/>
      <x:c r="F77" s="15"/>
      <x:c r="G77" s="15"/>
      <x:c r="H77" s="15"/>
    </x:row>
    <x:row r="78" ht="20" customHeight="1">
      <x:c r="A78" s="15"/>
      <x:c r="B78" s="15"/>
      <x:c r="C78" s="15"/>
      <x:c r="D78" s="15"/>
      <x:c r="E78" s="15"/>
      <x:c r="F78" s="15"/>
      <x:c r="G78" s="15"/>
      <x:c r="H78" s="15"/>
    </x:row>
    <x:row r="79" ht="20" customHeight="1">
      <x:c r="A79" s="15"/>
      <x:c r="B79" s="15"/>
      <x:c r="C79" s="15"/>
      <x:c r="D79" s="15"/>
      <x:c r="E79" s="15"/>
      <x:c r="F79" s="15"/>
      <x:c r="G79" s="15"/>
      <x:c r="H79" s="15"/>
    </x:row>
    <x:row r="80" ht="20" customHeight="1">
      <x:c r="A80" s="15"/>
      <x:c r="B80" s="15"/>
      <x:c r="C80" s="15"/>
      <x:c r="D80" s="15"/>
      <x:c r="E80" s="15"/>
      <x:c r="F80" s="15"/>
      <x:c r="G80" s="15"/>
      <x:c r="H80" s="15"/>
    </x:row>
    <x:row r="81" ht="20" customHeight="1">
      <x:c r="A81" s="15"/>
      <x:c r="B81" s="15"/>
      <x:c r="C81" s="15"/>
      <x:c r="D81" s="15"/>
      <x:c r="E81" s="15"/>
      <x:c r="F81" s="15"/>
      <x:c r="G81" s="15"/>
      <x:c r="H81" s="15"/>
    </x:row>
  </x:sheetData>
  <x:dataValidations count="1">
    <x:dataValidation type="list" sqref="F2:F81">
      <x:formula1>"Active,Inactive,On Call,Hold"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625d02716d4db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14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  <x:col min="9" max="9" width="16" hidden="0" customWidth="1"/>
    <x:col min="10" max="10" width="40" hidden="0" customWidth="1"/>
  </x:cols>
  <x:sheetData>
    <x:row r="1" ht="30" customHeight="1">
      <x:c r="A1" s="86" t="str">
        <x:v>EquipmentID</x:v>
      </x:c>
      <x:c r="B1" s="86" t="str">
        <x:v>Name</x:v>
      </x:c>
      <x:c r="C1" s="86" t="str">
        <x:v>Type</x:v>
      </x:c>
      <x:c r="D1" s="86" t="str">
        <x:v>Status</x:v>
      </x:c>
      <x:c r="E1" s="86" t="str">
        <x:v>AssignedCrewID</x:v>
      </x:c>
      <x:c r="F1" s="86" t="str">
        <x:v>PlateVIN</x:v>
      </x:c>
      <x:c r="G1" s="86" t="str">
        <x:v>HourlyCost</x:v>
      </x:c>
      <x:c r="H1" s="86" t="str">
        <x:v>MeterType</x:v>
      </x:c>
      <x:c r="I1" s="86" t="str">
        <x:v>NextServiceDue</x:v>
      </x:c>
      <x:c r="J1" s="86" t="str">
        <x:v>Notes</x:v>
      </x:c>
    </x:row>
    <x:row r="2" ht="20" customHeight="1">
      <x:c r="A2" s="15" t="str">
        <x:v>EQ-101</x:v>
      </x:c>
      <x:c r="B2" s="15" t="str">
        <x:v>F-350 Crew Truck</x:v>
      </x:c>
      <x:c r="C2" s="15" t="str">
        <x:v>Truck</x:v>
      </x:c>
      <x:c r="D2" s="15" t="str">
        <x:v>Available</x:v>
      </x:c>
      <x:c r="E2" s="15" t="str">
        <x:v>CRW-A</x:v>
      </x:c>
      <x:c r="F2" s="15" t="str">
        <x:v>TRK101</x:v>
      </x:c>
      <x:c r="G2" s="70" t="n">
        <x:v>18</x:v>
      </x:c>
      <x:c r="H2" s="15" t="str">
        <x:v>Miles</x:v>
      </x:c>
      <x:c r="I2" s="28" t="n">
        <x:v>46235</x:v>
      </x:c>
      <x:c r="J2" s="15" t="str">
        <x:v>Sample</x:v>
      </x:c>
    </x:row>
    <x:row r="3" ht="20" customHeight="1">
      <x:c r="A3" s="15" t="str">
        <x:v>EQ-201</x:v>
      </x:c>
      <x:c r="B3" s="15" t="str">
        <x:v>Ditch Witch JT20</x:v>
      </x:c>
      <x:c r="C3" s="15" t="str">
        <x:v>Bore Rig</x:v>
      </x:c>
      <x:c r="D3" s="15" t="str">
        <x:v>Available</x:v>
      </x:c>
      <x:c r="E3" s="15" t="str">
        <x:v>CRW-B</x:v>
      </x:c>
      <x:c r="F3" s="15" t="str">
        <x:v>BOR201</x:v>
      </x:c>
      <x:c r="G3" s="70" t="n">
        <x:v>95</x:v>
      </x:c>
      <x:c r="H3" s="15" t="str">
        <x:v>Hours</x:v>
      </x:c>
      <x:c r="I3" s="28" t="n">
        <x:v>46221</x:v>
      </x:c>
      <x:c r="J3" s="15" t="str">
        <x:v>Sample</x:v>
      </x:c>
    </x:row>
    <x:row r="4" ht="20" customHeight="1">
      <x:c r="A4" s="15" t="str">
        <x:v>EQ-301</x:v>
      </x:c>
      <x:c r="B4" s="15" t="str">
        <x:v>Splice Trailer</x:v>
      </x:c>
      <x:c r="C4" s="15" t="str">
        <x:v>Trailer</x:v>
      </x:c>
      <x:c r="D4" s="15" t="str">
        <x:v>Available</x:v>
      </x:c>
      <x:c r="E4" s="15" t="str">
        <x:v>CRW-C</x:v>
      </x:c>
      <x:c r="F4" s="15" t="str">
        <x:v>TRL301</x:v>
      </x:c>
      <x:c r="G4" s="70" t="n">
        <x:v>22</x:v>
      </x:c>
      <x:c r="H4" s="15" t="str">
        <x:v>Hours</x:v>
      </x:c>
      <x:c r="I4" s="28" t="n">
        <x:v>46266</x:v>
      </x:c>
      <x:c r="J4" s="15" t="str">
        <x:v>Sample</x:v>
      </x:c>
    </x:row>
    <x:row r="5" ht="20" customHeight="1">
      <x:c r="A5" s="15"/>
      <x:c r="B5" s="15"/>
      <x:c r="C5" s="15"/>
      <x:c r="D5" s="15"/>
      <x:c r="E5" s="15"/>
      <x:c r="F5" s="15"/>
      <x:c r="G5" s="70"/>
      <x:c r="H5" s="15"/>
      <x:c r="I5" s="28"/>
      <x:c r="J5" s="15"/>
    </x:row>
    <x:row r="6" ht="20" customHeight="1">
      <x:c r="A6" s="15"/>
      <x:c r="B6" s="15"/>
      <x:c r="C6" s="15"/>
      <x:c r="D6" s="15"/>
      <x:c r="E6" s="15"/>
      <x:c r="F6" s="15"/>
      <x:c r="G6" s="70"/>
      <x:c r="H6" s="15"/>
      <x:c r="I6" s="28"/>
      <x:c r="J6" s="15"/>
    </x:row>
    <x:row r="7" ht="20" customHeight="1">
      <x:c r="A7" s="15"/>
      <x:c r="B7" s="15"/>
      <x:c r="C7" s="15"/>
      <x:c r="D7" s="15"/>
      <x:c r="E7" s="15"/>
      <x:c r="F7" s="15"/>
      <x:c r="G7" s="70"/>
      <x:c r="H7" s="15"/>
      <x:c r="I7" s="28"/>
      <x:c r="J7" s="15"/>
    </x:row>
    <x:row r="8" ht="20" customHeight="1">
      <x:c r="A8" s="15"/>
      <x:c r="B8" s="15"/>
      <x:c r="C8" s="15"/>
      <x:c r="D8" s="15"/>
      <x:c r="E8" s="15"/>
      <x:c r="F8" s="15"/>
      <x:c r="G8" s="70"/>
      <x:c r="H8" s="15"/>
      <x:c r="I8" s="28"/>
      <x:c r="J8" s="15"/>
    </x:row>
    <x:row r="9" ht="20" customHeight="1">
      <x:c r="A9" s="15"/>
      <x:c r="B9" s="15"/>
      <x:c r="C9" s="15"/>
      <x:c r="D9" s="15"/>
      <x:c r="E9" s="15"/>
      <x:c r="F9" s="15"/>
      <x:c r="G9" s="70"/>
      <x:c r="H9" s="15"/>
      <x:c r="I9" s="28"/>
      <x:c r="J9" s="15"/>
    </x:row>
    <x:row r="10" ht="20" customHeight="1">
      <x:c r="A10" s="15"/>
      <x:c r="B10" s="15"/>
      <x:c r="C10" s="15"/>
      <x:c r="D10" s="15"/>
      <x:c r="E10" s="15"/>
      <x:c r="F10" s="15"/>
      <x:c r="G10" s="70"/>
      <x:c r="H10" s="15"/>
      <x:c r="I10" s="28"/>
      <x:c r="J10" s="15"/>
    </x:row>
    <x:row r="11" ht="20" customHeight="1">
      <x:c r="A11" s="15"/>
      <x:c r="B11" s="15"/>
      <x:c r="C11" s="15"/>
      <x:c r="D11" s="15"/>
      <x:c r="E11" s="15"/>
      <x:c r="F11" s="15"/>
      <x:c r="G11" s="70"/>
      <x:c r="H11" s="15"/>
      <x:c r="I11" s="28"/>
      <x:c r="J11" s="15"/>
    </x:row>
    <x:row r="12" ht="20" customHeight="1">
      <x:c r="A12" s="15"/>
      <x:c r="B12" s="15"/>
      <x:c r="C12" s="15"/>
      <x:c r="D12" s="15"/>
      <x:c r="E12" s="15"/>
      <x:c r="F12" s="15"/>
      <x:c r="G12" s="70"/>
      <x:c r="H12" s="15"/>
      <x:c r="I12" s="28"/>
      <x:c r="J12" s="15"/>
    </x:row>
    <x:row r="13" ht="20" customHeight="1">
      <x:c r="A13" s="15"/>
      <x:c r="B13" s="15"/>
      <x:c r="C13" s="15"/>
      <x:c r="D13" s="15"/>
      <x:c r="E13" s="15"/>
      <x:c r="F13" s="15"/>
      <x:c r="G13" s="70"/>
      <x:c r="H13" s="15"/>
      <x:c r="I13" s="28"/>
      <x:c r="J13" s="15"/>
    </x:row>
    <x:row r="14" ht="20" customHeight="1">
      <x:c r="A14" s="15"/>
      <x:c r="B14" s="15"/>
      <x:c r="C14" s="15"/>
      <x:c r="D14" s="15"/>
      <x:c r="E14" s="15"/>
      <x:c r="F14" s="15"/>
      <x:c r="G14" s="70"/>
      <x:c r="H14" s="15"/>
      <x:c r="I14" s="28"/>
      <x:c r="J14" s="15"/>
    </x:row>
    <x:row r="15" ht="20" customHeight="1">
      <x:c r="A15" s="15"/>
      <x:c r="B15" s="15"/>
      <x:c r="C15" s="15"/>
      <x:c r="D15" s="15"/>
      <x:c r="E15" s="15"/>
      <x:c r="F15" s="15"/>
      <x:c r="G15" s="70"/>
      <x:c r="H15" s="15"/>
      <x:c r="I15" s="28"/>
      <x:c r="J15" s="15"/>
    </x:row>
    <x:row r="16" ht="20" customHeight="1">
      <x:c r="A16" s="15"/>
      <x:c r="B16" s="15"/>
      <x:c r="C16" s="15"/>
      <x:c r="D16" s="15"/>
      <x:c r="E16" s="15"/>
      <x:c r="F16" s="15"/>
      <x:c r="G16" s="70"/>
      <x:c r="H16" s="15"/>
      <x:c r="I16" s="28"/>
      <x:c r="J16" s="15"/>
    </x:row>
    <x:row r="17" ht="20" customHeight="1">
      <x:c r="A17" s="15"/>
      <x:c r="B17" s="15"/>
      <x:c r="C17" s="15"/>
      <x:c r="D17" s="15"/>
      <x:c r="E17" s="15"/>
      <x:c r="F17" s="15"/>
      <x:c r="G17" s="70"/>
      <x:c r="H17" s="15"/>
      <x:c r="I17" s="28"/>
      <x:c r="J17" s="15"/>
    </x:row>
    <x:row r="18" ht="20" customHeight="1">
      <x:c r="A18" s="15"/>
      <x:c r="B18" s="15"/>
      <x:c r="C18" s="15"/>
      <x:c r="D18" s="15"/>
      <x:c r="E18" s="15"/>
      <x:c r="F18" s="15"/>
      <x:c r="G18" s="70"/>
      <x:c r="H18" s="15"/>
      <x:c r="I18" s="28"/>
      <x:c r="J18" s="15"/>
    </x:row>
    <x:row r="19" ht="20" customHeight="1">
      <x:c r="A19" s="15"/>
      <x:c r="B19" s="15"/>
      <x:c r="C19" s="15"/>
      <x:c r="D19" s="15"/>
      <x:c r="E19" s="15"/>
      <x:c r="F19" s="15"/>
      <x:c r="G19" s="70"/>
      <x:c r="H19" s="15"/>
      <x:c r="I19" s="28"/>
      <x:c r="J19" s="15"/>
    </x:row>
    <x:row r="20" ht="20" customHeight="1">
      <x:c r="A20" s="15"/>
      <x:c r="B20" s="15"/>
      <x:c r="C20" s="15"/>
      <x:c r="D20" s="15"/>
      <x:c r="E20" s="15"/>
      <x:c r="F20" s="15"/>
      <x:c r="G20" s="70"/>
      <x:c r="H20" s="15"/>
      <x:c r="I20" s="28"/>
      <x:c r="J20" s="15"/>
    </x:row>
    <x:row r="21" ht="20" customHeight="1">
      <x:c r="A21" s="15"/>
      <x:c r="B21" s="15"/>
      <x:c r="C21" s="15"/>
      <x:c r="D21" s="15"/>
      <x:c r="E21" s="15"/>
      <x:c r="F21" s="15"/>
      <x:c r="G21" s="70"/>
      <x:c r="H21" s="15"/>
      <x:c r="I21" s="28"/>
      <x:c r="J21" s="15"/>
    </x:row>
    <x:row r="22" ht="20" customHeight="1">
      <x:c r="A22" s="15"/>
      <x:c r="B22" s="15"/>
      <x:c r="C22" s="15"/>
      <x:c r="D22" s="15"/>
      <x:c r="E22" s="15"/>
      <x:c r="F22" s="15"/>
      <x:c r="G22" s="70"/>
      <x:c r="H22" s="15"/>
      <x:c r="I22" s="28"/>
      <x:c r="J22" s="15"/>
    </x:row>
    <x:row r="23" ht="20" customHeight="1">
      <x:c r="A23" s="15"/>
      <x:c r="B23" s="15"/>
      <x:c r="C23" s="15"/>
      <x:c r="D23" s="15"/>
      <x:c r="E23" s="15"/>
      <x:c r="F23" s="15"/>
      <x:c r="G23" s="70"/>
      <x:c r="H23" s="15"/>
      <x:c r="I23" s="28"/>
      <x:c r="J23" s="15"/>
    </x:row>
    <x:row r="24" ht="20" customHeight="1">
      <x:c r="A24" s="15"/>
      <x:c r="B24" s="15"/>
      <x:c r="C24" s="15"/>
      <x:c r="D24" s="15"/>
      <x:c r="E24" s="15"/>
      <x:c r="F24" s="15"/>
      <x:c r="G24" s="70"/>
      <x:c r="H24" s="15"/>
      <x:c r="I24" s="28"/>
      <x:c r="J24" s="15"/>
    </x:row>
    <x:row r="25" ht="20" customHeight="1">
      <x:c r="A25" s="15"/>
      <x:c r="B25" s="15"/>
      <x:c r="C25" s="15"/>
      <x:c r="D25" s="15"/>
      <x:c r="E25" s="15"/>
      <x:c r="F25" s="15"/>
      <x:c r="G25" s="70"/>
      <x:c r="H25" s="15"/>
      <x:c r="I25" s="28"/>
      <x:c r="J25" s="15"/>
    </x:row>
    <x:row r="26" ht="20" customHeight="1">
      <x:c r="A26" s="15"/>
      <x:c r="B26" s="15"/>
      <x:c r="C26" s="15"/>
      <x:c r="D26" s="15"/>
      <x:c r="E26" s="15"/>
      <x:c r="F26" s="15"/>
      <x:c r="G26" s="70"/>
      <x:c r="H26" s="15"/>
      <x:c r="I26" s="28"/>
      <x:c r="J26" s="15"/>
    </x:row>
    <x:row r="27" ht="20" customHeight="1">
      <x:c r="A27" s="15"/>
      <x:c r="B27" s="15"/>
      <x:c r="C27" s="15"/>
      <x:c r="D27" s="15"/>
      <x:c r="E27" s="15"/>
      <x:c r="F27" s="15"/>
      <x:c r="G27" s="70"/>
      <x:c r="H27" s="15"/>
      <x:c r="I27" s="28"/>
      <x:c r="J27" s="15"/>
    </x:row>
    <x:row r="28" ht="20" customHeight="1">
      <x:c r="A28" s="15"/>
      <x:c r="B28" s="15"/>
      <x:c r="C28" s="15"/>
      <x:c r="D28" s="15"/>
      <x:c r="E28" s="15"/>
      <x:c r="F28" s="15"/>
      <x:c r="G28" s="70"/>
      <x:c r="H28" s="15"/>
      <x:c r="I28" s="28"/>
      <x:c r="J28" s="15"/>
    </x:row>
    <x:row r="29" ht="20" customHeight="1">
      <x:c r="A29" s="15"/>
      <x:c r="B29" s="15"/>
      <x:c r="C29" s="15"/>
      <x:c r="D29" s="15"/>
      <x:c r="E29" s="15"/>
      <x:c r="F29" s="15"/>
      <x:c r="G29" s="70"/>
      <x:c r="H29" s="15"/>
      <x:c r="I29" s="28"/>
      <x:c r="J29" s="15"/>
    </x:row>
    <x:row r="30" ht="20" customHeight="1">
      <x:c r="A30" s="15"/>
      <x:c r="B30" s="15"/>
      <x:c r="C30" s="15"/>
      <x:c r="D30" s="15"/>
      <x:c r="E30" s="15"/>
      <x:c r="F30" s="15"/>
      <x:c r="G30" s="70"/>
      <x:c r="H30" s="15"/>
      <x:c r="I30" s="28"/>
      <x:c r="J30" s="15"/>
    </x:row>
    <x:row r="31" ht="20" customHeight="1">
      <x:c r="A31" s="15"/>
      <x:c r="B31" s="15"/>
      <x:c r="C31" s="15"/>
      <x:c r="D31" s="15"/>
      <x:c r="E31" s="15"/>
      <x:c r="F31" s="15"/>
      <x:c r="G31" s="70"/>
      <x:c r="H31" s="15"/>
      <x:c r="I31" s="28"/>
      <x:c r="J31" s="15"/>
    </x:row>
    <x:row r="32" ht="20" customHeight="1">
      <x:c r="A32" s="15"/>
      <x:c r="B32" s="15"/>
      <x:c r="C32" s="15"/>
      <x:c r="D32" s="15"/>
      <x:c r="E32" s="15"/>
      <x:c r="F32" s="15"/>
      <x:c r="G32" s="70"/>
      <x:c r="H32" s="15"/>
      <x:c r="I32" s="28"/>
      <x:c r="J32" s="15"/>
    </x:row>
    <x:row r="33" ht="20" customHeight="1">
      <x:c r="A33" s="15"/>
      <x:c r="B33" s="15"/>
      <x:c r="C33" s="15"/>
      <x:c r="D33" s="15"/>
      <x:c r="E33" s="15"/>
      <x:c r="F33" s="15"/>
      <x:c r="G33" s="70"/>
      <x:c r="H33" s="15"/>
      <x:c r="I33" s="28"/>
      <x:c r="J33" s="15"/>
    </x:row>
    <x:row r="34" ht="20" customHeight="1">
      <x:c r="A34" s="15"/>
      <x:c r="B34" s="15"/>
      <x:c r="C34" s="15"/>
      <x:c r="D34" s="15"/>
      <x:c r="E34" s="15"/>
      <x:c r="F34" s="15"/>
      <x:c r="G34" s="70"/>
      <x:c r="H34" s="15"/>
      <x:c r="I34" s="28"/>
      <x:c r="J34" s="15"/>
    </x:row>
    <x:row r="35" ht="20" customHeight="1">
      <x:c r="A35" s="15"/>
      <x:c r="B35" s="15"/>
      <x:c r="C35" s="15"/>
      <x:c r="D35" s="15"/>
      <x:c r="E35" s="15"/>
      <x:c r="F35" s="15"/>
      <x:c r="G35" s="70"/>
      <x:c r="H35" s="15"/>
      <x:c r="I35" s="28"/>
      <x:c r="J35" s="15"/>
    </x:row>
    <x:row r="36" ht="20" customHeight="1">
      <x:c r="A36" s="15"/>
      <x:c r="B36" s="15"/>
      <x:c r="C36" s="15"/>
      <x:c r="D36" s="15"/>
      <x:c r="E36" s="15"/>
      <x:c r="F36" s="15"/>
      <x:c r="G36" s="70"/>
      <x:c r="H36" s="15"/>
      <x:c r="I36" s="28"/>
      <x:c r="J36" s="15"/>
    </x:row>
    <x:row r="37" ht="20" customHeight="1">
      <x:c r="A37" s="15"/>
      <x:c r="B37" s="15"/>
      <x:c r="C37" s="15"/>
      <x:c r="D37" s="15"/>
      <x:c r="E37" s="15"/>
      <x:c r="F37" s="15"/>
      <x:c r="G37" s="70"/>
      <x:c r="H37" s="15"/>
      <x:c r="I37" s="28"/>
      <x:c r="J37" s="15"/>
    </x:row>
    <x:row r="38" ht="20" customHeight="1">
      <x:c r="A38" s="15"/>
      <x:c r="B38" s="15"/>
      <x:c r="C38" s="15"/>
      <x:c r="D38" s="15"/>
      <x:c r="E38" s="15"/>
      <x:c r="F38" s="15"/>
      <x:c r="G38" s="70"/>
      <x:c r="H38" s="15"/>
      <x:c r="I38" s="28"/>
      <x:c r="J38" s="15"/>
    </x:row>
    <x:row r="39" ht="20" customHeight="1">
      <x:c r="A39" s="15"/>
      <x:c r="B39" s="15"/>
      <x:c r="C39" s="15"/>
      <x:c r="D39" s="15"/>
      <x:c r="E39" s="15"/>
      <x:c r="F39" s="15"/>
      <x:c r="G39" s="70"/>
      <x:c r="H39" s="15"/>
      <x:c r="I39" s="28"/>
      <x:c r="J39" s="15"/>
    </x:row>
    <x:row r="40" ht="20" customHeight="1">
      <x:c r="A40" s="15"/>
      <x:c r="B40" s="15"/>
      <x:c r="C40" s="15"/>
      <x:c r="D40" s="15"/>
      <x:c r="E40" s="15"/>
      <x:c r="F40" s="15"/>
      <x:c r="G40" s="70"/>
      <x:c r="H40" s="15"/>
      <x:c r="I40" s="28"/>
      <x:c r="J40" s="15"/>
    </x:row>
    <x:row r="41" ht="20" customHeight="1">
      <x:c r="A41" s="15"/>
      <x:c r="B41" s="15"/>
      <x:c r="C41" s="15"/>
      <x:c r="D41" s="15"/>
      <x:c r="E41" s="15"/>
      <x:c r="F41" s="15"/>
      <x:c r="G41" s="70"/>
      <x:c r="H41" s="15"/>
      <x:c r="I41" s="28"/>
      <x:c r="J41" s="15"/>
    </x:row>
    <x:row r="42" ht="20" customHeight="1">
      <x:c r="A42" s="15"/>
      <x:c r="B42" s="15"/>
      <x:c r="C42" s="15"/>
      <x:c r="D42" s="15"/>
      <x:c r="E42" s="15"/>
      <x:c r="F42" s="15"/>
      <x:c r="G42" s="70"/>
      <x:c r="H42" s="15"/>
      <x:c r="I42" s="28"/>
      <x:c r="J42" s="15"/>
    </x:row>
    <x:row r="43" ht="20" customHeight="1">
      <x:c r="A43" s="15"/>
      <x:c r="B43" s="15"/>
      <x:c r="C43" s="15"/>
      <x:c r="D43" s="15"/>
      <x:c r="E43" s="15"/>
      <x:c r="F43" s="15"/>
      <x:c r="G43" s="70"/>
      <x:c r="H43" s="15"/>
      <x:c r="I43" s="28"/>
      <x:c r="J43" s="15"/>
    </x:row>
    <x:row r="44" ht="20" customHeight="1">
      <x:c r="A44" s="15"/>
      <x:c r="B44" s="15"/>
      <x:c r="C44" s="15"/>
      <x:c r="D44" s="15"/>
      <x:c r="E44" s="15"/>
      <x:c r="F44" s="15"/>
      <x:c r="G44" s="70"/>
      <x:c r="H44" s="15"/>
      <x:c r="I44" s="28"/>
      <x:c r="J44" s="15"/>
    </x:row>
    <x:row r="45" ht="20" customHeight="1">
      <x:c r="A45" s="15"/>
      <x:c r="B45" s="15"/>
      <x:c r="C45" s="15"/>
      <x:c r="D45" s="15"/>
      <x:c r="E45" s="15"/>
      <x:c r="F45" s="15"/>
      <x:c r="G45" s="70"/>
      <x:c r="H45" s="15"/>
      <x:c r="I45" s="28"/>
      <x:c r="J45" s="15"/>
    </x:row>
    <x:row r="46" ht="20" customHeight="1">
      <x:c r="A46" s="15"/>
      <x:c r="B46" s="15"/>
      <x:c r="C46" s="15"/>
      <x:c r="D46" s="15"/>
      <x:c r="E46" s="15"/>
      <x:c r="F46" s="15"/>
      <x:c r="G46" s="70"/>
      <x:c r="H46" s="15"/>
      <x:c r="I46" s="28"/>
      <x:c r="J46" s="15"/>
    </x:row>
    <x:row r="47" ht="20" customHeight="1">
      <x:c r="A47" s="15"/>
      <x:c r="B47" s="15"/>
      <x:c r="C47" s="15"/>
      <x:c r="D47" s="15"/>
      <x:c r="E47" s="15"/>
      <x:c r="F47" s="15"/>
      <x:c r="G47" s="70"/>
      <x:c r="H47" s="15"/>
      <x:c r="I47" s="28"/>
      <x:c r="J47" s="15"/>
    </x:row>
    <x:row r="48" ht="20" customHeight="1">
      <x:c r="A48" s="15"/>
      <x:c r="B48" s="15"/>
      <x:c r="C48" s="15"/>
      <x:c r="D48" s="15"/>
      <x:c r="E48" s="15"/>
      <x:c r="F48" s="15"/>
      <x:c r="G48" s="70"/>
      <x:c r="H48" s="15"/>
      <x:c r="I48" s="28"/>
      <x:c r="J48" s="15"/>
    </x:row>
    <x:row r="49" ht="20" customHeight="1">
      <x:c r="A49" s="15"/>
      <x:c r="B49" s="15"/>
      <x:c r="C49" s="15"/>
      <x:c r="D49" s="15"/>
      <x:c r="E49" s="15"/>
      <x:c r="F49" s="15"/>
      <x:c r="G49" s="70"/>
      <x:c r="H49" s="15"/>
      <x:c r="I49" s="28"/>
      <x:c r="J49" s="15"/>
    </x:row>
    <x:row r="50" ht="20" customHeight="1">
      <x:c r="A50" s="15"/>
      <x:c r="B50" s="15"/>
      <x:c r="C50" s="15"/>
      <x:c r="D50" s="15"/>
      <x:c r="E50" s="15"/>
      <x:c r="F50" s="15"/>
      <x:c r="G50" s="70"/>
      <x:c r="H50" s="15"/>
      <x:c r="I50" s="28"/>
      <x:c r="J50" s="15"/>
    </x:row>
    <x:row r="51" ht="20" customHeight="1">
      <x:c r="A51" s="15"/>
      <x:c r="B51" s="15"/>
      <x:c r="C51" s="15"/>
      <x:c r="D51" s="15"/>
      <x:c r="E51" s="15"/>
      <x:c r="F51" s="15"/>
      <x:c r="G51" s="70"/>
      <x:c r="H51" s="15"/>
      <x:c r="I51" s="28"/>
      <x:c r="J51" s="15"/>
    </x:row>
    <x:row r="52" ht="20" customHeight="1">
      <x:c r="A52" s="15"/>
      <x:c r="B52" s="15"/>
      <x:c r="C52" s="15"/>
      <x:c r="D52" s="15"/>
      <x:c r="E52" s="15"/>
      <x:c r="F52" s="15"/>
      <x:c r="G52" s="70"/>
      <x:c r="H52" s="15"/>
      <x:c r="I52" s="28"/>
      <x:c r="J52" s="15"/>
    </x:row>
    <x:row r="53" ht="20" customHeight="1">
      <x:c r="A53" s="15"/>
      <x:c r="B53" s="15"/>
      <x:c r="C53" s="15"/>
      <x:c r="D53" s="15"/>
      <x:c r="E53" s="15"/>
      <x:c r="F53" s="15"/>
      <x:c r="G53" s="70"/>
      <x:c r="H53" s="15"/>
      <x:c r="I53" s="28"/>
      <x:c r="J53" s="15"/>
    </x:row>
    <x:row r="54" ht="20" customHeight="1">
      <x:c r="A54" s="15"/>
      <x:c r="B54" s="15"/>
      <x:c r="C54" s="15"/>
      <x:c r="D54" s="15"/>
      <x:c r="E54" s="15"/>
      <x:c r="F54" s="15"/>
      <x:c r="G54" s="70"/>
      <x:c r="H54" s="15"/>
      <x:c r="I54" s="28"/>
      <x:c r="J54" s="15"/>
    </x:row>
    <x:row r="55" ht="20" customHeight="1">
      <x:c r="A55" s="15"/>
      <x:c r="B55" s="15"/>
      <x:c r="C55" s="15"/>
      <x:c r="D55" s="15"/>
      <x:c r="E55" s="15"/>
      <x:c r="F55" s="15"/>
      <x:c r="G55" s="70"/>
      <x:c r="H55" s="15"/>
      <x:c r="I55" s="28"/>
      <x:c r="J55" s="15"/>
    </x:row>
    <x:row r="56" ht="20" customHeight="1">
      <x:c r="A56" s="15"/>
      <x:c r="B56" s="15"/>
      <x:c r="C56" s="15"/>
      <x:c r="D56" s="15"/>
      <x:c r="E56" s="15"/>
      <x:c r="F56" s="15"/>
      <x:c r="G56" s="70"/>
      <x:c r="H56" s="15"/>
      <x:c r="I56" s="28"/>
      <x:c r="J56" s="15"/>
    </x:row>
    <x:row r="57" ht="20" customHeight="1">
      <x:c r="A57" s="15"/>
      <x:c r="B57" s="15"/>
      <x:c r="C57" s="15"/>
      <x:c r="D57" s="15"/>
      <x:c r="E57" s="15"/>
      <x:c r="F57" s="15"/>
      <x:c r="G57" s="70"/>
      <x:c r="H57" s="15"/>
      <x:c r="I57" s="28"/>
      <x:c r="J57" s="15"/>
    </x:row>
    <x:row r="58" ht="20" customHeight="1">
      <x:c r="A58" s="15"/>
      <x:c r="B58" s="15"/>
      <x:c r="C58" s="15"/>
      <x:c r="D58" s="15"/>
      <x:c r="E58" s="15"/>
      <x:c r="F58" s="15"/>
      <x:c r="G58" s="70"/>
      <x:c r="H58" s="15"/>
      <x:c r="I58" s="28"/>
      <x:c r="J58" s="15"/>
    </x:row>
    <x:row r="59" ht="20" customHeight="1">
      <x:c r="A59" s="15"/>
      <x:c r="B59" s="15"/>
      <x:c r="C59" s="15"/>
      <x:c r="D59" s="15"/>
      <x:c r="E59" s="15"/>
      <x:c r="F59" s="15"/>
      <x:c r="G59" s="70"/>
      <x:c r="H59" s="15"/>
      <x:c r="I59" s="28"/>
      <x:c r="J59" s="15"/>
    </x:row>
    <x:row r="60" ht="20" customHeight="1">
      <x:c r="A60" s="15"/>
      <x:c r="B60" s="15"/>
      <x:c r="C60" s="15"/>
      <x:c r="D60" s="15"/>
      <x:c r="E60" s="15"/>
      <x:c r="F60" s="15"/>
      <x:c r="G60" s="70"/>
      <x:c r="H60" s="15"/>
      <x:c r="I60" s="28"/>
      <x:c r="J60" s="15"/>
    </x:row>
    <x:row r="61" ht="20" customHeight="1">
      <x:c r="A61" s="15"/>
      <x:c r="B61" s="15"/>
      <x:c r="C61" s="15"/>
      <x:c r="D61" s="15"/>
      <x:c r="E61" s="15"/>
      <x:c r="F61" s="15"/>
      <x:c r="G61" s="70"/>
      <x:c r="H61" s="15"/>
      <x:c r="I61" s="28"/>
      <x:c r="J61" s="15"/>
    </x:row>
    <x:row r="62" ht="20" customHeight="1">
      <x:c r="A62" s="15"/>
      <x:c r="B62" s="15"/>
      <x:c r="C62" s="15"/>
      <x:c r="D62" s="15"/>
      <x:c r="E62" s="15"/>
      <x:c r="F62" s="15"/>
      <x:c r="G62" s="70"/>
      <x:c r="H62" s="15"/>
      <x:c r="I62" s="28"/>
      <x:c r="J62" s="15"/>
    </x:row>
    <x:row r="63" ht="20" customHeight="1">
      <x:c r="A63" s="15"/>
      <x:c r="B63" s="15"/>
      <x:c r="C63" s="15"/>
      <x:c r="D63" s="15"/>
      <x:c r="E63" s="15"/>
      <x:c r="F63" s="15"/>
      <x:c r="G63" s="70"/>
      <x:c r="H63" s="15"/>
      <x:c r="I63" s="28"/>
      <x:c r="J63" s="15"/>
    </x:row>
    <x:row r="64" ht="20" customHeight="1">
      <x:c r="A64" s="15"/>
      <x:c r="B64" s="15"/>
      <x:c r="C64" s="15"/>
      <x:c r="D64" s="15"/>
      <x:c r="E64" s="15"/>
      <x:c r="F64" s="15"/>
      <x:c r="G64" s="70"/>
      <x:c r="H64" s="15"/>
      <x:c r="I64" s="28"/>
      <x:c r="J64" s="15"/>
    </x:row>
    <x:row r="65" ht="20" customHeight="1">
      <x:c r="A65" s="15"/>
      <x:c r="B65" s="15"/>
      <x:c r="C65" s="15"/>
      <x:c r="D65" s="15"/>
      <x:c r="E65" s="15"/>
      <x:c r="F65" s="15"/>
      <x:c r="G65" s="70"/>
      <x:c r="H65" s="15"/>
      <x:c r="I65" s="28"/>
      <x:c r="J65" s="15"/>
    </x:row>
    <x:row r="66" ht="20" customHeight="1">
      <x:c r="A66" s="15"/>
      <x:c r="B66" s="15"/>
      <x:c r="C66" s="15"/>
      <x:c r="D66" s="15"/>
      <x:c r="E66" s="15"/>
      <x:c r="F66" s="15"/>
      <x:c r="G66" s="70"/>
      <x:c r="H66" s="15"/>
      <x:c r="I66" s="28"/>
      <x:c r="J66" s="15"/>
    </x:row>
    <x:row r="67" ht="20" customHeight="1">
      <x:c r="A67" s="15"/>
      <x:c r="B67" s="15"/>
      <x:c r="C67" s="15"/>
      <x:c r="D67" s="15"/>
      <x:c r="E67" s="15"/>
      <x:c r="F67" s="15"/>
      <x:c r="G67" s="70"/>
      <x:c r="H67" s="15"/>
      <x:c r="I67" s="28"/>
      <x:c r="J67" s="15"/>
    </x:row>
    <x:row r="68" ht="20" customHeight="1">
      <x:c r="A68" s="15"/>
      <x:c r="B68" s="15"/>
      <x:c r="C68" s="15"/>
      <x:c r="D68" s="15"/>
      <x:c r="E68" s="15"/>
      <x:c r="F68" s="15"/>
      <x:c r="G68" s="70"/>
      <x:c r="H68" s="15"/>
      <x:c r="I68" s="28"/>
      <x:c r="J68" s="15"/>
    </x:row>
    <x:row r="69" ht="20" customHeight="1">
      <x:c r="A69" s="15"/>
      <x:c r="B69" s="15"/>
      <x:c r="C69" s="15"/>
      <x:c r="D69" s="15"/>
      <x:c r="E69" s="15"/>
      <x:c r="F69" s="15"/>
      <x:c r="G69" s="70"/>
      <x:c r="H69" s="15"/>
      <x:c r="I69" s="28"/>
      <x:c r="J69" s="15"/>
    </x:row>
    <x:row r="70" ht="20" customHeight="1">
      <x:c r="A70" s="15"/>
      <x:c r="B70" s="15"/>
      <x:c r="C70" s="15"/>
      <x:c r="D70" s="15"/>
      <x:c r="E70" s="15"/>
      <x:c r="F70" s="15"/>
      <x:c r="G70" s="70"/>
      <x:c r="H70" s="15"/>
      <x:c r="I70" s="28"/>
      <x:c r="J70" s="15"/>
    </x:row>
    <x:row r="71" ht="20" customHeight="1">
      <x:c r="A71" s="15"/>
      <x:c r="B71" s="15"/>
      <x:c r="C71" s="15"/>
      <x:c r="D71" s="15"/>
      <x:c r="E71" s="15"/>
      <x:c r="F71" s="15"/>
      <x:c r="G71" s="70"/>
      <x:c r="H71" s="15"/>
      <x:c r="I71" s="28"/>
      <x:c r="J71" s="15"/>
    </x:row>
    <x:row r="72" ht="20" customHeight="1">
      <x:c r="A72" s="15"/>
      <x:c r="B72" s="15"/>
      <x:c r="C72" s="15"/>
      <x:c r="D72" s="15"/>
      <x:c r="E72" s="15"/>
      <x:c r="F72" s="15"/>
      <x:c r="G72" s="70"/>
      <x:c r="H72" s="15"/>
      <x:c r="I72" s="28"/>
      <x:c r="J72" s="15"/>
    </x:row>
    <x:row r="73" ht="20" customHeight="1">
      <x:c r="A73" s="15"/>
      <x:c r="B73" s="15"/>
      <x:c r="C73" s="15"/>
      <x:c r="D73" s="15"/>
      <x:c r="E73" s="15"/>
      <x:c r="F73" s="15"/>
      <x:c r="G73" s="70"/>
      <x:c r="H73" s="15"/>
      <x:c r="I73" s="28"/>
      <x:c r="J73" s="15"/>
    </x:row>
    <x:row r="74" ht="20" customHeight="1">
      <x:c r="A74" s="15"/>
      <x:c r="B74" s="15"/>
      <x:c r="C74" s="15"/>
      <x:c r="D74" s="15"/>
      <x:c r="E74" s="15"/>
      <x:c r="F74" s="15"/>
      <x:c r="G74" s="70"/>
      <x:c r="H74" s="15"/>
      <x:c r="I74" s="28"/>
      <x:c r="J74" s="15"/>
    </x:row>
    <x:row r="75" ht="20" customHeight="1">
      <x:c r="A75" s="15"/>
      <x:c r="B75" s="15"/>
      <x:c r="C75" s="15"/>
      <x:c r="D75" s="15"/>
      <x:c r="E75" s="15"/>
      <x:c r="F75" s="15"/>
      <x:c r="G75" s="70"/>
      <x:c r="H75" s="15"/>
      <x:c r="I75" s="28"/>
      <x:c r="J75" s="15"/>
    </x:row>
    <x:row r="76" ht="20" customHeight="1">
      <x:c r="A76" s="15"/>
      <x:c r="B76" s="15"/>
      <x:c r="C76" s="15"/>
      <x:c r="D76" s="15"/>
      <x:c r="E76" s="15"/>
      <x:c r="F76" s="15"/>
      <x:c r="G76" s="70"/>
      <x:c r="H76" s="15"/>
      <x:c r="I76" s="28"/>
      <x:c r="J76" s="15"/>
    </x:row>
    <x:row r="77" ht="20" customHeight="1">
      <x:c r="A77" s="15"/>
      <x:c r="B77" s="15"/>
      <x:c r="C77" s="15"/>
      <x:c r="D77" s="15"/>
      <x:c r="E77" s="15"/>
      <x:c r="F77" s="15"/>
      <x:c r="G77" s="70"/>
      <x:c r="H77" s="15"/>
      <x:c r="I77" s="28"/>
      <x:c r="J77" s="15"/>
    </x:row>
    <x:row r="78" ht="20" customHeight="1">
      <x:c r="A78" s="15"/>
      <x:c r="B78" s="15"/>
      <x:c r="C78" s="15"/>
      <x:c r="D78" s="15"/>
      <x:c r="E78" s="15"/>
      <x:c r="F78" s="15"/>
      <x:c r="G78" s="70"/>
      <x:c r="H78" s="15"/>
      <x:c r="I78" s="28"/>
      <x:c r="J78" s="15"/>
    </x:row>
    <x:row r="79" ht="20" customHeight="1">
      <x:c r="A79" s="15"/>
      <x:c r="B79" s="15"/>
      <x:c r="C79" s="15"/>
      <x:c r="D79" s="15"/>
      <x:c r="E79" s="15"/>
      <x:c r="F79" s="15"/>
      <x:c r="G79" s="70"/>
      <x:c r="H79" s="15"/>
      <x:c r="I79" s="28"/>
      <x:c r="J79" s="15"/>
    </x:row>
    <x:row r="80" ht="20" customHeight="1">
      <x:c r="A80" s="15"/>
      <x:c r="B80" s="15"/>
      <x:c r="C80" s="15"/>
      <x:c r="D80" s="15"/>
      <x:c r="E80" s="15"/>
      <x:c r="F80" s="15"/>
      <x:c r="G80" s="70"/>
      <x:c r="H80" s="15"/>
      <x:c r="I80" s="28"/>
      <x:c r="J80" s="15"/>
    </x:row>
    <x:row r="81" ht="20" customHeight="1">
      <x:c r="A81" s="15"/>
      <x:c r="B81" s="15"/>
      <x:c r="C81" s="15"/>
      <x:c r="D81" s="15"/>
      <x:c r="E81" s="15"/>
      <x:c r="F81" s="15"/>
      <x:c r="G81" s="70"/>
      <x:c r="H81" s="15"/>
      <x:c r="I81" s="28"/>
      <x:c r="J81" s="15"/>
    </x:row>
    <x:row r="82" ht="20" customHeight="1">
      <x:c r="A82" s="15"/>
      <x:c r="B82" s="15"/>
      <x:c r="C82" s="15"/>
      <x:c r="D82" s="15"/>
      <x:c r="E82" s="15"/>
      <x:c r="F82" s="15"/>
      <x:c r="G82" s="70"/>
      <x:c r="H82" s="15"/>
      <x:c r="I82" s="28"/>
      <x:c r="J82" s="15"/>
    </x:row>
    <x:row r="83" ht="20" customHeight="1">
      <x:c r="A83" s="15"/>
      <x:c r="B83" s="15"/>
      <x:c r="C83" s="15"/>
      <x:c r="D83" s="15"/>
      <x:c r="E83" s="15"/>
      <x:c r="F83" s="15"/>
      <x:c r="G83" s="70"/>
      <x:c r="H83" s="15"/>
      <x:c r="I83" s="28"/>
      <x:c r="J83" s="15"/>
    </x:row>
    <x:row r="84" ht="20" customHeight="1">
      <x:c r="A84" s="15"/>
      <x:c r="B84" s="15"/>
      <x:c r="C84" s="15"/>
      <x:c r="D84" s="15"/>
      <x:c r="E84" s="15"/>
      <x:c r="F84" s="15"/>
      <x:c r="G84" s="70"/>
      <x:c r="H84" s="15"/>
      <x:c r="I84" s="28"/>
      <x:c r="J84" s="15"/>
    </x:row>
    <x:row r="85" ht="20" customHeight="1">
      <x:c r="A85" s="15"/>
      <x:c r="B85" s="15"/>
      <x:c r="C85" s="15"/>
      <x:c r="D85" s="15"/>
      <x:c r="E85" s="15"/>
      <x:c r="F85" s="15"/>
      <x:c r="G85" s="70"/>
      <x:c r="H85" s="15"/>
      <x:c r="I85" s="28"/>
      <x:c r="J85" s="15"/>
    </x:row>
    <x:row r="86" ht="20" customHeight="1">
      <x:c r="A86" s="15"/>
      <x:c r="B86" s="15"/>
      <x:c r="C86" s="15"/>
      <x:c r="D86" s="15"/>
      <x:c r="E86" s="15"/>
      <x:c r="F86" s="15"/>
      <x:c r="G86" s="70"/>
      <x:c r="H86" s="15"/>
      <x:c r="I86" s="28"/>
      <x:c r="J86" s="15"/>
    </x:row>
    <x:row r="87" ht="20" customHeight="1">
      <x:c r="A87" s="15"/>
      <x:c r="B87" s="15"/>
      <x:c r="C87" s="15"/>
      <x:c r="D87" s="15"/>
      <x:c r="E87" s="15"/>
      <x:c r="F87" s="15"/>
      <x:c r="G87" s="70"/>
      <x:c r="H87" s="15"/>
      <x:c r="I87" s="28"/>
      <x:c r="J87" s="15"/>
    </x:row>
    <x:row r="88" ht="20" customHeight="1">
      <x:c r="A88" s="15"/>
      <x:c r="B88" s="15"/>
      <x:c r="C88" s="15"/>
      <x:c r="D88" s="15"/>
      <x:c r="E88" s="15"/>
      <x:c r="F88" s="15"/>
      <x:c r="G88" s="70"/>
      <x:c r="H88" s="15"/>
      <x:c r="I88" s="28"/>
      <x:c r="J88" s="15"/>
    </x:row>
    <x:row r="89" ht="20" customHeight="1">
      <x:c r="A89" s="15"/>
      <x:c r="B89" s="15"/>
      <x:c r="C89" s="15"/>
      <x:c r="D89" s="15"/>
      <x:c r="E89" s="15"/>
      <x:c r="F89" s="15"/>
      <x:c r="G89" s="70"/>
      <x:c r="H89" s="15"/>
      <x:c r="I89" s="28"/>
      <x:c r="J89" s="15"/>
    </x:row>
    <x:row r="90" ht="20" customHeight="1">
      <x:c r="A90" s="15"/>
      <x:c r="B90" s="15"/>
      <x:c r="C90" s="15"/>
      <x:c r="D90" s="15"/>
      <x:c r="E90" s="15"/>
      <x:c r="F90" s="15"/>
      <x:c r="G90" s="70"/>
      <x:c r="H90" s="15"/>
      <x:c r="I90" s="28"/>
      <x:c r="J90" s="15"/>
    </x:row>
    <x:row r="91" ht="20" customHeight="1">
      <x:c r="A91" s="15"/>
      <x:c r="B91" s="15"/>
      <x:c r="C91" s="15"/>
      <x:c r="D91" s="15"/>
      <x:c r="E91" s="15"/>
      <x:c r="F91" s="15"/>
      <x:c r="G91" s="70"/>
      <x:c r="H91" s="15"/>
      <x:c r="I91" s="28"/>
      <x:c r="J91" s="15"/>
    </x:row>
    <x:row r="92" ht="20" customHeight="1">
      <x:c r="A92" s="15"/>
      <x:c r="B92" s="15"/>
      <x:c r="C92" s="15"/>
      <x:c r="D92" s="15"/>
      <x:c r="E92" s="15"/>
      <x:c r="F92" s="15"/>
      <x:c r="G92" s="70"/>
      <x:c r="H92" s="15"/>
      <x:c r="I92" s="28"/>
      <x:c r="J92" s="15"/>
    </x:row>
    <x:row r="93" ht="20" customHeight="1">
      <x:c r="A93" s="15"/>
      <x:c r="B93" s="15"/>
      <x:c r="C93" s="15"/>
      <x:c r="D93" s="15"/>
      <x:c r="E93" s="15"/>
      <x:c r="F93" s="15"/>
      <x:c r="G93" s="70"/>
      <x:c r="H93" s="15"/>
      <x:c r="I93" s="28"/>
      <x:c r="J93" s="15"/>
    </x:row>
    <x:row r="94" ht="20" customHeight="1">
      <x:c r="A94" s="15"/>
      <x:c r="B94" s="15"/>
      <x:c r="C94" s="15"/>
      <x:c r="D94" s="15"/>
      <x:c r="E94" s="15"/>
      <x:c r="F94" s="15"/>
      <x:c r="G94" s="70"/>
      <x:c r="H94" s="15"/>
      <x:c r="I94" s="28"/>
      <x:c r="J94" s="15"/>
    </x:row>
    <x:row r="95" ht="20" customHeight="1">
      <x:c r="A95" s="15"/>
      <x:c r="B95" s="15"/>
      <x:c r="C95" s="15"/>
      <x:c r="D95" s="15"/>
      <x:c r="E95" s="15"/>
      <x:c r="F95" s="15"/>
      <x:c r="G95" s="70"/>
      <x:c r="H95" s="15"/>
      <x:c r="I95" s="28"/>
      <x:c r="J95" s="15"/>
    </x:row>
    <x:row r="96" ht="20" customHeight="1">
      <x:c r="A96" s="15"/>
      <x:c r="B96" s="15"/>
      <x:c r="C96" s="15"/>
      <x:c r="D96" s="15"/>
      <x:c r="E96" s="15"/>
      <x:c r="F96" s="15"/>
      <x:c r="G96" s="70"/>
      <x:c r="H96" s="15"/>
      <x:c r="I96" s="28"/>
      <x:c r="J96" s="15"/>
    </x:row>
    <x:row r="97" ht="20" customHeight="1">
      <x:c r="A97" s="15"/>
      <x:c r="B97" s="15"/>
      <x:c r="C97" s="15"/>
      <x:c r="D97" s="15"/>
      <x:c r="E97" s="15"/>
      <x:c r="F97" s="15"/>
      <x:c r="G97" s="70"/>
      <x:c r="H97" s="15"/>
      <x:c r="I97" s="28"/>
      <x:c r="J97" s="15"/>
    </x:row>
    <x:row r="98" ht="20" customHeight="1">
      <x:c r="A98" s="15"/>
      <x:c r="B98" s="15"/>
      <x:c r="C98" s="15"/>
      <x:c r="D98" s="15"/>
      <x:c r="E98" s="15"/>
      <x:c r="F98" s="15"/>
      <x:c r="G98" s="70"/>
      <x:c r="H98" s="15"/>
      <x:c r="I98" s="28"/>
      <x:c r="J98" s="15"/>
    </x:row>
    <x:row r="99" ht="20" customHeight="1">
      <x:c r="A99" s="15"/>
      <x:c r="B99" s="15"/>
      <x:c r="C99" s="15"/>
      <x:c r="D99" s="15"/>
      <x:c r="E99" s="15"/>
      <x:c r="F99" s="15"/>
      <x:c r="G99" s="70"/>
      <x:c r="H99" s="15"/>
      <x:c r="I99" s="28"/>
      <x:c r="J99" s="15"/>
    </x:row>
    <x:row r="100" ht="20" customHeight="1">
      <x:c r="A100" s="15"/>
      <x:c r="B100" s="15"/>
      <x:c r="C100" s="15"/>
      <x:c r="D100" s="15"/>
      <x:c r="E100" s="15"/>
      <x:c r="F100" s="15"/>
      <x:c r="G100" s="70"/>
      <x:c r="H100" s="15"/>
      <x:c r="I100" s="28"/>
      <x:c r="J100" s="15"/>
    </x:row>
    <x:row r="101" ht="20" customHeight="1">
      <x:c r="A101" s="15"/>
      <x:c r="B101" s="15"/>
      <x:c r="C101" s="15"/>
      <x:c r="D101" s="15"/>
      <x:c r="E101" s="15"/>
      <x:c r="F101" s="15"/>
      <x:c r="G101" s="70"/>
      <x:c r="H101" s="15"/>
      <x:c r="I101" s="28"/>
      <x:c r="J101" s="15"/>
    </x:row>
  </x:sheetData>
  <x:dataValidations count="1">
    <x:dataValidation type="list" sqref="D2:D101">
      <x:formula1>"Available,Assigned,Down,Maintenance,Retired"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c3b4d11659496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2" hidden="0" customWidth="1"/>
    <x:col min="4" max="4" width="14" hidden="0" customWidth="1"/>
    <x:col min="5" max="5" width="14" hidden="0" customWidth="1"/>
    <x:col min="6" max="6" width="10" hidden="0" customWidth="1"/>
    <x:col min="7" max="7" width="40" hidden="0" customWidth="1"/>
  </x:cols>
  <x:sheetData>
    <x:row r="1" ht="30" customHeight="1">
      <x:c r="A1" s="96" t="str">
        <x:v>ProductionCode</x:v>
      </x:c>
      <x:c r="B1" s="96" t="str">
        <x:v>WorkType</x:v>
      </x:c>
      <x:c r="C1" s="96" t="str">
        <x:v>Unit</x:v>
      </x:c>
      <x:c r="D1" s="96" t="str">
        <x:v>UnitPrice</x:v>
      </x:c>
      <x:c r="E1" s="96" t="str">
        <x:v>CostType</x:v>
      </x:c>
      <x:c r="F1" s="96" t="str">
        <x:v>Active</x:v>
      </x:c>
      <x:c r="G1" s="96" t="str">
        <x:v>Notes</x:v>
      </x:c>
    </x:row>
    <x:row r="2" ht="20" customHeight="1">
      <x:c r="A2" s="15" t="str">
        <x:v>UG-FIBER-LF</x:v>
      </x:c>
      <x:c r="B2" s="15" t="str">
        <x:v>Underground fiber placement</x:v>
      </x:c>
      <x:c r="C2" s="15" t="str">
        <x:v>lf</x:v>
      </x:c>
      <x:c r="D2" s="70" t="n">
        <x:v>8.5</x:v>
      </x:c>
      <x:c r="E2" s="15" t="str">
        <x:v>Revenue</x:v>
      </x:c>
      <x:c r="F2" s="15" t="str">
        <x:v>Yes</x:v>
      </x:c>
      <x:c r="G2" s="15" t="str">
        <x:v>Unit rate sample</x:v>
      </x:c>
    </x:row>
    <x:row r="3" ht="20" customHeight="1">
      <x:c r="A3" s="15" t="str">
        <x:v>BORE-LF</x:v>
      </x:c>
      <x:c r="B3" s="15" t="str">
        <x:v>Directional bore</x:v>
      </x:c>
      <x:c r="C3" s="15" t="str">
        <x:v>lf</x:v>
      </x:c>
      <x:c r="D3" s="70" t="n">
        <x:v>22</x:v>
      </x:c>
      <x:c r="E3" s="15" t="str">
        <x:v>Revenue</x:v>
      </x:c>
      <x:c r="F3" s="15" t="str">
        <x:v>Yes</x:v>
      </x:c>
      <x:c r="G3" s="15" t="str">
        <x:v>Unit rate sample</x:v>
      </x:c>
    </x:row>
    <x:row r="4" ht="20" customHeight="1">
      <x:c r="A4" s="15" t="str">
        <x:v>HANDHOLE-EA</x:v>
      </x:c>
      <x:c r="B4" s="15" t="str">
        <x:v>Handhole install</x:v>
      </x:c>
      <x:c r="C4" s="15" t="str">
        <x:v>each</x:v>
      </x:c>
      <x:c r="D4" s="70" t="n">
        <x:v>650</x:v>
      </x:c>
      <x:c r="E4" s="15" t="str">
        <x:v>Revenue</x:v>
      </x:c>
      <x:c r="F4" s="15" t="str">
        <x:v>Yes</x:v>
      </x:c>
      <x:c r="G4" s="15" t="str">
        <x:v>Unit rate sample</x:v>
      </x:c>
    </x:row>
    <x:row r="5" ht="20" customHeight="1">
      <x:c r="A5" s="15" t="str">
        <x:v>SPLICE-EA</x:v>
      </x:c>
      <x:c r="B5" s="15" t="str">
        <x:v>Splice point</x:v>
      </x:c>
      <x:c r="C5" s="15" t="str">
        <x:v>each</x:v>
      </x:c>
      <x:c r="D5" s="70" t="n">
        <x:v>185</x:v>
      </x:c>
      <x:c r="E5" s="15" t="str">
        <x:v>Revenue</x:v>
      </x:c>
      <x:c r="F5" s="15" t="str">
        <x:v>Yes</x:v>
      </x:c>
      <x:c r="G5" s="15" t="str">
        <x:v>Unit rate sample</x:v>
      </x:c>
    </x:row>
    <x:row r="6" ht="20" customHeight="1">
      <x:c r="A6" s="15" t="str">
        <x:v>RESTORE-SQFT</x:v>
      </x:c>
      <x:c r="B6" s="15" t="str">
        <x:v>Surface restoration</x:v>
      </x:c>
      <x:c r="C6" s="15" t="str">
        <x:v>sqft</x:v>
      </x:c>
      <x:c r="D6" s="70" t="n">
        <x:v>5.25</x:v>
      </x:c>
      <x:c r="E6" s="15" t="str">
        <x:v>Revenue</x:v>
      </x:c>
      <x:c r="F6" s="15" t="str">
        <x:v>Yes</x:v>
      </x:c>
      <x:c r="G6" s="15" t="str">
        <x:v>Unit rate sample</x:v>
      </x:c>
    </x:row>
    <x:row r="7" ht="20" customHeight="1">
      <x:c r="A7" s="15" t="str">
        <x:v>LOCATE-EA</x:v>
      </x:c>
      <x:c r="B7" s="15" t="str">
        <x:v>811 locate clear</x:v>
      </x:c>
      <x:c r="C7" s="15" t="str">
        <x:v>each</x:v>
      </x:c>
      <x:c r="D7" s="70" t="n">
        <x:v>35</x:v>
      </x:c>
      <x:c r="E7" s="15" t="str">
        <x:v>Revenue</x:v>
      </x:c>
      <x:c r="F7" s="15" t="str">
        <x:v>Yes</x:v>
      </x:c>
      <x:c r="G7" s="15" t="str">
        <x:v>Unit rate sample</x:v>
      </x:c>
    </x:row>
    <x:row r="8" ht="20" customHeight="1">
      <x:c r="A8" s="15"/>
      <x:c r="B8" s="15"/>
      <x:c r="C8" s="15"/>
      <x:c r="D8" s="70"/>
      <x:c r="E8" s="15"/>
      <x:c r="F8" s="15"/>
      <x:c r="G8" s="15"/>
    </x:row>
    <x:row r="9" ht="20" customHeight="1">
      <x:c r="A9" s="15"/>
      <x:c r="B9" s="15"/>
      <x:c r="C9" s="15"/>
      <x:c r="D9" s="70"/>
      <x:c r="E9" s="15"/>
      <x:c r="F9" s="15"/>
      <x:c r="G9" s="15"/>
    </x:row>
    <x:row r="10" ht="20" customHeight="1">
      <x:c r="A10" s="15"/>
      <x:c r="B10" s="15"/>
      <x:c r="C10" s="15"/>
      <x:c r="D10" s="70"/>
      <x:c r="E10" s="15"/>
      <x:c r="F10" s="15"/>
      <x:c r="G10" s="15"/>
    </x:row>
    <x:row r="11" ht="20" customHeight="1">
      <x:c r="A11" s="15"/>
      <x:c r="B11" s="15"/>
      <x:c r="C11" s="15"/>
      <x:c r="D11" s="70"/>
      <x:c r="E11" s="15"/>
      <x:c r="F11" s="15"/>
      <x:c r="G11" s="15"/>
    </x:row>
    <x:row r="12" ht="20" customHeight="1">
      <x:c r="A12" s="15"/>
      <x:c r="B12" s="15"/>
      <x:c r="C12" s="15"/>
      <x:c r="D12" s="70"/>
      <x:c r="E12" s="15"/>
      <x:c r="F12" s="15"/>
      <x:c r="G12" s="15"/>
    </x:row>
    <x:row r="13" ht="20" customHeight="1">
      <x:c r="A13" s="15"/>
      <x:c r="B13" s="15"/>
      <x:c r="C13" s="15"/>
      <x:c r="D13" s="70"/>
      <x:c r="E13" s="15"/>
      <x:c r="F13" s="15"/>
      <x:c r="G13" s="15"/>
    </x:row>
    <x:row r="14" ht="20" customHeight="1">
      <x:c r="A14" s="15"/>
      <x:c r="B14" s="15"/>
      <x:c r="C14" s="15"/>
      <x:c r="D14" s="70"/>
      <x:c r="E14" s="15"/>
      <x:c r="F14" s="15"/>
      <x:c r="G14" s="15"/>
    </x:row>
    <x:row r="15" ht="20" customHeight="1">
      <x:c r="A15" s="15"/>
      <x:c r="B15" s="15"/>
      <x:c r="C15" s="15"/>
      <x:c r="D15" s="70"/>
      <x:c r="E15" s="15"/>
      <x:c r="F15" s="15"/>
      <x:c r="G15" s="15"/>
    </x:row>
    <x:row r="16" ht="20" customHeight="1">
      <x:c r="A16" s="15"/>
      <x:c r="B16" s="15"/>
      <x:c r="C16" s="15"/>
      <x:c r="D16" s="70"/>
      <x:c r="E16" s="15"/>
      <x:c r="F16" s="15"/>
      <x:c r="G16" s="15"/>
    </x:row>
    <x:row r="17" ht="20" customHeight="1">
      <x:c r="A17" s="15"/>
      <x:c r="B17" s="15"/>
      <x:c r="C17" s="15"/>
      <x:c r="D17" s="70"/>
      <x:c r="E17" s="15"/>
      <x:c r="F17" s="15"/>
      <x:c r="G17" s="15"/>
    </x:row>
    <x:row r="18" ht="20" customHeight="1">
      <x:c r="A18" s="15"/>
      <x:c r="B18" s="15"/>
      <x:c r="C18" s="15"/>
      <x:c r="D18" s="70"/>
      <x:c r="E18" s="15"/>
      <x:c r="F18" s="15"/>
      <x:c r="G18" s="15"/>
    </x:row>
    <x:row r="19" ht="20" customHeight="1">
      <x:c r="A19" s="15"/>
      <x:c r="B19" s="15"/>
      <x:c r="C19" s="15"/>
      <x:c r="D19" s="70"/>
      <x:c r="E19" s="15"/>
      <x:c r="F19" s="15"/>
      <x:c r="G19" s="15"/>
    </x:row>
    <x:row r="20" ht="20" customHeight="1">
      <x:c r="A20" s="15"/>
      <x:c r="B20" s="15"/>
      <x:c r="C20" s="15"/>
      <x:c r="D20" s="70"/>
      <x:c r="E20" s="15"/>
      <x:c r="F20" s="15"/>
      <x:c r="G20" s="15"/>
    </x:row>
    <x:row r="21" ht="20" customHeight="1">
      <x:c r="A21" s="15"/>
      <x:c r="B21" s="15"/>
      <x:c r="C21" s="15"/>
      <x:c r="D21" s="70"/>
      <x:c r="E21" s="15"/>
      <x:c r="F21" s="15"/>
      <x:c r="G21" s="15"/>
    </x:row>
    <x:row r="22" ht="20" customHeight="1">
      <x:c r="A22" s="15"/>
      <x:c r="B22" s="15"/>
      <x:c r="C22" s="15"/>
      <x:c r="D22" s="70"/>
      <x:c r="E22" s="15"/>
      <x:c r="F22" s="15"/>
      <x:c r="G22" s="15"/>
    </x:row>
    <x:row r="23" ht="20" customHeight="1">
      <x:c r="A23" s="15"/>
      <x:c r="B23" s="15"/>
      <x:c r="C23" s="15"/>
      <x:c r="D23" s="70"/>
      <x:c r="E23" s="15"/>
      <x:c r="F23" s="15"/>
      <x:c r="G23" s="15"/>
    </x:row>
    <x:row r="24" ht="20" customHeight="1">
      <x:c r="A24" s="15"/>
      <x:c r="B24" s="15"/>
      <x:c r="C24" s="15"/>
      <x:c r="D24" s="70"/>
      <x:c r="E24" s="15"/>
      <x:c r="F24" s="15"/>
      <x:c r="G24" s="15"/>
    </x:row>
    <x:row r="25" ht="20" customHeight="1">
      <x:c r="A25" s="15"/>
      <x:c r="B25" s="15"/>
      <x:c r="C25" s="15"/>
      <x:c r="D25" s="70"/>
      <x:c r="E25" s="15"/>
      <x:c r="F25" s="15"/>
      <x:c r="G25" s="15"/>
    </x:row>
    <x:row r="26" ht="20" customHeight="1">
      <x:c r="A26" s="15"/>
      <x:c r="B26" s="15"/>
      <x:c r="C26" s="15"/>
      <x:c r="D26" s="70"/>
      <x:c r="E26" s="15"/>
      <x:c r="F26" s="15"/>
      <x:c r="G26" s="15"/>
    </x:row>
    <x:row r="27" ht="20" customHeight="1">
      <x:c r="A27" s="15"/>
      <x:c r="B27" s="15"/>
      <x:c r="C27" s="15"/>
      <x:c r="D27" s="70"/>
      <x:c r="E27" s="15"/>
      <x:c r="F27" s="15"/>
      <x:c r="G27" s="15"/>
    </x:row>
    <x:row r="28" ht="20" customHeight="1">
      <x:c r="A28" s="15"/>
      <x:c r="B28" s="15"/>
      <x:c r="C28" s="15"/>
      <x:c r="D28" s="70"/>
      <x:c r="E28" s="15"/>
      <x:c r="F28" s="15"/>
      <x:c r="G28" s="15"/>
    </x:row>
    <x:row r="29" ht="20" customHeight="1">
      <x:c r="A29" s="15"/>
      <x:c r="B29" s="15"/>
      <x:c r="C29" s="15"/>
      <x:c r="D29" s="70"/>
      <x:c r="E29" s="15"/>
      <x:c r="F29" s="15"/>
      <x:c r="G29" s="15"/>
    </x:row>
    <x:row r="30" ht="20" customHeight="1">
      <x:c r="A30" s="15"/>
      <x:c r="B30" s="15"/>
      <x:c r="C30" s="15"/>
      <x:c r="D30" s="70"/>
      <x:c r="E30" s="15"/>
      <x:c r="F30" s="15"/>
      <x:c r="G30" s="15"/>
    </x:row>
    <x:row r="31" ht="20" customHeight="1">
      <x:c r="A31" s="15"/>
      <x:c r="B31" s="15"/>
      <x:c r="C31" s="15"/>
      <x:c r="D31" s="70"/>
      <x:c r="E31" s="15"/>
      <x:c r="F31" s="15"/>
      <x:c r="G31" s="15"/>
    </x:row>
    <x:row r="32" ht="20" customHeight="1">
      <x:c r="A32" s="15"/>
      <x:c r="B32" s="15"/>
      <x:c r="C32" s="15"/>
      <x:c r="D32" s="70"/>
      <x:c r="E32" s="15"/>
      <x:c r="F32" s="15"/>
      <x:c r="G32" s="15"/>
    </x:row>
    <x:row r="33" ht="20" customHeight="1">
      <x:c r="A33" s="15"/>
      <x:c r="B33" s="15"/>
      <x:c r="C33" s="15"/>
      <x:c r="D33" s="70"/>
      <x:c r="E33" s="15"/>
      <x:c r="F33" s="15"/>
      <x:c r="G33" s="15"/>
    </x:row>
    <x:row r="34" ht="20" customHeight="1">
      <x:c r="A34" s="15"/>
      <x:c r="B34" s="15"/>
      <x:c r="C34" s="15"/>
      <x:c r="D34" s="70"/>
      <x:c r="E34" s="15"/>
      <x:c r="F34" s="15"/>
      <x:c r="G34" s="15"/>
    </x:row>
    <x:row r="35" ht="20" customHeight="1">
      <x:c r="A35" s="15"/>
      <x:c r="B35" s="15"/>
      <x:c r="C35" s="15"/>
      <x:c r="D35" s="70"/>
      <x:c r="E35" s="15"/>
      <x:c r="F35" s="15"/>
      <x:c r="G35" s="15"/>
    </x:row>
    <x:row r="36" ht="20" customHeight="1">
      <x:c r="A36" s="15"/>
      <x:c r="B36" s="15"/>
      <x:c r="C36" s="15"/>
      <x:c r="D36" s="70"/>
      <x:c r="E36" s="15"/>
      <x:c r="F36" s="15"/>
      <x:c r="G36" s="15"/>
    </x:row>
    <x:row r="37" ht="20" customHeight="1">
      <x:c r="A37" s="15"/>
      <x:c r="B37" s="15"/>
      <x:c r="C37" s="15"/>
      <x:c r="D37" s="70"/>
      <x:c r="E37" s="15"/>
      <x:c r="F37" s="15"/>
      <x:c r="G37" s="15"/>
    </x:row>
    <x:row r="38" ht="20" customHeight="1">
      <x:c r="A38" s="15"/>
      <x:c r="B38" s="15"/>
      <x:c r="C38" s="15"/>
      <x:c r="D38" s="70"/>
      <x:c r="E38" s="15"/>
      <x:c r="F38" s="15"/>
      <x:c r="G38" s="15"/>
    </x:row>
    <x:row r="39" ht="20" customHeight="1">
      <x:c r="A39" s="15"/>
      <x:c r="B39" s="15"/>
      <x:c r="C39" s="15"/>
      <x:c r="D39" s="70"/>
      <x:c r="E39" s="15"/>
      <x:c r="F39" s="15"/>
      <x:c r="G39" s="15"/>
    </x:row>
    <x:row r="40" ht="20" customHeight="1">
      <x:c r="A40" s="15"/>
      <x:c r="B40" s="15"/>
      <x:c r="C40" s="15"/>
      <x:c r="D40" s="70"/>
      <x:c r="E40" s="15"/>
      <x:c r="F40" s="15"/>
      <x:c r="G40" s="15"/>
    </x:row>
    <x:row r="41" ht="20" customHeight="1">
      <x:c r="A41" s="15"/>
      <x:c r="B41" s="15"/>
      <x:c r="C41" s="15"/>
      <x:c r="D41" s="70"/>
      <x:c r="E41" s="15"/>
      <x:c r="F41" s="15"/>
      <x:c r="G41" s="15"/>
    </x:row>
    <x:row r="42" ht="20" customHeight="1">
      <x:c r="A42" s="15"/>
      <x:c r="B42" s="15"/>
      <x:c r="C42" s="15"/>
      <x:c r="D42" s="70"/>
      <x:c r="E42" s="15"/>
      <x:c r="F42" s="15"/>
      <x:c r="G42" s="15"/>
    </x:row>
    <x:row r="43" ht="20" customHeight="1">
      <x:c r="A43" s="15"/>
      <x:c r="B43" s="15"/>
      <x:c r="C43" s="15"/>
      <x:c r="D43" s="70"/>
      <x:c r="E43" s="15"/>
      <x:c r="F43" s="15"/>
      <x:c r="G43" s="15"/>
    </x:row>
    <x:row r="44" ht="20" customHeight="1">
      <x:c r="A44" s="15"/>
      <x:c r="B44" s="15"/>
      <x:c r="C44" s="15"/>
      <x:c r="D44" s="70"/>
      <x:c r="E44" s="15"/>
      <x:c r="F44" s="15"/>
      <x:c r="G44" s="15"/>
    </x:row>
    <x:row r="45" ht="20" customHeight="1">
      <x:c r="A45" s="15"/>
      <x:c r="B45" s="15"/>
      <x:c r="C45" s="15"/>
      <x:c r="D45" s="70"/>
      <x:c r="E45" s="15"/>
      <x:c r="F45" s="15"/>
      <x:c r="G45" s="15"/>
    </x:row>
    <x:row r="46" ht="20" customHeight="1">
      <x:c r="A46" s="15"/>
      <x:c r="B46" s="15"/>
      <x:c r="C46" s="15"/>
      <x:c r="D46" s="70"/>
      <x:c r="E46" s="15"/>
      <x:c r="F46" s="15"/>
      <x:c r="G46" s="15"/>
    </x:row>
    <x:row r="47" ht="20" customHeight="1">
      <x:c r="A47" s="15"/>
      <x:c r="B47" s="15"/>
      <x:c r="C47" s="15"/>
      <x:c r="D47" s="70"/>
      <x:c r="E47" s="15"/>
      <x:c r="F47" s="15"/>
      <x:c r="G47" s="15"/>
    </x:row>
    <x:row r="48" ht="20" customHeight="1">
      <x:c r="A48" s="15"/>
      <x:c r="B48" s="15"/>
      <x:c r="C48" s="15"/>
      <x:c r="D48" s="70"/>
      <x:c r="E48" s="15"/>
      <x:c r="F48" s="15"/>
      <x:c r="G48" s="15"/>
    </x:row>
    <x:row r="49" ht="20" customHeight="1">
      <x:c r="A49" s="15"/>
      <x:c r="B49" s="15"/>
      <x:c r="C49" s="15"/>
      <x:c r="D49" s="70"/>
      <x:c r="E49" s="15"/>
      <x:c r="F49" s="15"/>
      <x:c r="G49" s="15"/>
    </x:row>
    <x:row r="50" ht="20" customHeight="1">
      <x:c r="A50" s="15"/>
      <x:c r="B50" s="15"/>
      <x:c r="C50" s="15"/>
      <x:c r="D50" s="70"/>
      <x:c r="E50" s="15"/>
      <x:c r="F50" s="15"/>
      <x:c r="G50" s="15"/>
    </x:row>
    <x:row r="51" ht="20" customHeight="1">
      <x:c r="A51" s="15"/>
      <x:c r="B51" s="15"/>
      <x:c r="C51" s="15"/>
      <x:c r="D51" s="70"/>
      <x:c r="E51" s="15"/>
      <x:c r="F51" s="15"/>
      <x:c r="G51" s="15"/>
    </x:row>
    <x:row r="52" ht="20" customHeight="1">
      <x:c r="A52" s="15"/>
      <x:c r="B52" s="15"/>
      <x:c r="C52" s="15"/>
      <x:c r="D52" s="70"/>
      <x:c r="E52" s="15"/>
      <x:c r="F52" s="15"/>
      <x:c r="G52" s="15"/>
    </x:row>
    <x:row r="53" ht="20" customHeight="1">
      <x:c r="A53" s="15"/>
      <x:c r="B53" s="15"/>
      <x:c r="C53" s="15"/>
      <x:c r="D53" s="70"/>
      <x:c r="E53" s="15"/>
      <x:c r="F53" s="15"/>
      <x:c r="G53" s="15"/>
    </x:row>
    <x:row r="54" ht="20" customHeight="1">
      <x:c r="A54" s="15"/>
      <x:c r="B54" s="15"/>
      <x:c r="C54" s="15"/>
      <x:c r="D54" s="70"/>
      <x:c r="E54" s="15"/>
      <x:c r="F54" s="15"/>
      <x:c r="G54" s="15"/>
    </x:row>
    <x:row r="55" ht="20" customHeight="1">
      <x:c r="A55" s="15"/>
      <x:c r="B55" s="15"/>
      <x:c r="C55" s="15"/>
      <x:c r="D55" s="70"/>
      <x:c r="E55" s="15"/>
      <x:c r="F55" s="15"/>
      <x:c r="G55" s="15"/>
    </x:row>
    <x:row r="56" ht="20" customHeight="1">
      <x:c r="A56" s="15"/>
      <x:c r="B56" s="15"/>
      <x:c r="C56" s="15"/>
      <x:c r="D56" s="70"/>
      <x:c r="E56" s="15"/>
      <x:c r="F56" s="15"/>
      <x:c r="G56" s="15"/>
    </x:row>
    <x:row r="57" ht="20" customHeight="1">
      <x:c r="A57" s="15"/>
      <x:c r="B57" s="15"/>
      <x:c r="C57" s="15"/>
      <x:c r="D57" s="70"/>
      <x:c r="E57" s="15"/>
      <x:c r="F57" s="15"/>
      <x:c r="G57" s="15"/>
    </x:row>
    <x:row r="58" ht="20" customHeight="1">
      <x:c r="A58" s="15"/>
      <x:c r="B58" s="15"/>
      <x:c r="C58" s="15"/>
      <x:c r="D58" s="70"/>
      <x:c r="E58" s="15"/>
      <x:c r="F58" s="15"/>
      <x:c r="G58" s="15"/>
    </x:row>
    <x:row r="59" ht="20" customHeight="1">
      <x:c r="A59" s="15"/>
      <x:c r="B59" s="15"/>
      <x:c r="C59" s="15"/>
      <x:c r="D59" s="70"/>
      <x:c r="E59" s="15"/>
      <x:c r="F59" s="15"/>
      <x:c r="G59" s="15"/>
    </x:row>
    <x:row r="60" ht="20" customHeight="1">
      <x:c r="A60" s="15"/>
      <x:c r="B60" s="15"/>
      <x:c r="C60" s="15"/>
      <x:c r="D60" s="70"/>
      <x:c r="E60" s="15"/>
      <x:c r="F60" s="15"/>
      <x:c r="G60" s="15"/>
    </x:row>
    <x:row r="61" ht="20" customHeight="1">
      <x:c r="A61" s="15"/>
      <x:c r="B61" s="15"/>
      <x:c r="C61" s="15"/>
      <x:c r="D61" s="70"/>
      <x:c r="E61" s="15"/>
      <x:c r="F61" s="15"/>
      <x:c r="G61" s="15"/>
    </x:row>
    <x:row r="62" ht="20" customHeight="1">
      <x:c r="A62" s="15"/>
      <x:c r="B62" s="15"/>
      <x:c r="C62" s="15"/>
      <x:c r="D62" s="70"/>
      <x:c r="E62" s="15"/>
      <x:c r="F62" s="15"/>
      <x:c r="G62" s="15"/>
    </x:row>
    <x:row r="63" ht="20" customHeight="1">
      <x:c r="A63" s="15"/>
      <x:c r="B63" s="15"/>
      <x:c r="C63" s="15"/>
      <x:c r="D63" s="70"/>
      <x:c r="E63" s="15"/>
      <x:c r="F63" s="15"/>
      <x:c r="G63" s="15"/>
    </x:row>
    <x:row r="64" ht="20" customHeight="1">
      <x:c r="A64" s="15"/>
      <x:c r="B64" s="15"/>
      <x:c r="C64" s="15"/>
      <x:c r="D64" s="70"/>
      <x:c r="E64" s="15"/>
      <x:c r="F64" s="15"/>
      <x:c r="G64" s="15"/>
    </x:row>
    <x:row r="65" ht="20" customHeight="1">
      <x:c r="A65" s="15"/>
      <x:c r="B65" s="15"/>
      <x:c r="C65" s="15"/>
      <x:c r="D65" s="70"/>
      <x:c r="E65" s="15"/>
      <x:c r="F65" s="15"/>
      <x:c r="G65" s="15"/>
    </x:row>
    <x:row r="66" ht="20" customHeight="1">
      <x:c r="A66" s="15"/>
      <x:c r="B66" s="15"/>
      <x:c r="C66" s="15"/>
      <x:c r="D66" s="70"/>
      <x:c r="E66" s="15"/>
      <x:c r="F66" s="15"/>
      <x:c r="G66" s="15"/>
    </x:row>
    <x:row r="67" ht="20" customHeight="1">
      <x:c r="A67" s="15"/>
      <x:c r="B67" s="15"/>
      <x:c r="C67" s="15"/>
      <x:c r="D67" s="70"/>
      <x:c r="E67" s="15"/>
      <x:c r="F67" s="15"/>
      <x:c r="G67" s="15"/>
    </x:row>
    <x:row r="68" ht="20" customHeight="1">
      <x:c r="A68" s="15"/>
      <x:c r="B68" s="15"/>
      <x:c r="C68" s="15"/>
      <x:c r="D68" s="70"/>
      <x:c r="E68" s="15"/>
      <x:c r="F68" s="15"/>
      <x:c r="G68" s="15"/>
    </x:row>
    <x:row r="69" ht="20" customHeight="1">
      <x:c r="A69" s="15"/>
      <x:c r="B69" s="15"/>
      <x:c r="C69" s="15"/>
      <x:c r="D69" s="70"/>
      <x:c r="E69" s="15"/>
      <x:c r="F69" s="15"/>
      <x:c r="G69" s="15"/>
    </x:row>
    <x:row r="70" ht="20" customHeight="1">
      <x:c r="A70" s="15"/>
      <x:c r="B70" s="15"/>
      <x:c r="C70" s="15"/>
      <x:c r="D70" s="70"/>
      <x:c r="E70" s="15"/>
      <x:c r="F70" s="15"/>
      <x:c r="G70" s="15"/>
    </x:row>
    <x:row r="71" ht="20" customHeight="1">
      <x:c r="A71" s="15"/>
      <x:c r="B71" s="15"/>
      <x:c r="C71" s="15"/>
      <x:c r="D71" s="70"/>
      <x:c r="E71" s="15"/>
      <x:c r="F71" s="15"/>
      <x:c r="G71" s="15"/>
    </x:row>
    <x:row r="72" ht="20" customHeight="1">
      <x:c r="A72" s="15"/>
      <x:c r="B72" s="15"/>
      <x:c r="C72" s="15"/>
      <x:c r="D72" s="70"/>
      <x:c r="E72" s="15"/>
      <x:c r="F72" s="15"/>
      <x:c r="G72" s="15"/>
    </x:row>
    <x:row r="73" ht="20" customHeight="1">
      <x:c r="A73" s="15"/>
      <x:c r="B73" s="15"/>
      <x:c r="C73" s="15"/>
      <x:c r="D73" s="70"/>
      <x:c r="E73" s="15"/>
      <x:c r="F73" s="15"/>
      <x:c r="G73" s="15"/>
    </x:row>
    <x:row r="74" ht="20" customHeight="1">
      <x:c r="A74" s="15"/>
      <x:c r="B74" s="15"/>
      <x:c r="C74" s="15"/>
      <x:c r="D74" s="70"/>
      <x:c r="E74" s="15"/>
      <x:c r="F74" s="15"/>
      <x:c r="G74" s="15"/>
    </x:row>
    <x:row r="75" ht="20" customHeight="1">
      <x:c r="A75" s="15"/>
      <x:c r="B75" s="15"/>
      <x:c r="C75" s="15"/>
      <x:c r="D75" s="70"/>
      <x:c r="E75" s="15"/>
      <x:c r="F75" s="15"/>
      <x:c r="G75" s="15"/>
    </x:row>
    <x:row r="76" ht="20" customHeight="1">
      <x:c r="A76" s="15"/>
      <x:c r="B76" s="15"/>
      <x:c r="C76" s="15"/>
      <x:c r="D76" s="70"/>
      <x:c r="E76" s="15"/>
      <x:c r="F76" s="15"/>
      <x:c r="G76" s="15"/>
    </x:row>
    <x:row r="77" ht="20" customHeight="1">
      <x:c r="A77" s="15"/>
      <x:c r="B77" s="15"/>
      <x:c r="C77" s="15"/>
      <x:c r="D77" s="70"/>
      <x:c r="E77" s="15"/>
      <x:c r="F77" s="15"/>
      <x:c r="G77" s="15"/>
    </x:row>
    <x:row r="78" ht="20" customHeight="1">
      <x:c r="A78" s="15"/>
      <x:c r="B78" s="15"/>
      <x:c r="C78" s="15"/>
      <x:c r="D78" s="70"/>
      <x:c r="E78" s="15"/>
      <x:c r="F78" s="15"/>
      <x:c r="G78" s="15"/>
    </x:row>
    <x:row r="79" ht="20" customHeight="1">
      <x:c r="A79" s="15"/>
      <x:c r="B79" s="15"/>
      <x:c r="C79" s="15"/>
      <x:c r="D79" s="70"/>
      <x:c r="E79" s="15"/>
      <x:c r="F79" s="15"/>
      <x:c r="G79" s="15"/>
    </x:row>
    <x:row r="80" ht="20" customHeight="1">
      <x:c r="A80" s="15"/>
      <x:c r="B80" s="15"/>
      <x:c r="C80" s="15"/>
      <x:c r="D80" s="70"/>
      <x:c r="E80" s="15"/>
      <x:c r="F80" s="15"/>
      <x:c r="G80" s="15"/>
    </x:row>
    <x:row r="81" ht="20" customHeight="1">
      <x:c r="A81" s="15"/>
      <x:c r="B81" s="15"/>
      <x:c r="C81" s="15"/>
      <x:c r="D81" s="70"/>
      <x:c r="E81" s="15"/>
      <x:c r="F81" s="15"/>
      <x:c r="G81" s="15"/>
    </x:row>
    <x:row r="82" ht="20" customHeight="1">
      <x:c r="A82" s="15"/>
      <x:c r="B82" s="15"/>
      <x:c r="C82" s="15"/>
      <x:c r="D82" s="70"/>
      <x:c r="E82" s="15"/>
      <x:c r="F82" s="15"/>
      <x:c r="G82" s="15"/>
    </x:row>
    <x:row r="83" ht="20" customHeight="1">
      <x:c r="A83" s="15"/>
      <x:c r="B83" s="15"/>
      <x:c r="C83" s="15"/>
      <x:c r="D83" s="70"/>
      <x:c r="E83" s="15"/>
      <x:c r="F83" s="15"/>
      <x:c r="G83" s="15"/>
    </x:row>
    <x:row r="84" ht="20" customHeight="1">
      <x:c r="A84" s="15"/>
      <x:c r="B84" s="15"/>
      <x:c r="C84" s="15"/>
      <x:c r="D84" s="70"/>
      <x:c r="E84" s="15"/>
      <x:c r="F84" s="15"/>
      <x:c r="G84" s="15"/>
    </x:row>
    <x:row r="85" ht="20" customHeight="1">
      <x:c r="A85" s="15"/>
      <x:c r="B85" s="15"/>
      <x:c r="C85" s="15"/>
      <x:c r="D85" s="70"/>
      <x:c r="E85" s="15"/>
      <x:c r="F85" s="15"/>
      <x:c r="G85" s="15"/>
    </x:row>
    <x:row r="86" ht="20" customHeight="1">
      <x:c r="A86" s="15"/>
      <x:c r="B86" s="15"/>
      <x:c r="C86" s="15"/>
      <x:c r="D86" s="70"/>
      <x:c r="E86" s="15"/>
      <x:c r="F86" s="15"/>
      <x:c r="G86" s="15"/>
    </x:row>
    <x:row r="87" ht="20" customHeight="1">
      <x:c r="A87" s="15"/>
      <x:c r="B87" s="15"/>
      <x:c r="C87" s="15"/>
      <x:c r="D87" s="70"/>
      <x:c r="E87" s="15"/>
      <x:c r="F87" s="15"/>
      <x:c r="G87" s="15"/>
    </x:row>
    <x:row r="88" ht="20" customHeight="1">
      <x:c r="A88" s="15"/>
      <x:c r="B88" s="15"/>
      <x:c r="C88" s="15"/>
      <x:c r="D88" s="70"/>
      <x:c r="E88" s="15"/>
      <x:c r="F88" s="15"/>
      <x:c r="G88" s="15"/>
    </x:row>
    <x:row r="89" ht="20" customHeight="1">
      <x:c r="A89" s="15"/>
      <x:c r="B89" s="15"/>
      <x:c r="C89" s="15"/>
      <x:c r="D89" s="70"/>
      <x:c r="E89" s="15"/>
      <x:c r="F89" s="15"/>
      <x:c r="G89" s="15"/>
    </x:row>
    <x:row r="90" ht="20" customHeight="1">
      <x:c r="A90" s="15"/>
      <x:c r="B90" s="15"/>
      <x:c r="C90" s="15"/>
      <x:c r="D90" s="70"/>
      <x:c r="E90" s="15"/>
      <x:c r="F90" s="15"/>
      <x:c r="G90" s="15"/>
    </x:row>
    <x:row r="91" ht="20" customHeight="1">
      <x:c r="A91" s="15"/>
      <x:c r="B91" s="15"/>
      <x:c r="C91" s="15"/>
      <x:c r="D91" s="70"/>
      <x:c r="E91" s="15"/>
      <x:c r="F91" s="15"/>
      <x:c r="G91" s="15"/>
    </x:row>
    <x:row r="92" ht="20" customHeight="1">
      <x:c r="A92" s="15"/>
      <x:c r="B92" s="15"/>
      <x:c r="C92" s="15"/>
      <x:c r="D92" s="70"/>
      <x:c r="E92" s="15"/>
      <x:c r="F92" s="15"/>
      <x:c r="G92" s="15"/>
    </x:row>
    <x:row r="93" ht="20" customHeight="1">
      <x:c r="A93" s="15"/>
      <x:c r="B93" s="15"/>
      <x:c r="C93" s="15"/>
      <x:c r="D93" s="70"/>
      <x:c r="E93" s="15"/>
      <x:c r="F93" s="15"/>
      <x:c r="G93" s="15"/>
    </x:row>
    <x:row r="94" ht="20" customHeight="1">
      <x:c r="A94" s="15"/>
      <x:c r="B94" s="15"/>
      <x:c r="C94" s="15"/>
      <x:c r="D94" s="70"/>
      <x:c r="E94" s="15"/>
      <x:c r="F94" s="15"/>
      <x:c r="G94" s="15"/>
    </x:row>
    <x:row r="95" ht="20" customHeight="1">
      <x:c r="A95" s="15"/>
      <x:c r="B95" s="15"/>
      <x:c r="C95" s="15"/>
      <x:c r="D95" s="70"/>
      <x:c r="E95" s="15"/>
      <x:c r="F95" s="15"/>
      <x:c r="G95" s="15"/>
    </x:row>
    <x:row r="96" ht="20" customHeight="1">
      <x:c r="A96" s="15"/>
      <x:c r="B96" s="15"/>
      <x:c r="C96" s="15"/>
      <x:c r="D96" s="70"/>
      <x:c r="E96" s="15"/>
      <x:c r="F96" s="15"/>
      <x:c r="G96" s="15"/>
    </x:row>
    <x:row r="97" ht="20" customHeight="1">
      <x:c r="A97" s="15"/>
      <x:c r="B97" s="15"/>
      <x:c r="C97" s="15"/>
      <x:c r="D97" s="70"/>
      <x:c r="E97" s="15"/>
      <x:c r="F97" s="15"/>
      <x:c r="G97" s="15"/>
    </x:row>
    <x:row r="98" ht="20" customHeight="1">
      <x:c r="A98" s="15"/>
      <x:c r="B98" s="15"/>
      <x:c r="C98" s="15"/>
      <x:c r="D98" s="70"/>
      <x:c r="E98" s="15"/>
      <x:c r="F98" s="15"/>
      <x:c r="G98" s="15"/>
    </x:row>
    <x:row r="99" ht="20" customHeight="1">
      <x:c r="A99" s="15"/>
      <x:c r="B99" s="15"/>
      <x:c r="C99" s="15"/>
      <x:c r="D99" s="70"/>
      <x:c r="E99" s="15"/>
      <x:c r="F99" s="15"/>
      <x:c r="G99" s="15"/>
    </x:row>
    <x:row r="100" ht="20" customHeight="1">
      <x:c r="A100" s="15"/>
      <x:c r="B100" s="15"/>
      <x:c r="C100" s="15"/>
      <x:c r="D100" s="70"/>
      <x:c r="E100" s="15"/>
      <x:c r="F100" s="15"/>
      <x:c r="G100" s="15"/>
    </x:row>
    <x:row r="101" ht="20" customHeight="1">
      <x:c r="A101" s="15"/>
      <x:c r="B101" s="15"/>
      <x:c r="C101" s="15"/>
      <x:c r="D101" s="70"/>
      <x:c r="E101" s="15"/>
      <x:c r="F101" s="15"/>
      <x:c r="G101" s="15"/>
    </x:row>
  </x:sheetData>
  <x:dataValidations count="2">
    <x:dataValidation type="list" sqref="C2:C101">
      <x:formula1>"ft,lf,each,hr,yard,mile,sqft,ton"</x:formula1>
    </x:dataValidation>
    <x:dataValidation type="list" sqref="F2:F10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4da0addfb04eb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4" hidden="0" customWidth="1"/>
    <x:col min="7" max="7" width="22" hidden="0" customWidth="1"/>
    <x:col min="8" max="8" width="42" hidden="0" customWidth="1"/>
    <x:col min="9" max="9" width="14" hidden="0" customWidth="1"/>
    <x:col min="10" max="10" width="46" hidden="0" customWidth="1"/>
  </x:cols>
  <x:sheetData>
    <x:row r="1" ht="30" customHeight="1">
      <x:c r="A1" s="106" t="str">
        <x:v>TicketID</x:v>
      </x:c>
      <x:c r="B1" s="106" t="str">
        <x:v>ProjectID</x:v>
      </x:c>
      <x:c r="C1" s="106" t="str">
        <x:v>JobID</x:v>
      </x:c>
      <x:c r="D1" s="106" t="str">
        <x:v>RequestDate</x:v>
      </x:c>
      <x:c r="E1" s="106" t="str">
        <x:v>ExpirationDate</x:v>
      </x:c>
      <x:c r="F1" s="106" t="str">
        <x:v>Status</x:v>
      </x:c>
      <x:c r="G1" s="106" t="str">
        <x:v>Utility</x:v>
      </x:c>
      <x:c r="H1" s="106" t="str">
        <x:v>LocateMapLink</x:v>
      </x:c>
      <x:c r="I1" s="106" t="str">
        <x:v>ClearToWork</x:v>
      </x:c>
      <x:c r="J1" s="106" t="str">
        <x:v>ValidationIssues</x:v>
      </x:c>
    </x:row>
    <x:row r="2" ht="20" customHeight="1">
      <x:c r="A2" s="15" t="str">
        <x:v>811-PA-10001</x:v>
      </x:c>
      <x:c r="B2" s="15" t="str">
        <x:v>PRJ-1001</x:v>
      </x:c>
      <x:c r="C2" s="15" t="str">
        <x:v>JOB-1001</x:v>
      </x:c>
      <x:c r="D2" s="28" t="n">
        <x:v>46200</x:v>
      </x:c>
      <x:c r="E2" s="28" t="n">
        <x:v>46211</x:v>
      </x:c>
      <x:c r="F2" s="15" t="str">
        <x:v>Cleared</x:v>
      </x:c>
      <x:c r="G2" s="15" t="str">
        <x:v>Electric/Gas</x:v>
      </x:c>
      <x:c r="H2" s="15" t="str">
        <x:v>https://example.com/locate/811-PA-10001</x:v>
      </x:c>
      <x:c r="I2" s="15" t="str">
        <x:f>IF(COUNTA(A2:H2)=0,"",IF(F2="Cleared","Yes","No"))</x:f>
        <x:v>Yes</x:v>
      </x:c>
      <x:c r="J2" s="15" t="str">
        <x:f>IF(COUNTA(A2:H2)=0,"",TEXTJOIN("; ",TRUE,IF(B2="","Missing project",""),IF(C2="","Missing job",""),IF(D2="","Missing request date",""),IF(E2&lt;TODAY(),"Expired locate",""),IF(F2&lt;&gt;"Cleared","Not clear to work","")))</x:f>
      </x:c>
    </x:row>
    <x:row r="3" ht="20" customHeight="1">
      <x:c r="A3" s="15" t="str">
        <x:v>811-NJ-20001</x:v>
      </x:c>
      <x:c r="B3" s="15" t="str">
        <x:v>PRJ-1002</x:v>
      </x:c>
      <x:c r="C3" s="15" t="str">
        <x:v>JOB-2001</x:v>
      </x:c>
      <x:c r="D3" s="28" t="n">
        <x:v>46199</x:v>
      </x:c>
      <x:c r="E3" s="28" t="n">
        <x:v>46206</x:v>
      </x:c>
      <x:c r="F3" s="15" t="str">
        <x:v>Pending</x:v>
      </x:c>
      <x:c r="G3" s="15" t="str">
        <x:v>Water</x:v>
      </x:c>
      <x:c r="H3" s="15" t="str">
        <x:v>https://example.com/locate/811-NJ-20001</x:v>
      </x:c>
      <x:c r="I3" s="15" t="str">
        <x:f>IF(COUNTA(A3:H3)=0,"",IF(F3="Cleared","Yes","No"))</x:f>
        <x:v>No</x:v>
      </x:c>
      <x:c r="J3" s="15" t="str">
        <x:f>IF(COUNTA(A3:H3)=0,"",TEXTJOIN("; ",TRUE,IF(B3="","Missing project",""),IF(C3="","Missing job",""),IF(D3="","Missing request date",""),IF(E3&lt;TODAY(),"Expired locate",""),IF(F3&lt;&gt;"Cleared","Not clear to work","")))</x:f>
        <x:v>Not clear to work</x:v>
      </x:c>
    </x:row>
    <x:row r="4" ht="20" customHeight="1">
      <x:c r="A4" s="15" t="str">
        <x:v>811-NY-30001</x:v>
      </x:c>
      <x:c r="B4" s="15" t="str">
        <x:v>PRJ-1003</x:v>
      </x:c>
      <x:c r="C4" s="15" t="str">
        <x:v>JOB-3001</x:v>
      </x:c>
      <x:c r="D4" s="28" t="n">
        <x:v>46204</x:v>
      </x:c>
      <x:c r="E4" s="28" t="n">
        <x:v>46214</x:v>
      </x:c>
      <x:c r="F4" s="15" t="str">
        <x:v>Requested</x:v>
      </x:c>
      <x:c r="G4" s="15" t="str">
        <x:v>All</x:v>
      </x:c>
      <x:c r="H4" s="15" t="str">
        <x:v>https://example.com/locate/811-NY-30001</x:v>
      </x:c>
      <x:c r="I4" s="15" t="str">
        <x:f>IF(COUNTA(A4:H4)=0,"",IF(F4="Cleared","Yes","No"))</x:f>
        <x:v>No</x:v>
      </x:c>
      <x:c r="J4" s="15" t="str">
        <x:f>IF(COUNTA(A4:H4)=0,"",TEXTJOIN("; ",TRUE,IF(B4="","Missing project",""),IF(C4="","Missing job",""),IF(D4="","Missing request date",""),IF(E4&lt;TODAY(),"Expired locate",""),IF(F4&lt;&gt;"Cleared","Not clear to work","")))</x:f>
        <x:v>Not clear to work</x:v>
      </x:c>
    </x:row>
    <x:row r="5" ht="20" customHeight="1">
      <x:c r="A5" s="15"/>
      <x:c r="B5" s="15"/>
      <x:c r="C5" s="15"/>
      <x:c r="D5" s="28"/>
      <x:c r="E5" s="28"/>
      <x:c r="F5" s="15"/>
      <x:c r="G5" s="15"/>
      <x:c r="H5" s="15"/>
      <x:c r="I5" s="15" t="str">
        <x:f>IF(COUNTA(A5:H5)=0,"",IF(F5="Cleared","Yes","No"))</x:f>
      </x:c>
      <x:c r="J5" s="15" t="str">
        <x:f>IF(COUNTA(A5:H5)=0,"",TEXTJOIN("; ",TRUE,IF(B5="","Missing project",""),IF(C5="","Missing job",""),IF(D5="","Missing request date",""),IF(E5&lt;TODAY(),"Expired locate",""),IF(F5&lt;&gt;"Cleared","Not clear to work","")))</x:f>
      </x:c>
    </x:row>
    <x:row r="6" ht="20" customHeight="1">
      <x:c r="A6" s="15"/>
      <x:c r="B6" s="15"/>
      <x:c r="C6" s="15"/>
      <x:c r="D6" s="28"/>
      <x:c r="E6" s="28"/>
      <x:c r="F6" s="15"/>
      <x:c r="G6" s="15"/>
      <x:c r="H6" s="15"/>
      <x:c r="I6" s="15" t="str">
        <x:f>IF(COUNTA(A6:H6)=0,"",IF(F6="Cleared","Yes","No"))</x:f>
      </x:c>
      <x:c r="J6" s="15" t="str">
        <x:f>IF(COUNTA(A6:H6)=0,"",TEXTJOIN("; ",TRUE,IF(B6="","Missing project",""),IF(C6="","Missing job",""),IF(D6="","Missing request date",""),IF(E6&lt;TODAY(),"Expired locate",""),IF(F6&lt;&gt;"Cleared","Not clear to work","")))</x:f>
      </x:c>
    </x:row>
    <x:row r="7" ht="20" customHeight="1">
      <x:c r="A7" s="15"/>
      <x:c r="B7" s="15"/>
      <x:c r="C7" s="15"/>
      <x:c r="D7" s="28"/>
      <x:c r="E7" s="28"/>
      <x:c r="F7" s="15"/>
      <x:c r="G7" s="15"/>
      <x:c r="H7" s="15"/>
      <x:c r="I7" s="15" t="str">
        <x:f>IF(COUNTA(A7:H7)=0,"",IF(F7="Cleared","Yes","No"))</x:f>
      </x:c>
      <x:c r="J7" s="15" t="str">
        <x:f>IF(COUNTA(A7:H7)=0,"",TEXTJOIN("; ",TRUE,IF(B7="","Missing project",""),IF(C7="","Missing job",""),IF(D7="","Missing request date",""),IF(E7&lt;TODAY(),"Expired locate",""),IF(F7&lt;&gt;"Cleared","Not clear to work","")))</x:f>
      </x:c>
    </x:row>
    <x:row r="8" ht="20" customHeight="1">
      <x:c r="A8" s="15"/>
      <x:c r="B8" s="15"/>
      <x:c r="C8" s="15"/>
      <x:c r="D8" s="28"/>
      <x:c r="E8" s="28"/>
      <x:c r="F8" s="15"/>
      <x:c r="G8" s="15"/>
      <x:c r="H8" s="15"/>
      <x:c r="I8" s="15" t="str">
        <x:f>IF(COUNTA(A8:H8)=0,"",IF(F8="Cleared","Yes","No"))</x:f>
      </x:c>
      <x:c r="J8" s="15" t="str">
        <x:f>IF(COUNTA(A8:H8)=0,"",TEXTJOIN("; ",TRUE,IF(B8="","Missing project",""),IF(C8="","Missing job",""),IF(D8="","Missing request date",""),IF(E8&lt;TODAY(),"Expired locate",""),IF(F8&lt;&gt;"Cleared","Not clear to work","")))</x:f>
      </x:c>
    </x:row>
    <x:row r="9" ht="20" customHeight="1">
      <x:c r="A9" s="15"/>
      <x:c r="B9" s="15"/>
      <x:c r="C9" s="15"/>
      <x:c r="D9" s="28"/>
      <x:c r="E9" s="28"/>
      <x:c r="F9" s="15"/>
      <x:c r="G9" s="15"/>
      <x:c r="H9" s="15"/>
      <x:c r="I9" s="15" t="str">
        <x:f>IF(COUNTA(A9:H9)=0,"",IF(F9="Cleared","Yes","No"))</x:f>
      </x:c>
      <x:c r="J9" s="15" t="str">
        <x:f>IF(COUNTA(A9:H9)=0,"",TEXTJOIN("; ",TRUE,IF(B9="","Missing project",""),IF(C9="","Missing job",""),IF(D9="","Missing request date",""),IF(E9&lt;TODAY(),"Expired locate",""),IF(F9&lt;&gt;"Cleared","Not clear to work","")))</x:f>
      </x:c>
    </x:row>
    <x:row r="10" ht="20" customHeight="1">
      <x:c r="A10" s="15"/>
      <x:c r="B10" s="15"/>
      <x:c r="C10" s="15"/>
      <x:c r="D10" s="28"/>
      <x:c r="E10" s="28"/>
      <x:c r="F10" s="15"/>
      <x:c r="G10" s="15"/>
      <x:c r="H10" s="15"/>
      <x:c r="I10" s="15" t="str">
        <x:f>IF(COUNTA(A10:H10)=0,"",IF(F10="Cleared","Yes","No"))</x:f>
      </x:c>
      <x:c r="J10" s="15" t="str">
        <x:f>IF(COUNTA(A10:H10)=0,"",TEXTJOIN("; ",TRUE,IF(B10="","Missing project",""),IF(C10="","Missing job",""),IF(D10="","Missing request date",""),IF(E10&lt;TODAY(),"Expired locate",""),IF(F10&lt;&gt;"Cleared","Not clear to work","")))</x:f>
      </x:c>
    </x:row>
    <x:row r="11" ht="20" customHeight="1">
      <x:c r="A11" s="15"/>
      <x:c r="B11" s="15"/>
      <x:c r="C11" s="15"/>
      <x:c r="D11" s="28"/>
      <x:c r="E11" s="28"/>
      <x:c r="F11" s="15"/>
      <x:c r="G11" s="15"/>
      <x:c r="H11" s="15"/>
      <x:c r="I11" s="15" t="str">
        <x:f>IF(COUNTA(A11:H11)=0,"",IF(F11="Cleared","Yes","No"))</x:f>
      </x:c>
      <x:c r="J11" s="15" t="str">
        <x:f>IF(COUNTA(A11:H11)=0,"",TEXTJOIN("; ",TRUE,IF(B11="","Missing project",""),IF(C11="","Missing job",""),IF(D11="","Missing request date",""),IF(E11&lt;TODAY(),"Expired locate",""),IF(F11&lt;&gt;"Cleared","Not clear to work","")))</x:f>
      </x:c>
    </x:row>
    <x:row r="12" ht="20" customHeight="1">
      <x:c r="A12" s="15"/>
      <x:c r="B12" s="15"/>
      <x:c r="C12" s="15"/>
      <x:c r="D12" s="28"/>
      <x:c r="E12" s="28"/>
      <x:c r="F12" s="15"/>
      <x:c r="G12" s="15"/>
      <x:c r="H12" s="15"/>
      <x:c r="I12" s="15" t="str">
        <x:f>IF(COUNTA(A12:H12)=0,"",IF(F12="Cleared","Yes","No"))</x:f>
      </x:c>
      <x:c r="J12" s="15" t="str">
        <x:f>IF(COUNTA(A12:H12)=0,"",TEXTJOIN("; ",TRUE,IF(B12="","Missing project",""),IF(C12="","Missing job",""),IF(D12="","Missing request date",""),IF(E12&lt;TODAY(),"Expired locate",""),IF(F12&lt;&gt;"Cleared","Not clear to work","")))</x:f>
      </x:c>
    </x:row>
    <x:row r="13" ht="20" customHeight="1">
      <x:c r="A13" s="15"/>
      <x:c r="B13" s="15"/>
      <x:c r="C13" s="15"/>
      <x:c r="D13" s="28"/>
      <x:c r="E13" s="28"/>
      <x:c r="F13" s="15"/>
      <x:c r="G13" s="15"/>
      <x:c r="H13" s="15"/>
      <x:c r="I13" s="15" t="str">
        <x:f>IF(COUNTA(A13:H13)=0,"",IF(F13="Cleared","Yes","No"))</x:f>
      </x:c>
      <x:c r="J13" s="15" t="str">
        <x:f>IF(COUNTA(A13:H13)=0,"",TEXTJOIN("; ",TRUE,IF(B13="","Missing project",""),IF(C13="","Missing job",""),IF(D13="","Missing request date",""),IF(E13&lt;TODAY(),"Expired locate",""),IF(F13&lt;&gt;"Cleared","Not clear to work","")))</x:f>
      </x:c>
    </x:row>
    <x:row r="14" ht="20" customHeight="1">
      <x:c r="A14" s="15"/>
      <x:c r="B14" s="15"/>
      <x:c r="C14" s="15"/>
      <x:c r="D14" s="28"/>
      <x:c r="E14" s="28"/>
      <x:c r="F14" s="15"/>
      <x:c r="G14" s="15"/>
      <x:c r="H14" s="15"/>
      <x:c r="I14" s="15" t="str">
        <x:f>IF(COUNTA(A14:H14)=0,"",IF(F14="Cleared","Yes","No"))</x:f>
      </x:c>
      <x:c r="J14" s="15" t="str">
        <x:f>IF(COUNTA(A14:H14)=0,"",TEXTJOIN("; ",TRUE,IF(B14="","Missing project",""),IF(C14="","Missing job",""),IF(D14="","Missing request date",""),IF(E14&lt;TODAY(),"Expired locate",""),IF(F14&lt;&gt;"Cleared","Not clear to work","")))</x:f>
      </x:c>
    </x:row>
    <x:row r="15" ht="20" customHeight="1">
      <x:c r="A15" s="15"/>
      <x:c r="B15" s="15"/>
      <x:c r="C15" s="15"/>
      <x:c r="D15" s="28"/>
      <x:c r="E15" s="28"/>
      <x:c r="F15" s="15"/>
      <x:c r="G15" s="15"/>
      <x:c r="H15" s="15"/>
      <x:c r="I15" s="15" t="str">
        <x:f>IF(COUNTA(A15:H15)=0,"",IF(F15="Cleared","Yes","No"))</x:f>
      </x:c>
      <x:c r="J15" s="15" t="str">
        <x:f>IF(COUNTA(A15:H15)=0,"",TEXTJOIN("; ",TRUE,IF(B15="","Missing project",""),IF(C15="","Missing job",""),IF(D15="","Missing request date",""),IF(E15&lt;TODAY(),"Expired locate",""),IF(F15&lt;&gt;"Cleared","Not clear to work","")))</x:f>
      </x:c>
    </x:row>
    <x:row r="16" ht="20" customHeight="1">
      <x:c r="A16" s="15"/>
      <x:c r="B16" s="15"/>
      <x:c r="C16" s="15"/>
      <x:c r="D16" s="28"/>
      <x:c r="E16" s="28"/>
      <x:c r="F16" s="15"/>
      <x:c r="G16" s="15"/>
      <x:c r="H16" s="15"/>
      <x:c r="I16" s="15" t="str">
        <x:f>IF(COUNTA(A16:H16)=0,"",IF(F16="Cleared","Yes","No"))</x:f>
      </x:c>
      <x:c r="J16" s="15" t="str">
        <x:f>IF(COUNTA(A16:H16)=0,"",TEXTJOIN("; ",TRUE,IF(B16="","Missing project",""),IF(C16="","Missing job",""),IF(D16="","Missing request date",""),IF(E16&lt;TODAY(),"Expired locate",""),IF(F16&lt;&gt;"Cleared","Not clear to work","")))</x:f>
      </x:c>
    </x:row>
    <x:row r="17" ht="20" customHeight="1">
      <x:c r="A17" s="15"/>
      <x:c r="B17" s="15"/>
      <x:c r="C17" s="15"/>
      <x:c r="D17" s="28"/>
      <x:c r="E17" s="28"/>
      <x:c r="F17" s="15"/>
      <x:c r="G17" s="15"/>
      <x:c r="H17" s="15"/>
      <x:c r="I17" s="15" t="str">
        <x:f>IF(COUNTA(A17:H17)=0,"",IF(F17="Cleared","Yes","No"))</x:f>
      </x:c>
      <x:c r="J17" s="15" t="str">
        <x:f>IF(COUNTA(A17:H17)=0,"",TEXTJOIN("; ",TRUE,IF(B17="","Missing project",""),IF(C17="","Missing job",""),IF(D17="","Missing request date",""),IF(E17&lt;TODAY(),"Expired locate",""),IF(F17&lt;&gt;"Cleared","Not clear to work","")))</x:f>
      </x:c>
    </x:row>
    <x:row r="18" ht="20" customHeight="1">
      <x:c r="A18" s="15"/>
      <x:c r="B18" s="15"/>
      <x:c r="C18" s="15"/>
      <x:c r="D18" s="28"/>
      <x:c r="E18" s="28"/>
      <x:c r="F18" s="15"/>
      <x:c r="G18" s="15"/>
      <x:c r="H18" s="15"/>
      <x:c r="I18" s="15" t="str">
        <x:f>IF(COUNTA(A18:H18)=0,"",IF(F18="Cleared","Yes","No"))</x:f>
      </x:c>
      <x:c r="J18" s="15" t="str">
        <x:f>IF(COUNTA(A18:H18)=0,"",TEXTJOIN("; ",TRUE,IF(B18="","Missing project",""),IF(C18="","Missing job",""),IF(D18="","Missing request date",""),IF(E18&lt;TODAY(),"Expired locate",""),IF(F18&lt;&gt;"Cleared","Not clear to work","")))</x:f>
      </x:c>
    </x:row>
    <x:row r="19" ht="20" customHeight="1">
      <x:c r="A19" s="15"/>
      <x:c r="B19" s="15"/>
      <x:c r="C19" s="15"/>
      <x:c r="D19" s="28"/>
      <x:c r="E19" s="28"/>
      <x:c r="F19" s="15"/>
      <x:c r="G19" s="15"/>
      <x:c r="H19" s="15"/>
      <x:c r="I19" s="15" t="str">
        <x:f>IF(COUNTA(A19:H19)=0,"",IF(F19="Cleared","Yes","No"))</x:f>
      </x:c>
      <x:c r="J19" s="15" t="str">
        <x:f>IF(COUNTA(A19:H19)=0,"",TEXTJOIN("; ",TRUE,IF(B19="","Missing project",""),IF(C19="","Missing job",""),IF(D19="","Missing request date",""),IF(E19&lt;TODAY(),"Expired locate",""),IF(F19&lt;&gt;"Cleared","Not clear to work","")))</x:f>
      </x:c>
    </x:row>
    <x:row r="20" ht="20" customHeight="1">
      <x:c r="A20" s="15"/>
      <x:c r="B20" s="15"/>
      <x:c r="C20" s="15"/>
      <x:c r="D20" s="28"/>
      <x:c r="E20" s="28"/>
      <x:c r="F20" s="15"/>
      <x:c r="G20" s="15"/>
      <x:c r="H20" s="15"/>
      <x:c r="I20" s="15" t="str">
        <x:f>IF(COUNTA(A20:H20)=0,"",IF(F20="Cleared","Yes","No"))</x:f>
      </x:c>
      <x:c r="J20" s="15" t="str">
        <x:f>IF(COUNTA(A20:H20)=0,"",TEXTJOIN("; ",TRUE,IF(B20="","Missing project",""),IF(C20="","Missing job",""),IF(D20="","Missing request date",""),IF(E20&lt;TODAY(),"Expired locate",""),IF(F20&lt;&gt;"Cleared","Not clear to work","")))</x:f>
      </x:c>
    </x:row>
    <x:row r="21" ht="20" customHeight="1">
      <x:c r="A21" s="15"/>
      <x:c r="B21" s="15"/>
      <x:c r="C21" s="15"/>
      <x:c r="D21" s="28"/>
      <x:c r="E21" s="28"/>
      <x:c r="F21" s="15"/>
      <x:c r="G21" s="15"/>
      <x:c r="H21" s="15"/>
      <x:c r="I21" s="15" t="str">
        <x:f>IF(COUNTA(A21:H21)=0,"",IF(F21="Cleared","Yes","No"))</x:f>
      </x:c>
      <x:c r="J21" s="15" t="str">
        <x:f>IF(COUNTA(A21:H21)=0,"",TEXTJOIN("; ",TRUE,IF(B21="","Missing project",""),IF(C21="","Missing job",""),IF(D21="","Missing request date",""),IF(E21&lt;TODAY(),"Expired locate",""),IF(F21&lt;&gt;"Cleared","Not clear to work","")))</x:f>
      </x:c>
    </x:row>
    <x:row r="22" ht="20" customHeight="1">
      <x:c r="A22" s="15"/>
      <x:c r="B22" s="15"/>
      <x:c r="C22" s="15"/>
      <x:c r="D22" s="28"/>
      <x:c r="E22" s="28"/>
      <x:c r="F22" s="15"/>
      <x:c r="G22" s="15"/>
      <x:c r="H22" s="15"/>
      <x:c r="I22" s="15" t="str">
        <x:f>IF(COUNTA(A22:H22)=0,"",IF(F22="Cleared","Yes","No"))</x:f>
      </x:c>
      <x:c r="J22" s="15" t="str">
        <x:f>IF(COUNTA(A22:H22)=0,"",TEXTJOIN("; ",TRUE,IF(B22="","Missing project",""),IF(C22="","Missing job",""),IF(D22="","Missing request date",""),IF(E22&lt;TODAY(),"Expired locate",""),IF(F22&lt;&gt;"Cleared","Not clear to work","")))</x:f>
      </x:c>
    </x:row>
    <x:row r="23" ht="20" customHeight="1">
      <x:c r="A23" s="15"/>
      <x:c r="B23" s="15"/>
      <x:c r="C23" s="15"/>
      <x:c r="D23" s="28"/>
      <x:c r="E23" s="28"/>
      <x:c r="F23" s="15"/>
      <x:c r="G23" s="15"/>
      <x:c r="H23" s="15"/>
      <x:c r="I23" s="15" t="str">
        <x:f>IF(COUNTA(A23:H23)=0,"",IF(F23="Cleared","Yes","No"))</x:f>
      </x:c>
      <x:c r="J23" s="15" t="str">
        <x:f>IF(COUNTA(A23:H23)=0,"",TEXTJOIN("; ",TRUE,IF(B23="","Missing project",""),IF(C23="","Missing job",""),IF(D23="","Missing request date",""),IF(E23&lt;TODAY(),"Expired locate",""),IF(F23&lt;&gt;"Cleared","Not clear to work","")))</x:f>
      </x:c>
    </x:row>
    <x:row r="24" ht="20" customHeight="1">
      <x:c r="A24" s="15"/>
      <x:c r="B24" s="15"/>
      <x:c r="C24" s="15"/>
      <x:c r="D24" s="28"/>
      <x:c r="E24" s="28"/>
      <x:c r="F24" s="15"/>
      <x:c r="G24" s="15"/>
      <x:c r="H24" s="15"/>
      <x:c r="I24" s="15" t="str">
        <x:f>IF(COUNTA(A24:H24)=0,"",IF(F24="Cleared","Yes","No"))</x:f>
      </x:c>
      <x:c r="J24" s="15" t="str">
        <x:f>IF(COUNTA(A24:H24)=0,"",TEXTJOIN("; ",TRUE,IF(B24="","Missing project",""),IF(C24="","Missing job",""),IF(D24="","Missing request date",""),IF(E24&lt;TODAY(),"Expired locate",""),IF(F24&lt;&gt;"Cleared","Not clear to work","")))</x:f>
      </x:c>
    </x:row>
    <x:row r="25" ht="20" customHeight="1">
      <x:c r="A25" s="15"/>
      <x:c r="B25" s="15"/>
      <x:c r="C25" s="15"/>
      <x:c r="D25" s="28"/>
      <x:c r="E25" s="28"/>
      <x:c r="F25" s="15"/>
      <x:c r="G25" s="15"/>
      <x:c r="H25" s="15"/>
      <x:c r="I25" s="15" t="str">
        <x:f>IF(COUNTA(A25:H25)=0,"",IF(F25="Cleared","Yes","No"))</x:f>
      </x:c>
      <x:c r="J25" s="15" t="str">
        <x:f>IF(COUNTA(A25:H25)=0,"",TEXTJOIN("; ",TRUE,IF(B25="","Missing project",""),IF(C25="","Missing job",""),IF(D25="","Missing request date",""),IF(E25&lt;TODAY(),"Expired locate",""),IF(F25&lt;&gt;"Cleared","Not clear to work","")))</x:f>
      </x:c>
    </x:row>
    <x:row r="26" ht="20" customHeight="1">
      <x:c r="A26" s="15"/>
      <x:c r="B26" s="15"/>
      <x:c r="C26" s="15"/>
      <x:c r="D26" s="28"/>
      <x:c r="E26" s="28"/>
      <x:c r="F26" s="15"/>
      <x:c r="G26" s="15"/>
      <x:c r="H26" s="15"/>
      <x:c r="I26" s="15" t="str">
        <x:f>IF(COUNTA(A26:H26)=0,"",IF(F26="Cleared","Yes","No"))</x:f>
      </x:c>
      <x:c r="J26" s="15" t="str">
        <x:f>IF(COUNTA(A26:H26)=0,"",TEXTJOIN("; ",TRUE,IF(B26="","Missing project",""),IF(C26="","Missing job",""),IF(D26="","Missing request date",""),IF(E26&lt;TODAY(),"Expired locate",""),IF(F26&lt;&gt;"Cleared","Not clear to work","")))</x:f>
      </x:c>
    </x:row>
    <x:row r="27" ht="20" customHeight="1">
      <x:c r="A27" s="15"/>
      <x:c r="B27" s="15"/>
      <x:c r="C27" s="15"/>
      <x:c r="D27" s="28"/>
      <x:c r="E27" s="28"/>
      <x:c r="F27" s="15"/>
      <x:c r="G27" s="15"/>
      <x:c r="H27" s="15"/>
      <x:c r="I27" s="15" t="str">
        <x:f>IF(COUNTA(A27:H27)=0,"",IF(F27="Cleared","Yes","No"))</x:f>
      </x:c>
      <x:c r="J27" s="15" t="str">
        <x:f>IF(COUNTA(A27:H27)=0,"",TEXTJOIN("; ",TRUE,IF(B27="","Missing project",""),IF(C27="","Missing job",""),IF(D27="","Missing request date",""),IF(E27&lt;TODAY(),"Expired locate",""),IF(F27&lt;&gt;"Cleared","Not clear to work","")))</x:f>
      </x:c>
    </x:row>
    <x:row r="28" ht="20" customHeight="1">
      <x:c r="A28" s="15"/>
      <x:c r="B28" s="15"/>
      <x:c r="C28" s="15"/>
      <x:c r="D28" s="28"/>
      <x:c r="E28" s="28"/>
      <x:c r="F28" s="15"/>
      <x:c r="G28" s="15"/>
      <x:c r="H28" s="15"/>
      <x:c r="I28" s="15" t="str">
        <x:f>IF(COUNTA(A28:H28)=0,"",IF(F28="Cleared","Yes","No"))</x:f>
      </x:c>
      <x:c r="J28" s="15" t="str">
        <x:f>IF(COUNTA(A28:H28)=0,"",TEXTJOIN("; ",TRUE,IF(B28="","Missing project",""),IF(C28="","Missing job",""),IF(D28="","Missing request date",""),IF(E28&lt;TODAY(),"Expired locate",""),IF(F28&lt;&gt;"Cleared","Not clear to work","")))</x:f>
      </x:c>
    </x:row>
    <x:row r="29" ht="20" customHeight="1">
      <x:c r="A29" s="15"/>
      <x:c r="B29" s="15"/>
      <x:c r="C29" s="15"/>
      <x:c r="D29" s="28"/>
      <x:c r="E29" s="28"/>
      <x:c r="F29" s="15"/>
      <x:c r="G29" s="15"/>
      <x:c r="H29" s="15"/>
      <x:c r="I29" s="15" t="str">
        <x:f>IF(COUNTA(A29:H29)=0,"",IF(F29="Cleared","Yes","No"))</x:f>
      </x:c>
      <x:c r="J29" s="15" t="str">
        <x:f>IF(COUNTA(A29:H29)=0,"",TEXTJOIN("; ",TRUE,IF(B29="","Missing project",""),IF(C29="","Missing job",""),IF(D29="","Missing request date",""),IF(E29&lt;TODAY(),"Expired locate",""),IF(F29&lt;&gt;"Cleared","Not clear to work","")))</x:f>
      </x:c>
    </x:row>
    <x:row r="30" ht="20" customHeight="1">
      <x:c r="A30" s="15"/>
      <x:c r="B30" s="15"/>
      <x:c r="C30" s="15"/>
      <x:c r="D30" s="28"/>
      <x:c r="E30" s="28"/>
      <x:c r="F30" s="15"/>
      <x:c r="G30" s="15"/>
      <x:c r="H30" s="15"/>
      <x:c r="I30" s="15" t="str">
        <x:f>IF(COUNTA(A30:H30)=0,"",IF(F30="Cleared","Yes","No"))</x:f>
      </x:c>
      <x:c r="J30" s="15" t="str">
        <x:f>IF(COUNTA(A30:H30)=0,"",TEXTJOIN("; ",TRUE,IF(B30="","Missing project",""),IF(C30="","Missing job",""),IF(D30="","Missing request date",""),IF(E30&lt;TODAY(),"Expired locate",""),IF(F30&lt;&gt;"Cleared","Not clear to work","")))</x:f>
      </x:c>
    </x:row>
    <x:row r="31" ht="20" customHeight="1">
      <x:c r="A31" s="15"/>
      <x:c r="B31" s="15"/>
      <x:c r="C31" s="15"/>
      <x:c r="D31" s="28"/>
      <x:c r="E31" s="28"/>
      <x:c r="F31" s="15"/>
      <x:c r="G31" s="15"/>
      <x:c r="H31" s="15"/>
      <x:c r="I31" s="15" t="str">
        <x:f>IF(COUNTA(A31:H31)=0,"",IF(F31="Cleared","Yes","No"))</x:f>
      </x:c>
      <x:c r="J31" s="15" t="str">
        <x:f>IF(COUNTA(A31:H31)=0,"",TEXTJOIN("; ",TRUE,IF(B31="","Missing project",""),IF(C31="","Missing job",""),IF(D31="","Missing request date",""),IF(E31&lt;TODAY(),"Expired locate",""),IF(F31&lt;&gt;"Cleared","Not clear to work","")))</x:f>
      </x:c>
    </x:row>
    <x:row r="32" ht="20" customHeight="1">
      <x:c r="A32" s="15"/>
      <x:c r="B32" s="15"/>
      <x:c r="C32" s="15"/>
      <x:c r="D32" s="28"/>
      <x:c r="E32" s="28"/>
      <x:c r="F32" s="15"/>
      <x:c r="G32" s="15"/>
      <x:c r="H32" s="15"/>
      <x:c r="I32" s="15" t="str">
        <x:f>IF(COUNTA(A32:H32)=0,"",IF(F32="Cleared","Yes","No"))</x:f>
      </x:c>
      <x:c r="J32" s="15" t="str">
        <x:f>IF(COUNTA(A32:H32)=0,"",TEXTJOIN("; ",TRUE,IF(B32="","Missing project",""),IF(C32="","Missing job",""),IF(D32="","Missing request date",""),IF(E32&lt;TODAY(),"Expired locate",""),IF(F32&lt;&gt;"Cleared","Not clear to work","")))</x:f>
      </x:c>
    </x:row>
    <x:row r="33" ht="20" customHeight="1">
      <x:c r="A33" s="15"/>
      <x:c r="B33" s="15"/>
      <x:c r="C33" s="15"/>
      <x:c r="D33" s="28"/>
      <x:c r="E33" s="28"/>
      <x:c r="F33" s="15"/>
      <x:c r="G33" s="15"/>
      <x:c r="H33" s="15"/>
      <x:c r="I33" s="15" t="str">
        <x:f>IF(COUNTA(A33:H33)=0,"",IF(F33="Cleared","Yes","No"))</x:f>
      </x:c>
      <x:c r="J33" s="15" t="str">
        <x:f>IF(COUNTA(A33:H33)=0,"",TEXTJOIN("; ",TRUE,IF(B33="","Missing project",""),IF(C33="","Missing job",""),IF(D33="","Missing request date",""),IF(E33&lt;TODAY(),"Expired locate",""),IF(F33&lt;&gt;"Cleared","Not clear to work","")))</x:f>
      </x:c>
    </x:row>
    <x:row r="34" ht="20" customHeight="1">
      <x:c r="A34" s="15"/>
      <x:c r="B34" s="15"/>
      <x:c r="C34" s="15"/>
      <x:c r="D34" s="28"/>
      <x:c r="E34" s="28"/>
      <x:c r="F34" s="15"/>
      <x:c r="G34" s="15"/>
      <x:c r="H34" s="15"/>
      <x:c r="I34" s="15" t="str">
        <x:f>IF(COUNTA(A34:H34)=0,"",IF(F34="Cleared","Yes","No"))</x:f>
      </x:c>
      <x:c r="J34" s="15" t="str">
        <x:f>IF(COUNTA(A34:H34)=0,"",TEXTJOIN("; ",TRUE,IF(B34="","Missing project",""),IF(C34="","Missing job",""),IF(D34="","Missing request date",""),IF(E34&lt;TODAY(),"Expired locate",""),IF(F34&lt;&gt;"Cleared","Not clear to work","")))</x:f>
      </x:c>
    </x:row>
    <x:row r="35" ht="20" customHeight="1">
      <x:c r="A35" s="15"/>
      <x:c r="B35" s="15"/>
      <x:c r="C35" s="15"/>
      <x:c r="D35" s="28"/>
      <x:c r="E35" s="28"/>
      <x:c r="F35" s="15"/>
      <x:c r="G35" s="15"/>
      <x:c r="H35" s="15"/>
      <x:c r="I35" s="15" t="str">
        <x:f>IF(COUNTA(A35:H35)=0,"",IF(F35="Cleared","Yes","No"))</x:f>
      </x:c>
      <x:c r="J35" s="15" t="str">
        <x:f>IF(COUNTA(A35:H35)=0,"",TEXTJOIN("; ",TRUE,IF(B35="","Missing project",""),IF(C35="","Missing job",""),IF(D35="","Missing request date",""),IF(E35&lt;TODAY(),"Expired locate",""),IF(F35&lt;&gt;"Cleared","Not clear to work","")))</x:f>
      </x:c>
    </x:row>
    <x:row r="36" ht="20" customHeight="1">
      <x:c r="A36" s="15"/>
      <x:c r="B36" s="15"/>
      <x:c r="C36" s="15"/>
      <x:c r="D36" s="28"/>
      <x:c r="E36" s="28"/>
      <x:c r="F36" s="15"/>
      <x:c r="G36" s="15"/>
      <x:c r="H36" s="15"/>
      <x:c r="I36" s="15" t="str">
        <x:f>IF(COUNTA(A36:H36)=0,"",IF(F36="Cleared","Yes","No"))</x:f>
      </x:c>
      <x:c r="J36" s="15" t="str">
        <x:f>IF(COUNTA(A36:H36)=0,"",TEXTJOIN("; ",TRUE,IF(B36="","Missing project",""),IF(C36="","Missing job",""),IF(D36="","Missing request date",""),IF(E36&lt;TODAY(),"Expired locate",""),IF(F36&lt;&gt;"Cleared","Not clear to work","")))</x:f>
      </x:c>
    </x:row>
    <x:row r="37" ht="20" customHeight="1">
      <x:c r="A37" s="15"/>
      <x:c r="B37" s="15"/>
      <x:c r="C37" s="15"/>
      <x:c r="D37" s="28"/>
      <x:c r="E37" s="28"/>
      <x:c r="F37" s="15"/>
      <x:c r="G37" s="15"/>
      <x:c r="H37" s="15"/>
      <x:c r="I37" s="15" t="str">
        <x:f>IF(COUNTA(A37:H37)=0,"",IF(F37="Cleared","Yes","No"))</x:f>
      </x:c>
      <x:c r="J37" s="15" t="str">
        <x:f>IF(COUNTA(A37:H37)=0,"",TEXTJOIN("; ",TRUE,IF(B37="","Missing project",""),IF(C37="","Missing job",""),IF(D37="","Missing request date",""),IF(E37&lt;TODAY(),"Expired locate",""),IF(F37&lt;&gt;"Cleared","Not clear to work","")))</x:f>
      </x:c>
    </x:row>
    <x:row r="38" ht="20" customHeight="1">
      <x:c r="A38" s="15"/>
      <x:c r="B38" s="15"/>
      <x:c r="C38" s="15"/>
      <x:c r="D38" s="28"/>
      <x:c r="E38" s="28"/>
      <x:c r="F38" s="15"/>
      <x:c r="G38" s="15"/>
      <x:c r="H38" s="15"/>
      <x:c r="I38" s="15" t="str">
        <x:f>IF(COUNTA(A38:H38)=0,"",IF(F38="Cleared","Yes","No"))</x:f>
      </x:c>
      <x:c r="J38" s="15" t="str">
        <x:f>IF(COUNTA(A38:H38)=0,"",TEXTJOIN("; ",TRUE,IF(B38="","Missing project",""),IF(C38="","Missing job",""),IF(D38="","Missing request date",""),IF(E38&lt;TODAY(),"Expired locate",""),IF(F38&lt;&gt;"Cleared","Not clear to work","")))</x:f>
      </x:c>
    </x:row>
    <x:row r="39" ht="20" customHeight="1">
      <x:c r="A39" s="15"/>
      <x:c r="B39" s="15"/>
      <x:c r="C39" s="15"/>
      <x:c r="D39" s="28"/>
      <x:c r="E39" s="28"/>
      <x:c r="F39" s="15"/>
      <x:c r="G39" s="15"/>
      <x:c r="H39" s="15"/>
      <x:c r="I39" s="15" t="str">
        <x:f>IF(COUNTA(A39:H39)=0,"",IF(F39="Cleared","Yes","No"))</x:f>
      </x:c>
      <x:c r="J39" s="15" t="str">
        <x:f>IF(COUNTA(A39:H39)=0,"",TEXTJOIN("; ",TRUE,IF(B39="","Missing project",""),IF(C39="","Missing job",""),IF(D39="","Missing request date",""),IF(E39&lt;TODAY(),"Expired locate",""),IF(F39&lt;&gt;"Cleared","Not clear to work","")))</x:f>
      </x:c>
    </x:row>
    <x:row r="40" ht="20" customHeight="1">
      <x:c r="A40" s="15"/>
      <x:c r="B40" s="15"/>
      <x:c r="C40" s="15"/>
      <x:c r="D40" s="28"/>
      <x:c r="E40" s="28"/>
      <x:c r="F40" s="15"/>
      <x:c r="G40" s="15"/>
      <x:c r="H40" s="15"/>
      <x:c r="I40" s="15" t="str">
        <x:f>IF(COUNTA(A40:H40)=0,"",IF(F40="Cleared","Yes","No"))</x:f>
      </x:c>
      <x:c r="J40" s="15" t="str">
        <x:f>IF(COUNTA(A40:H40)=0,"",TEXTJOIN("; ",TRUE,IF(B40="","Missing project",""),IF(C40="","Missing job",""),IF(D40="","Missing request date",""),IF(E40&lt;TODAY(),"Expired locate",""),IF(F40&lt;&gt;"Cleared","Not clear to work","")))</x:f>
      </x:c>
    </x:row>
    <x:row r="41" ht="20" customHeight="1">
      <x:c r="A41" s="15"/>
      <x:c r="B41" s="15"/>
      <x:c r="C41" s="15"/>
      <x:c r="D41" s="28"/>
      <x:c r="E41" s="28"/>
      <x:c r="F41" s="15"/>
      <x:c r="G41" s="15"/>
      <x:c r="H41" s="15"/>
      <x:c r="I41" s="15" t="str">
        <x:f>IF(COUNTA(A41:H41)=0,"",IF(F41="Cleared","Yes","No"))</x:f>
      </x:c>
      <x:c r="J41" s="15" t="str">
        <x:f>IF(COUNTA(A41:H41)=0,"",TEXTJOIN("; ",TRUE,IF(B41="","Missing project",""),IF(C41="","Missing job",""),IF(D41="","Missing request date",""),IF(E41&lt;TODAY(),"Expired locate",""),IF(F41&lt;&gt;"Cleared","Not clear to work","")))</x:f>
      </x:c>
    </x:row>
    <x:row r="42" ht="20" customHeight="1">
      <x:c r="A42" s="15"/>
      <x:c r="B42" s="15"/>
      <x:c r="C42" s="15"/>
      <x:c r="D42" s="28"/>
      <x:c r="E42" s="28"/>
      <x:c r="F42" s="15"/>
      <x:c r="G42" s="15"/>
      <x:c r="H42" s="15"/>
      <x:c r="I42" s="15" t="str">
        <x:f>IF(COUNTA(A42:H42)=0,"",IF(F42="Cleared","Yes","No"))</x:f>
      </x:c>
      <x:c r="J42" s="15" t="str">
        <x:f>IF(COUNTA(A42:H42)=0,"",TEXTJOIN("; ",TRUE,IF(B42="","Missing project",""),IF(C42="","Missing job",""),IF(D42="","Missing request date",""),IF(E42&lt;TODAY(),"Expired locate",""),IF(F42&lt;&gt;"Cleared","Not clear to work","")))</x:f>
      </x:c>
    </x:row>
    <x:row r="43" ht="20" customHeight="1">
      <x:c r="A43" s="15"/>
      <x:c r="B43" s="15"/>
      <x:c r="C43" s="15"/>
      <x:c r="D43" s="28"/>
      <x:c r="E43" s="28"/>
      <x:c r="F43" s="15"/>
      <x:c r="G43" s="15"/>
      <x:c r="H43" s="15"/>
      <x:c r="I43" s="15" t="str">
        <x:f>IF(COUNTA(A43:H43)=0,"",IF(F43="Cleared","Yes","No"))</x:f>
      </x:c>
      <x:c r="J43" s="15" t="str">
        <x:f>IF(COUNTA(A43:H43)=0,"",TEXTJOIN("; ",TRUE,IF(B43="","Missing project",""),IF(C43="","Missing job",""),IF(D43="","Missing request date",""),IF(E43&lt;TODAY(),"Expired locate",""),IF(F43&lt;&gt;"Cleared","Not clear to work","")))</x:f>
      </x:c>
    </x:row>
    <x:row r="44" ht="20" customHeight="1">
      <x:c r="A44" s="15"/>
      <x:c r="B44" s="15"/>
      <x:c r="C44" s="15"/>
      <x:c r="D44" s="28"/>
      <x:c r="E44" s="28"/>
      <x:c r="F44" s="15"/>
      <x:c r="G44" s="15"/>
      <x:c r="H44" s="15"/>
      <x:c r="I44" s="15" t="str">
        <x:f>IF(COUNTA(A44:H44)=0,"",IF(F44="Cleared","Yes","No"))</x:f>
      </x:c>
      <x:c r="J44" s="15" t="str">
        <x:f>IF(COUNTA(A44:H44)=0,"",TEXTJOIN("; ",TRUE,IF(B44="","Missing project",""),IF(C44="","Missing job",""),IF(D44="","Missing request date",""),IF(E44&lt;TODAY(),"Expired locate",""),IF(F44&lt;&gt;"Cleared","Not clear to work","")))</x:f>
      </x:c>
    </x:row>
    <x:row r="45" ht="20" customHeight="1">
      <x:c r="A45" s="15"/>
      <x:c r="B45" s="15"/>
      <x:c r="C45" s="15"/>
      <x:c r="D45" s="28"/>
      <x:c r="E45" s="28"/>
      <x:c r="F45" s="15"/>
      <x:c r="G45" s="15"/>
      <x:c r="H45" s="15"/>
      <x:c r="I45" s="15" t="str">
        <x:f>IF(COUNTA(A45:H45)=0,"",IF(F45="Cleared","Yes","No"))</x:f>
      </x:c>
      <x:c r="J45" s="15" t="str">
        <x:f>IF(COUNTA(A45:H45)=0,"",TEXTJOIN("; ",TRUE,IF(B45="","Missing project",""),IF(C45="","Missing job",""),IF(D45="","Missing request date",""),IF(E45&lt;TODAY(),"Expired locate",""),IF(F45&lt;&gt;"Cleared","Not clear to work","")))</x:f>
      </x:c>
    </x:row>
    <x:row r="46" ht="20" customHeight="1">
      <x:c r="A46" s="15"/>
      <x:c r="B46" s="15"/>
      <x:c r="C46" s="15"/>
      <x:c r="D46" s="28"/>
      <x:c r="E46" s="28"/>
      <x:c r="F46" s="15"/>
      <x:c r="G46" s="15"/>
      <x:c r="H46" s="15"/>
      <x:c r="I46" s="15" t="str">
        <x:f>IF(COUNTA(A46:H46)=0,"",IF(F46="Cleared","Yes","No"))</x:f>
      </x:c>
      <x:c r="J46" s="15" t="str">
        <x:f>IF(COUNTA(A46:H46)=0,"",TEXTJOIN("; ",TRUE,IF(B46="","Missing project",""),IF(C46="","Missing job",""),IF(D46="","Missing request date",""),IF(E46&lt;TODAY(),"Expired locate",""),IF(F46&lt;&gt;"Cleared","Not clear to work","")))</x:f>
      </x:c>
    </x:row>
    <x:row r="47" ht="20" customHeight="1">
      <x:c r="A47" s="15"/>
      <x:c r="B47" s="15"/>
      <x:c r="C47" s="15"/>
      <x:c r="D47" s="28"/>
      <x:c r="E47" s="28"/>
      <x:c r="F47" s="15"/>
      <x:c r="G47" s="15"/>
      <x:c r="H47" s="15"/>
      <x:c r="I47" s="15" t="str">
        <x:f>IF(COUNTA(A47:H47)=0,"",IF(F47="Cleared","Yes","No"))</x:f>
      </x:c>
      <x:c r="J47" s="15" t="str">
        <x:f>IF(COUNTA(A47:H47)=0,"",TEXTJOIN("; ",TRUE,IF(B47="","Missing project",""),IF(C47="","Missing job",""),IF(D47="","Missing request date",""),IF(E47&lt;TODAY(),"Expired locate",""),IF(F47&lt;&gt;"Cleared","Not clear to work","")))</x:f>
      </x:c>
    </x:row>
    <x:row r="48" ht="20" customHeight="1">
      <x:c r="A48" s="15"/>
      <x:c r="B48" s="15"/>
      <x:c r="C48" s="15"/>
      <x:c r="D48" s="28"/>
      <x:c r="E48" s="28"/>
      <x:c r="F48" s="15"/>
      <x:c r="G48" s="15"/>
      <x:c r="H48" s="15"/>
      <x:c r="I48" s="15" t="str">
        <x:f>IF(COUNTA(A48:H48)=0,"",IF(F48="Cleared","Yes","No"))</x:f>
      </x:c>
      <x:c r="J48" s="15" t="str">
        <x:f>IF(COUNTA(A48:H48)=0,"",TEXTJOIN("; ",TRUE,IF(B48="","Missing project",""),IF(C48="","Missing job",""),IF(D48="","Missing request date",""),IF(E48&lt;TODAY(),"Expired locate",""),IF(F48&lt;&gt;"Cleared","Not clear to work","")))</x:f>
      </x:c>
    </x:row>
    <x:row r="49" ht="20" customHeight="1">
      <x:c r="A49" s="15"/>
      <x:c r="B49" s="15"/>
      <x:c r="C49" s="15"/>
      <x:c r="D49" s="28"/>
      <x:c r="E49" s="28"/>
      <x:c r="F49" s="15"/>
      <x:c r="G49" s="15"/>
      <x:c r="H49" s="15"/>
      <x:c r="I49" s="15" t="str">
        <x:f>IF(COUNTA(A49:H49)=0,"",IF(F49="Cleared","Yes","No"))</x:f>
      </x:c>
      <x:c r="J49" s="15" t="str">
        <x:f>IF(COUNTA(A49:H49)=0,"",TEXTJOIN("; ",TRUE,IF(B49="","Missing project",""),IF(C49="","Missing job",""),IF(D49="","Missing request date",""),IF(E49&lt;TODAY(),"Expired locate",""),IF(F49&lt;&gt;"Cleared","Not clear to work","")))</x:f>
      </x:c>
    </x:row>
    <x:row r="50" ht="20" customHeight="1">
      <x:c r="A50" s="15"/>
      <x:c r="B50" s="15"/>
      <x:c r="C50" s="15"/>
      <x:c r="D50" s="28"/>
      <x:c r="E50" s="28"/>
      <x:c r="F50" s="15"/>
      <x:c r="G50" s="15"/>
      <x:c r="H50" s="15"/>
      <x:c r="I50" s="15" t="str">
        <x:f>IF(COUNTA(A50:H50)=0,"",IF(F50="Cleared","Yes","No"))</x:f>
      </x:c>
      <x:c r="J50" s="15" t="str">
        <x:f>IF(COUNTA(A50:H50)=0,"",TEXTJOIN("; ",TRUE,IF(B50="","Missing project",""),IF(C50="","Missing job",""),IF(D50="","Missing request date",""),IF(E50&lt;TODAY(),"Expired locate",""),IF(F50&lt;&gt;"Cleared","Not clear to work","")))</x:f>
      </x:c>
    </x:row>
    <x:row r="51" ht="20" customHeight="1">
      <x:c r="A51" s="15"/>
      <x:c r="B51" s="15"/>
      <x:c r="C51" s="15"/>
      <x:c r="D51" s="28"/>
      <x:c r="E51" s="28"/>
      <x:c r="F51" s="15"/>
      <x:c r="G51" s="15"/>
      <x:c r="H51" s="15"/>
      <x:c r="I51" s="15" t="str">
        <x:f>IF(COUNTA(A51:H51)=0,"",IF(F51="Cleared","Yes","No"))</x:f>
      </x:c>
      <x:c r="J51" s="15" t="str">
        <x:f>IF(COUNTA(A51:H51)=0,"",TEXTJOIN("; ",TRUE,IF(B51="","Missing project",""),IF(C51="","Missing job",""),IF(D51="","Missing request date",""),IF(E51&lt;TODAY(),"Expired locate",""),IF(F51&lt;&gt;"Cleared","Not clear to work","")))</x:f>
      </x:c>
    </x:row>
    <x:row r="52" ht="20" customHeight="1">
      <x:c r="A52" s="15"/>
      <x:c r="B52" s="15"/>
      <x:c r="C52" s="15"/>
      <x:c r="D52" s="28"/>
      <x:c r="E52" s="28"/>
      <x:c r="F52" s="15"/>
      <x:c r="G52" s="15"/>
      <x:c r="H52" s="15"/>
      <x:c r="I52" s="15" t="str">
        <x:f>IF(COUNTA(A52:H52)=0,"",IF(F52="Cleared","Yes","No"))</x:f>
      </x:c>
      <x:c r="J52" s="15" t="str">
        <x:f>IF(COUNTA(A52:H52)=0,"",TEXTJOIN("; ",TRUE,IF(B52="","Missing project",""),IF(C52="","Missing job",""),IF(D52="","Missing request date",""),IF(E52&lt;TODAY(),"Expired locate",""),IF(F52&lt;&gt;"Cleared","Not clear to work","")))</x:f>
      </x:c>
    </x:row>
    <x:row r="53" ht="20" customHeight="1">
      <x:c r="A53" s="15"/>
      <x:c r="B53" s="15"/>
      <x:c r="C53" s="15"/>
      <x:c r="D53" s="28"/>
      <x:c r="E53" s="28"/>
      <x:c r="F53" s="15"/>
      <x:c r="G53" s="15"/>
      <x:c r="H53" s="15"/>
      <x:c r="I53" s="15" t="str">
        <x:f>IF(COUNTA(A53:H53)=0,"",IF(F53="Cleared","Yes","No"))</x:f>
      </x:c>
      <x:c r="J53" s="15" t="str">
        <x:f>IF(COUNTA(A53:H53)=0,"",TEXTJOIN("; ",TRUE,IF(B53="","Missing project",""),IF(C53="","Missing job",""),IF(D53="","Missing request date",""),IF(E53&lt;TODAY(),"Expired locate",""),IF(F53&lt;&gt;"Cleared","Not clear to work","")))</x:f>
      </x:c>
    </x:row>
    <x:row r="54" ht="20" customHeight="1">
      <x:c r="A54" s="15"/>
      <x:c r="B54" s="15"/>
      <x:c r="C54" s="15"/>
      <x:c r="D54" s="28"/>
      <x:c r="E54" s="28"/>
      <x:c r="F54" s="15"/>
      <x:c r="G54" s="15"/>
      <x:c r="H54" s="15"/>
      <x:c r="I54" s="15" t="str">
        <x:f>IF(COUNTA(A54:H54)=0,"",IF(F54="Cleared","Yes","No"))</x:f>
      </x:c>
      <x:c r="J54" s="15" t="str">
        <x:f>IF(COUNTA(A54:H54)=0,"",TEXTJOIN("; ",TRUE,IF(B54="","Missing project",""),IF(C54="","Missing job",""),IF(D54="","Missing request date",""),IF(E54&lt;TODAY(),"Expired locate",""),IF(F54&lt;&gt;"Cleared","Not clear to work","")))</x:f>
      </x:c>
    </x:row>
    <x:row r="55" ht="20" customHeight="1">
      <x:c r="A55" s="15"/>
      <x:c r="B55" s="15"/>
      <x:c r="C55" s="15"/>
      <x:c r="D55" s="28"/>
      <x:c r="E55" s="28"/>
      <x:c r="F55" s="15"/>
      <x:c r="G55" s="15"/>
      <x:c r="H55" s="15"/>
      <x:c r="I55" s="15" t="str">
        <x:f>IF(COUNTA(A55:H55)=0,"",IF(F55="Cleared","Yes","No"))</x:f>
      </x:c>
      <x:c r="J55" s="15" t="str">
        <x:f>IF(COUNTA(A55:H55)=0,"",TEXTJOIN("; ",TRUE,IF(B55="","Missing project",""),IF(C55="","Missing job",""),IF(D55="","Missing request date",""),IF(E55&lt;TODAY(),"Expired locate",""),IF(F55&lt;&gt;"Cleared","Not clear to work","")))</x:f>
      </x:c>
    </x:row>
    <x:row r="56" ht="20" customHeight="1">
      <x:c r="A56" s="15"/>
      <x:c r="B56" s="15"/>
      <x:c r="C56" s="15"/>
      <x:c r="D56" s="28"/>
      <x:c r="E56" s="28"/>
      <x:c r="F56" s="15"/>
      <x:c r="G56" s="15"/>
      <x:c r="H56" s="15"/>
      <x:c r="I56" s="15" t="str">
        <x:f>IF(COUNTA(A56:H56)=0,"",IF(F56="Cleared","Yes","No"))</x:f>
      </x:c>
      <x:c r="J56" s="15" t="str">
        <x:f>IF(COUNTA(A56:H56)=0,"",TEXTJOIN("; ",TRUE,IF(B56="","Missing project",""),IF(C56="","Missing job",""),IF(D56="","Missing request date",""),IF(E56&lt;TODAY(),"Expired locate",""),IF(F56&lt;&gt;"Cleared","Not clear to work","")))</x:f>
      </x:c>
    </x:row>
    <x:row r="57" ht="20" customHeight="1">
      <x:c r="A57" s="15"/>
      <x:c r="B57" s="15"/>
      <x:c r="C57" s="15"/>
      <x:c r="D57" s="28"/>
      <x:c r="E57" s="28"/>
      <x:c r="F57" s="15"/>
      <x:c r="G57" s="15"/>
      <x:c r="H57" s="15"/>
      <x:c r="I57" s="15" t="str">
        <x:f>IF(COUNTA(A57:H57)=0,"",IF(F57="Cleared","Yes","No"))</x:f>
      </x:c>
      <x:c r="J57" s="15" t="str">
        <x:f>IF(COUNTA(A57:H57)=0,"",TEXTJOIN("; ",TRUE,IF(B57="","Missing project",""),IF(C57="","Missing job",""),IF(D57="","Missing request date",""),IF(E57&lt;TODAY(),"Expired locate",""),IF(F57&lt;&gt;"Cleared","Not clear to work","")))</x:f>
      </x:c>
    </x:row>
    <x:row r="58" ht="20" customHeight="1">
      <x:c r="A58" s="15"/>
      <x:c r="B58" s="15"/>
      <x:c r="C58" s="15"/>
      <x:c r="D58" s="28"/>
      <x:c r="E58" s="28"/>
      <x:c r="F58" s="15"/>
      <x:c r="G58" s="15"/>
      <x:c r="H58" s="15"/>
      <x:c r="I58" s="15" t="str">
        <x:f>IF(COUNTA(A58:H58)=0,"",IF(F58="Cleared","Yes","No"))</x:f>
      </x:c>
      <x:c r="J58" s="15" t="str">
        <x:f>IF(COUNTA(A58:H58)=0,"",TEXTJOIN("; ",TRUE,IF(B58="","Missing project",""),IF(C58="","Missing job",""),IF(D58="","Missing request date",""),IF(E58&lt;TODAY(),"Expired locate",""),IF(F58&lt;&gt;"Cleared","Not clear to work","")))</x:f>
      </x:c>
    </x:row>
    <x:row r="59" ht="20" customHeight="1">
      <x:c r="A59" s="15"/>
      <x:c r="B59" s="15"/>
      <x:c r="C59" s="15"/>
      <x:c r="D59" s="28"/>
      <x:c r="E59" s="28"/>
      <x:c r="F59" s="15"/>
      <x:c r="G59" s="15"/>
      <x:c r="H59" s="15"/>
      <x:c r="I59" s="15" t="str">
        <x:f>IF(COUNTA(A59:H59)=0,"",IF(F59="Cleared","Yes","No"))</x:f>
      </x:c>
      <x:c r="J59" s="15" t="str">
        <x:f>IF(COUNTA(A59:H59)=0,"",TEXTJOIN("; ",TRUE,IF(B59="","Missing project",""),IF(C59="","Missing job",""),IF(D59="","Missing request date",""),IF(E59&lt;TODAY(),"Expired locate",""),IF(F59&lt;&gt;"Cleared","Not clear to work","")))</x:f>
      </x:c>
    </x:row>
    <x:row r="60" ht="20" customHeight="1">
      <x:c r="A60" s="15"/>
      <x:c r="B60" s="15"/>
      <x:c r="C60" s="15"/>
      <x:c r="D60" s="28"/>
      <x:c r="E60" s="28"/>
      <x:c r="F60" s="15"/>
      <x:c r="G60" s="15"/>
      <x:c r="H60" s="15"/>
      <x:c r="I60" s="15" t="str">
        <x:f>IF(COUNTA(A60:H60)=0,"",IF(F60="Cleared","Yes","No"))</x:f>
      </x:c>
      <x:c r="J60" s="15" t="str">
        <x:f>IF(COUNTA(A60:H60)=0,"",TEXTJOIN("; ",TRUE,IF(B60="","Missing project",""),IF(C60="","Missing job",""),IF(D60="","Missing request date",""),IF(E60&lt;TODAY(),"Expired locate",""),IF(F60&lt;&gt;"Cleared","Not clear to work","")))</x:f>
      </x:c>
    </x:row>
    <x:row r="61" ht="20" customHeight="1">
      <x:c r="A61" s="15"/>
      <x:c r="B61" s="15"/>
      <x:c r="C61" s="15"/>
      <x:c r="D61" s="28"/>
      <x:c r="E61" s="28"/>
      <x:c r="F61" s="15"/>
      <x:c r="G61" s="15"/>
      <x:c r="H61" s="15"/>
      <x:c r="I61" s="15" t="str">
        <x:f>IF(COUNTA(A61:H61)=0,"",IF(F61="Cleared","Yes","No"))</x:f>
      </x:c>
      <x:c r="J61" s="15" t="str">
        <x:f>IF(COUNTA(A61:H61)=0,"",TEXTJOIN("; ",TRUE,IF(B61="","Missing project",""),IF(C61="","Missing job",""),IF(D61="","Missing request date",""),IF(E61&lt;TODAY(),"Expired locate",""),IF(F61&lt;&gt;"Cleared","Not clear to work","")))</x:f>
      </x:c>
    </x:row>
    <x:row r="62" ht="20" customHeight="1">
      <x:c r="A62" s="15"/>
      <x:c r="B62" s="15"/>
      <x:c r="C62" s="15"/>
      <x:c r="D62" s="28"/>
      <x:c r="E62" s="28"/>
      <x:c r="F62" s="15"/>
      <x:c r="G62" s="15"/>
      <x:c r="H62" s="15"/>
      <x:c r="I62" s="15" t="str">
        <x:f>IF(COUNTA(A62:H62)=0,"",IF(F62="Cleared","Yes","No"))</x:f>
      </x:c>
      <x:c r="J62" s="15" t="str">
        <x:f>IF(COUNTA(A62:H62)=0,"",TEXTJOIN("; ",TRUE,IF(B62="","Missing project",""),IF(C62="","Missing job",""),IF(D62="","Missing request date",""),IF(E62&lt;TODAY(),"Expired locate",""),IF(F62&lt;&gt;"Cleared","Not clear to work","")))</x:f>
      </x:c>
    </x:row>
    <x:row r="63" ht="20" customHeight="1">
      <x:c r="A63" s="15"/>
      <x:c r="B63" s="15"/>
      <x:c r="C63" s="15"/>
      <x:c r="D63" s="28"/>
      <x:c r="E63" s="28"/>
      <x:c r="F63" s="15"/>
      <x:c r="G63" s="15"/>
      <x:c r="H63" s="15"/>
      <x:c r="I63" s="15" t="str">
        <x:f>IF(COUNTA(A63:H63)=0,"",IF(F63="Cleared","Yes","No"))</x:f>
      </x:c>
      <x:c r="J63" s="15" t="str">
        <x:f>IF(COUNTA(A63:H63)=0,"",TEXTJOIN("; ",TRUE,IF(B63="","Missing project",""),IF(C63="","Missing job",""),IF(D63="","Missing request date",""),IF(E63&lt;TODAY(),"Expired locate",""),IF(F63&lt;&gt;"Cleared","Not clear to work","")))</x:f>
      </x:c>
    </x:row>
    <x:row r="64" ht="20" customHeight="1">
      <x:c r="A64" s="15"/>
      <x:c r="B64" s="15"/>
      <x:c r="C64" s="15"/>
      <x:c r="D64" s="28"/>
      <x:c r="E64" s="28"/>
      <x:c r="F64" s="15"/>
      <x:c r="G64" s="15"/>
      <x:c r="H64" s="15"/>
      <x:c r="I64" s="15" t="str">
        <x:f>IF(COUNTA(A64:H64)=0,"",IF(F64="Cleared","Yes","No"))</x:f>
      </x:c>
      <x:c r="J64" s="15" t="str">
        <x:f>IF(COUNTA(A64:H64)=0,"",TEXTJOIN("; ",TRUE,IF(B64="","Missing project",""),IF(C64="","Missing job",""),IF(D64="","Missing request date",""),IF(E64&lt;TODAY(),"Expired locate",""),IF(F64&lt;&gt;"Cleared","Not clear to work","")))</x:f>
      </x:c>
    </x:row>
    <x:row r="65" ht="20" customHeight="1">
      <x:c r="A65" s="15"/>
      <x:c r="B65" s="15"/>
      <x:c r="C65" s="15"/>
      <x:c r="D65" s="28"/>
      <x:c r="E65" s="28"/>
      <x:c r="F65" s="15"/>
      <x:c r="G65" s="15"/>
      <x:c r="H65" s="15"/>
      <x:c r="I65" s="15" t="str">
        <x:f>IF(COUNTA(A65:H65)=0,"",IF(F65="Cleared","Yes","No"))</x:f>
      </x:c>
      <x:c r="J65" s="15" t="str">
        <x:f>IF(COUNTA(A65:H65)=0,"",TEXTJOIN("; ",TRUE,IF(B65="","Missing project",""),IF(C65="","Missing job",""),IF(D65="","Missing request date",""),IF(E65&lt;TODAY(),"Expired locate",""),IF(F65&lt;&gt;"Cleared","Not clear to work","")))</x:f>
      </x:c>
    </x:row>
    <x:row r="66" ht="20" customHeight="1">
      <x:c r="A66" s="15"/>
      <x:c r="B66" s="15"/>
      <x:c r="C66" s="15"/>
      <x:c r="D66" s="28"/>
      <x:c r="E66" s="28"/>
      <x:c r="F66" s="15"/>
      <x:c r="G66" s="15"/>
      <x:c r="H66" s="15"/>
      <x:c r="I66" s="15" t="str">
        <x:f>IF(COUNTA(A66:H66)=0,"",IF(F66="Cleared","Yes","No"))</x:f>
      </x:c>
      <x:c r="J66" s="15" t="str">
        <x:f>IF(COUNTA(A66:H66)=0,"",TEXTJOIN("; ",TRUE,IF(B66="","Missing project",""),IF(C66="","Missing job",""),IF(D66="","Missing request date",""),IF(E66&lt;TODAY(),"Expired locate",""),IF(F66&lt;&gt;"Cleared","Not clear to work","")))</x:f>
      </x:c>
    </x:row>
    <x:row r="67" ht="20" customHeight="1">
      <x:c r="A67" s="15"/>
      <x:c r="B67" s="15"/>
      <x:c r="C67" s="15"/>
      <x:c r="D67" s="28"/>
      <x:c r="E67" s="28"/>
      <x:c r="F67" s="15"/>
      <x:c r="G67" s="15"/>
      <x:c r="H67" s="15"/>
      <x:c r="I67" s="15" t="str">
        <x:f>IF(COUNTA(A67:H67)=0,"",IF(F67="Cleared","Yes","No"))</x:f>
      </x:c>
      <x:c r="J67" s="15" t="str">
        <x:f>IF(COUNTA(A67:H67)=0,"",TEXTJOIN("; ",TRUE,IF(B67="","Missing project",""),IF(C67="","Missing job",""),IF(D67="","Missing request date",""),IF(E67&lt;TODAY(),"Expired locate",""),IF(F67&lt;&gt;"Cleared","Not clear to work","")))</x:f>
      </x:c>
    </x:row>
    <x:row r="68" ht="20" customHeight="1">
      <x:c r="A68" s="15"/>
      <x:c r="B68" s="15"/>
      <x:c r="C68" s="15"/>
      <x:c r="D68" s="28"/>
      <x:c r="E68" s="28"/>
      <x:c r="F68" s="15"/>
      <x:c r="G68" s="15"/>
      <x:c r="H68" s="15"/>
      <x:c r="I68" s="15" t="str">
        <x:f>IF(COUNTA(A68:H68)=0,"",IF(F68="Cleared","Yes","No"))</x:f>
      </x:c>
      <x:c r="J68" s="15" t="str">
        <x:f>IF(COUNTA(A68:H68)=0,"",TEXTJOIN("; ",TRUE,IF(B68="","Missing project",""),IF(C68="","Missing job",""),IF(D68="","Missing request date",""),IF(E68&lt;TODAY(),"Expired locate",""),IF(F68&lt;&gt;"Cleared","Not clear to work","")))</x:f>
      </x:c>
    </x:row>
    <x:row r="69" ht="20" customHeight="1">
      <x:c r="A69" s="15"/>
      <x:c r="B69" s="15"/>
      <x:c r="C69" s="15"/>
      <x:c r="D69" s="28"/>
      <x:c r="E69" s="28"/>
      <x:c r="F69" s="15"/>
      <x:c r="G69" s="15"/>
      <x:c r="H69" s="15"/>
      <x:c r="I69" s="15" t="str">
        <x:f>IF(COUNTA(A69:H69)=0,"",IF(F69="Cleared","Yes","No"))</x:f>
      </x:c>
      <x:c r="J69" s="15" t="str">
        <x:f>IF(COUNTA(A69:H69)=0,"",TEXTJOIN("; ",TRUE,IF(B69="","Missing project",""),IF(C69="","Missing job",""),IF(D69="","Missing request date",""),IF(E69&lt;TODAY(),"Expired locate",""),IF(F69&lt;&gt;"Cleared","Not clear to work","")))</x:f>
      </x:c>
    </x:row>
    <x:row r="70" ht="20" customHeight="1">
      <x:c r="A70" s="15"/>
      <x:c r="B70" s="15"/>
      <x:c r="C70" s="15"/>
      <x:c r="D70" s="28"/>
      <x:c r="E70" s="28"/>
      <x:c r="F70" s="15"/>
      <x:c r="G70" s="15"/>
      <x:c r="H70" s="15"/>
      <x:c r="I70" s="15" t="str">
        <x:f>IF(COUNTA(A70:H70)=0,"",IF(F70="Cleared","Yes","No"))</x:f>
      </x:c>
      <x:c r="J70" s="15" t="str">
        <x:f>IF(COUNTA(A70:H70)=0,"",TEXTJOIN("; ",TRUE,IF(B70="","Missing project",""),IF(C70="","Missing job",""),IF(D70="","Missing request date",""),IF(E70&lt;TODAY(),"Expired locate",""),IF(F70&lt;&gt;"Cleared","Not clear to work","")))</x:f>
      </x:c>
    </x:row>
    <x:row r="71" ht="20" customHeight="1">
      <x:c r="A71" s="15"/>
      <x:c r="B71" s="15"/>
      <x:c r="C71" s="15"/>
      <x:c r="D71" s="28"/>
      <x:c r="E71" s="28"/>
      <x:c r="F71" s="15"/>
      <x:c r="G71" s="15"/>
      <x:c r="H71" s="15"/>
      <x:c r="I71" s="15" t="str">
        <x:f>IF(COUNTA(A71:H71)=0,"",IF(F71="Cleared","Yes","No"))</x:f>
      </x:c>
      <x:c r="J71" s="15" t="str">
        <x:f>IF(COUNTA(A71:H71)=0,"",TEXTJOIN("; ",TRUE,IF(B71="","Missing project",""),IF(C71="","Missing job",""),IF(D71="","Missing request date",""),IF(E71&lt;TODAY(),"Expired locate",""),IF(F71&lt;&gt;"Cleared","Not clear to work","")))</x:f>
      </x:c>
    </x:row>
    <x:row r="72" ht="20" customHeight="1">
      <x:c r="A72" s="15"/>
      <x:c r="B72" s="15"/>
      <x:c r="C72" s="15"/>
      <x:c r="D72" s="28"/>
      <x:c r="E72" s="28"/>
      <x:c r="F72" s="15"/>
      <x:c r="G72" s="15"/>
      <x:c r="H72" s="15"/>
      <x:c r="I72" s="15" t="str">
        <x:f>IF(COUNTA(A72:H72)=0,"",IF(F72="Cleared","Yes","No"))</x:f>
      </x:c>
      <x:c r="J72" s="15" t="str">
        <x:f>IF(COUNTA(A72:H72)=0,"",TEXTJOIN("; ",TRUE,IF(B72="","Missing project",""),IF(C72="","Missing job",""),IF(D72="","Missing request date",""),IF(E72&lt;TODAY(),"Expired locate",""),IF(F72&lt;&gt;"Cleared","Not clear to work","")))</x:f>
      </x:c>
    </x:row>
    <x:row r="73" ht="20" customHeight="1">
      <x:c r="A73" s="15"/>
      <x:c r="B73" s="15"/>
      <x:c r="C73" s="15"/>
      <x:c r="D73" s="28"/>
      <x:c r="E73" s="28"/>
      <x:c r="F73" s="15"/>
      <x:c r="G73" s="15"/>
      <x:c r="H73" s="15"/>
      <x:c r="I73" s="15" t="str">
        <x:f>IF(COUNTA(A73:H73)=0,"",IF(F73="Cleared","Yes","No"))</x:f>
      </x:c>
      <x:c r="J73" s="15" t="str">
        <x:f>IF(COUNTA(A73:H73)=0,"",TEXTJOIN("; ",TRUE,IF(B73="","Missing project",""),IF(C73="","Missing job",""),IF(D73="","Missing request date",""),IF(E73&lt;TODAY(),"Expired locate",""),IF(F73&lt;&gt;"Cleared","Not clear to work","")))</x:f>
      </x:c>
    </x:row>
    <x:row r="74" ht="20" customHeight="1">
      <x:c r="A74" s="15"/>
      <x:c r="B74" s="15"/>
      <x:c r="C74" s="15"/>
      <x:c r="D74" s="28"/>
      <x:c r="E74" s="28"/>
      <x:c r="F74" s="15"/>
      <x:c r="G74" s="15"/>
      <x:c r="H74" s="15"/>
      <x:c r="I74" s="15" t="str">
        <x:f>IF(COUNTA(A74:H74)=0,"",IF(F74="Cleared","Yes","No"))</x:f>
      </x:c>
      <x:c r="J74" s="15" t="str">
        <x:f>IF(COUNTA(A74:H74)=0,"",TEXTJOIN("; ",TRUE,IF(B74="","Missing project",""),IF(C74="","Missing job",""),IF(D74="","Missing request date",""),IF(E74&lt;TODAY(),"Expired locate",""),IF(F74&lt;&gt;"Cleared","Not clear to work","")))</x:f>
      </x:c>
    </x:row>
    <x:row r="75" ht="20" customHeight="1">
      <x:c r="A75" s="15"/>
      <x:c r="B75" s="15"/>
      <x:c r="C75" s="15"/>
      <x:c r="D75" s="28"/>
      <x:c r="E75" s="28"/>
      <x:c r="F75" s="15"/>
      <x:c r="G75" s="15"/>
      <x:c r="H75" s="15"/>
      <x:c r="I75" s="15" t="str">
        <x:f>IF(COUNTA(A75:H75)=0,"",IF(F75="Cleared","Yes","No"))</x:f>
      </x:c>
      <x:c r="J75" s="15" t="str">
        <x:f>IF(COUNTA(A75:H75)=0,"",TEXTJOIN("; ",TRUE,IF(B75="","Missing project",""),IF(C75="","Missing job",""),IF(D75="","Missing request date",""),IF(E75&lt;TODAY(),"Expired locate",""),IF(F75&lt;&gt;"Cleared","Not clear to work","")))</x:f>
      </x:c>
    </x:row>
    <x:row r="76" ht="20" customHeight="1">
      <x:c r="A76" s="15"/>
      <x:c r="B76" s="15"/>
      <x:c r="C76" s="15"/>
      <x:c r="D76" s="28"/>
      <x:c r="E76" s="28"/>
      <x:c r="F76" s="15"/>
      <x:c r="G76" s="15"/>
      <x:c r="H76" s="15"/>
      <x:c r="I76" s="15" t="str">
        <x:f>IF(COUNTA(A76:H76)=0,"",IF(F76="Cleared","Yes","No"))</x:f>
      </x:c>
      <x:c r="J76" s="15" t="str">
        <x:f>IF(COUNTA(A76:H76)=0,"",TEXTJOIN("; ",TRUE,IF(B76="","Missing project",""),IF(C76="","Missing job",""),IF(D76="","Missing request date",""),IF(E76&lt;TODAY(),"Expired locate",""),IF(F76&lt;&gt;"Cleared","Not clear to work","")))</x:f>
      </x:c>
    </x:row>
    <x:row r="77" ht="20" customHeight="1">
      <x:c r="A77" s="15"/>
      <x:c r="B77" s="15"/>
      <x:c r="C77" s="15"/>
      <x:c r="D77" s="28"/>
      <x:c r="E77" s="28"/>
      <x:c r="F77" s="15"/>
      <x:c r="G77" s="15"/>
      <x:c r="H77" s="15"/>
      <x:c r="I77" s="15" t="str">
        <x:f>IF(COUNTA(A77:H77)=0,"",IF(F77="Cleared","Yes","No"))</x:f>
      </x:c>
      <x:c r="J77" s="15" t="str">
        <x:f>IF(COUNTA(A77:H77)=0,"",TEXTJOIN("; ",TRUE,IF(B77="","Missing project",""),IF(C77="","Missing job",""),IF(D77="","Missing request date",""),IF(E77&lt;TODAY(),"Expired locate",""),IF(F77&lt;&gt;"Cleared","Not clear to work","")))</x:f>
      </x:c>
    </x:row>
    <x:row r="78" ht="20" customHeight="1">
      <x:c r="A78" s="15"/>
      <x:c r="B78" s="15"/>
      <x:c r="C78" s="15"/>
      <x:c r="D78" s="28"/>
      <x:c r="E78" s="28"/>
      <x:c r="F78" s="15"/>
      <x:c r="G78" s="15"/>
      <x:c r="H78" s="15"/>
      <x:c r="I78" s="15" t="str">
        <x:f>IF(COUNTA(A78:H78)=0,"",IF(F78="Cleared","Yes","No"))</x:f>
      </x:c>
      <x:c r="J78" s="15" t="str">
        <x:f>IF(COUNTA(A78:H78)=0,"",TEXTJOIN("; ",TRUE,IF(B78="","Missing project",""),IF(C78="","Missing job",""),IF(D78="","Missing request date",""),IF(E78&lt;TODAY(),"Expired locate",""),IF(F78&lt;&gt;"Cleared","Not clear to work","")))</x:f>
      </x:c>
    </x:row>
    <x:row r="79" ht="20" customHeight="1">
      <x:c r="A79" s="15"/>
      <x:c r="B79" s="15"/>
      <x:c r="C79" s="15"/>
      <x:c r="D79" s="28"/>
      <x:c r="E79" s="28"/>
      <x:c r="F79" s="15"/>
      <x:c r="G79" s="15"/>
      <x:c r="H79" s="15"/>
      <x:c r="I79" s="15" t="str">
        <x:f>IF(COUNTA(A79:H79)=0,"",IF(F79="Cleared","Yes","No"))</x:f>
      </x:c>
      <x:c r="J79" s="15" t="str">
        <x:f>IF(COUNTA(A79:H79)=0,"",TEXTJOIN("; ",TRUE,IF(B79="","Missing project",""),IF(C79="","Missing job",""),IF(D79="","Missing request date",""),IF(E79&lt;TODAY(),"Expired locate",""),IF(F79&lt;&gt;"Cleared","Not clear to work","")))</x:f>
      </x:c>
    </x:row>
    <x:row r="80" ht="20" customHeight="1">
      <x:c r="A80" s="15"/>
      <x:c r="B80" s="15"/>
      <x:c r="C80" s="15"/>
      <x:c r="D80" s="28"/>
      <x:c r="E80" s="28"/>
      <x:c r="F80" s="15"/>
      <x:c r="G80" s="15"/>
      <x:c r="H80" s="15"/>
      <x:c r="I80" s="15" t="str">
        <x:f>IF(COUNTA(A80:H80)=0,"",IF(F80="Cleared","Yes","No"))</x:f>
      </x:c>
      <x:c r="J80" s="15" t="str">
        <x:f>IF(COUNTA(A80:H80)=0,"",TEXTJOIN("; ",TRUE,IF(B80="","Missing project",""),IF(C80="","Missing job",""),IF(D80="","Missing request date",""),IF(E80&lt;TODAY(),"Expired locate",""),IF(F80&lt;&gt;"Cleared","Not clear to work","")))</x:f>
      </x:c>
    </x:row>
    <x:row r="81" ht="20" customHeight="1">
      <x:c r="A81" s="15"/>
      <x:c r="B81" s="15"/>
      <x:c r="C81" s="15"/>
      <x:c r="D81" s="28"/>
      <x:c r="E81" s="28"/>
      <x:c r="F81" s="15"/>
      <x:c r="G81" s="15"/>
      <x:c r="H81" s="15"/>
      <x:c r="I81" s="15" t="str">
        <x:f>IF(COUNTA(A81:H81)=0,"",IF(F81="Cleared","Yes","No"))</x:f>
      </x:c>
      <x:c r="J81" s="15" t="str">
        <x:f>IF(COUNTA(A81:H81)=0,"",TEXTJOIN("; ",TRUE,IF(B81="","Missing project",""),IF(C81="","Missing job",""),IF(D81="","Missing request date",""),IF(E81&lt;TODAY(),"Expired locate",""),IF(F81&lt;&gt;"Cleared","Not clear to work","")))</x:f>
      </x:c>
    </x:row>
    <x:row r="82" ht="20" customHeight="1">
      <x:c r="A82" s="15"/>
      <x:c r="B82" s="15"/>
      <x:c r="C82" s="15"/>
      <x:c r="D82" s="28"/>
      <x:c r="E82" s="28"/>
      <x:c r="F82" s="15"/>
      <x:c r="G82" s="15"/>
      <x:c r="H82" s="15"/>
      <x:c r="I82" s="15" t="str">
        <x:f>IF(COUNTA(A82:H82)=0,"",IF(F82="Cleared","Yes","No"))</x:f>
      </x:c>
      <x:c r="J82" s="15" t="str">
        <x:f>IF(COUNTA(A82:H82)=0,"",TEXTJOIN("; ",TRUE,IF(B82="","Missing project",""),IF(C82="","Missing job",""),IF(D82="","Missing request date",""),IF(E82&lt;TODAY(),"Expired locate",""),IF(F82&lt;&gt;"Cleared","Not clear to work","")))</x:f>
      </x:c>
    </x:row>
    <x:row r="83" ht="20" customHeight="1">
      <x:c r="A83" s="15"/>
      <x:c r="B83" s="15"/>
      <x:c r="C83" s="15"/>
      <x:c r="D83" s="28"/>
      <x:c r="E83" s="28"/>
      <x:c r="F83" s="15"/>
      <x:c r="G83" s="15"/>
      <x:c r="H83" s="15"/>
      <x:c r="I83" s="15" t="str">
        <x:f>IF(COUNTA(A83:H83)=0,"",IF(F83="Cleared","Yes","No"))</x:f>
      </x:c>
      <x:c r="J83" s="15" t="str">
        <x:f>IF(COUNTA(A83:H83)=0,"",TEXTJOIN("; ",TRUE,IF(B83="","Missing project",""),IF(C83="","Missing job",""),IF(D83="","Missing request date",""),IF(E83&lt;TODAY(),"Expired locate",""),IF(F83&lt;&gt;"Cleared","Not clear to work","")))</x:f>
      </x:c>
    </x:row>
    <x:row r="84" ht="20" customHeight="1">
      <x:c r="A84" s="15"/>
      <x:c r="B84" s="15"/>
      <x:c r="C84" s="15"/>
      <x:c r="D84" s="28"/>
      <x:c r="E84" s="28"/>
      <x:c r="F84" s="15"/>
      <x:c r="G84" s="15"/>
      <x:c r="H84" s="15"/>
      <x:c r="I84" s="15" t="str">
        <x:f>IF(COUNTA(A84:H84)=0,"",IF(F84="Cleared","Yes","No"))</x:f>
      </x:c>
      <x:c r="J84" s="15" t="str">
        <x:f>IF(COUNTA(A84:H84)=0,"",TEXTJOIN("; ",TRUE,IF(B84="","Missing project",""),IF(C84="","Missing job",""),IF(D84="","Missing request date",""),IF(E84&lt;TODAY(),"Expired locate",""),IF(F84&lt;&gt;"Cleared","Not clear to work","")))</x:f>
      </x:c>
    </x:row>
    <x:row r="85" ht="20" customHeight="1">
      <x:c r="A85" s="15"/>
      <x:c r="B85" s="15"/>
      <x:c r="C85" s="15"/>
      <x:c r="D85" s="28"/>
      <x:c r="E85" s="28"/>
      <x:c r="F85" s="15"/>
      <x:c r="G85" s="15"/>
      <x:c r="H85" s="15"/>
      <x:c r="I85" s="15" t="str">
        <x:f>IF(COUNTA(A85:H85)=0,"",IF(F85="Cleared","Yes","No"))</x:f>
      </x:c>
      <x:c r="J85" s="15" t="str">
        <x:f>IF(COUNTA(A85:H85)=0,"",TEXTJOIN("; ",TRUE,IF(B85="","Missing project",""),IF(C85="","Missing job",""),IF(D85="","Missing request date",""),IF(E85&lt;TODAY(),"Expired locate",""),IF(F85&lt;&gt;"Cleared","Not clear to work","")))</x:f>
      </x:c>
    </x:row>
    <x:row r="86" ht="20" customHeight="1">
      <x:c r="A86" s="15"/>
      <x:c r="B86" s="15"/>
      <x:c r="C86" s="15"/>
      <x:c r="D86" s="28"/>
      <x:c r="E86" s="28"/>
      <x:c r="F86" s="15"/>
      <x:c r="G86" s="15"/>
      <x:c r="H86" s="15"/>
      <x:c r="I86" s="15" t="str">
        <x:f>IF(COUNTA(A86:H86)=0,"",IF(F86="Cleared","Yes","No"))</x:f>
      </x:c>
      <x:c r="J86" s="15" t="str">
        <x:f>IF(COUNTA(A86:H86)=0,"",TEXTJOIN("; ",TRUE,IF(B86="","Missing project",""),IF(C86="","Missing job",""),IF(D86="","Missing request date",""),IF(E86&lt;TODAY(),"Expired locate",""),IF(F86&lt;&gt;"Cleared","Not clear to work","")))</x:f>
      </x:c>
    </x:row>
    <x:row r="87" ht="20" customHeight="1">
      <x:c r="A87" s="15"/>
      <x:c r="B87" s="15"/>
      <x:c r="C87" s="15"/>
      <x:c r="D87" s="28"/>
      <x:c r="E87" s="28"/>
      <x:c r="F87" s="15"/>
      <x:c r="G87" s="15"/>
      <x:c r="H87" s="15"/>
      <x:c r="I87" s="15" t="str">
        <x:f>IF(COUNTA(A87:H87)=0,"",IF(F87="Cleared","Yes","No"))</x:f>
      </x:c>
      <x:c r="J87" s="15" t="str">
        <x:f>IF(COUNTA(A87:H87)=0,"",TEXTJOIN("; ",TRUE,IF(B87="","Missing project",""),IF(C87="","Missing job",""),IF(D87="","Missing request date",""),IF(E87&lt;TODAY(),"Expired locate",""),IF(F87&lt;&gt;"Cleared","Not clear to work","")))</x:f>
      </x:c>
    </x:row>
    <x:row r="88" ht="20" customHeight="1">
      <x:c r="A88" s="15"/>
      <x:c r="B88" s="15"/>
      <x:c r="C88" s="15"/>
      <x:c r="D88" s="28"/>
      <x:c r="E88" s="28"/>
      <x:c r="F88" s="15"/>
      <x:c r="G88" s="15"/>
      <x:c r="H88" s="15"/>
      <x:c r="I88" s="15" t="str">
        <x:f>IF(COUNTA(A88:H88)=0,"",IF(F88="Cleared","Yes","No"))</x:f>
      </x:c>
      <x:c r="J88" s="15" t="str">
        <x:f>IF(COUNTA(A88:H88)=0,"",TEXTJOIN("; ",TRUE,IF(B88="","Missing project",""),IF(C88="","Missing job",""),IF(D88="","Missing request date",""),IF(E88&lt;TODAY(),"Expired locate",""),IF(F88&lt;&gt;"Cleared","Not clear to work","")))</x:f>
      </x:c>
    </x:row>
    <x:row r="89" ht="20" customHeight="1">
      <x:c r="A89" s="15"/>
      <x:c r="B89" s="15"/>
      <x:c r="C89" s="15"/>
      <x:c r="D89" s="28"/>
      <x:c r="E89" s="28"/>
      <x:c r="F89" s="15"/>
      <x:c r="G89" s="15"/>
      <x:c r="H89" s="15"/>
      <x:c r="I89" s="15" t="str">
        <x:f>IF(COUNTA(A89:H89)=0,"",IF(F89="Cleared","Yes","No"))</x:f>
      </x:c>
      <x:c r="J89" s="15" t="str">
        <x:f>IF(COUNTA(A89:H89)=0,"",TEXTJOIN("; ",TRUE,IF(B89="","Missing project",""),IF(C89="","Missing job",""),IF(D89="","Missing request date",""),IF(E89&lt;TODAY(),"Expired locate",""),IF(F89&lt;&gt;"Cleared","Not clear to work","")))</x:f>
      </x:c>
    </x:row>
    <x:row r="90" ht="20" customHeight="1">
      <x:c r="A90" s="15"/>
      <x:c r="B90" s="15"/>
      <x:c r="C90" s="15"/>
      <x:c r="D90" s="28"/>
      <x:c r="E90" s="28"/>
      <x:c r="F90" s="15"/>
      <x:c r="G90" s="15"/>
      <x:c r="H90" s="15"/>
      <x:c r="I90" s="15" t="str">
        <x:f>IF(COUNTA(A90:H90)=0,"",IF(F90="Cleared","Yes","No"))</x:f>
      </x:c>
      <x:c r="J90" s="15" t="str">
        <x:f>IF(COUNTA(A90:H90)=0,"",TEXTJOIN("; ",TRUE,IF(B90="","Missing project",""),IF(C90="","Missing job",""),IF(D90="","Missing request date",""),IF(E90&lt;TODAY(),"Expired locate",""),IF(F90&lt;&gt;"Cleared","Not clear to work","")))</x:f>
      </x:c>
    </x:row>
    <x:row r="91" ht="20" customHeight="1">
      <x:c r="A91" s="15"/>
      <x:c r="B91" s="15"/>
      <x:c r="C91" s="15"/>
      <x:c r="D91" s="28"/>
      <x:c r="E91" s="28"/>
      <x:c r="F91" s="15"/>
      <x:c r="G91" s="15"/>
      <x:c r="H91" s="15"/>
      <x:c r="I91" s="15" t="str">
        <x:f>IF(COUNTA(A91:H91)=0,"",IF(F91="Cleared","Yes","No"))</x:f>
      </x:c>
      <x:c r="J91" s="15" t="str">
        <x:f>IF(COUNTA(A91:H91)=0,"",TEXTJOIN("; ",TRUE,IF(B91="","Missing project",""),IF(C91="","Missing job",""),IF(D91="","Missing request date",""),IF(E91&lt;TODAY(),"Expired locate",""),IF(F91&lt;&gt;"Cleared","Not clear to work","")))</x:f>
      </x:c>
    </x:row>
    <x:row r="92" ht="20" customHeight="1">
      <x:c r="A92" s="15"/>
      <x:c r="B92" s="15"/>
      <x:c r="C92" s="15"/>
      <x:c r="D92" s="28"/>
      <x:c r="E92" s="28"/>
      <x:c r="F92" s="15"/>
      <x:c r="G92" s="15"/>
      <x:c r="H92" s="15"/>
      <x:c r="I92" s="15" t="str">
        <x:f>IF(COUNTA(A92:H92)=0,"",IF(F92="Cleared","Yes","No"))</x:f>
      </x:c>
      <x:c r="J92" s="15" t="str">
        <x:f>IF(COUNTA(A92:H92)=0,"",TEXTJOIN("; ",TRUE,IF(B92="","Missing project",""),IF(C92="","Missing job",""),IF(D92="","Missing request date",""),IF(E92&lt;TODAY(),"Expired locate",""),IF(F92&lt;&gt;"Cleared","Not clear to work","")))</x:f>
      </x:c>
    </x:row>
    <x:row r="93" ht="20" customHeight="1">
      <x:c r="A93" s="15"/>
      <x:c r="B93" s="15"/>
      <x:c r="C93" s="15"/>
      <x:c r="D93" s="28"/>
      <x:c r="E93" s="28"/>
      <x:c r="F93" s="15"/>
      <x:c r="G93" s="15"/>
      <x:c r="H93" s="15"/>
      <x:c r="I93" s="15" t="str">
        <x:f>IF(COUNTA(A93:H93)=0,"",IF(F93="Cleared","Yes","No"))</x:f>
      </x:c>
      <x:c r="J93" s="15" t="str">
        <x:f>IF(COUNTA(A93:H93)=0,"",TEXTJOIN("; ",TRUE,IF(B93="","Missing project",""),IF(C93="","Missing job",""),IF(D93="","Missing request date",""),IF(E93&lt;TODAY(),"Expired locate",""),IF(F93&lt;&gt;"Cleared","Not clear to work","")))</x:f>
      </x:c>
    </x:row>
    <x:row r="94" ht="20" customHeight="1">
      <x:c r="A94" s="15"/>
      <x:c r="B94" s="15"/>
      <x:c r="C94" s="15"/>
      <x:c r="D94" s="28"/>
      <x:c r="E94" s="28"/>
      <x:c r="F94" s="15"/>
      <x:c r="G94" s="15"/>
      <x:c r="H94" s="15"/>
      <x:c r="I94" s="15" t="str">
        <x:f>IF(COUNTA(A94:H94)=0,"",IF(F94="Cleared","Yes","No"))</x:f>
      </x:c>
      <x:c r="J94" s="15" t="str">
        <x:f>IF(COUNTA(A94:H94)=0,"",TEXTJOIN("; ",TRUE,IF(B94="","Missing project",""),IF(C94="","Missing job",""),IF(D94="","Missing request date",""),IF(E94&lt;TODAY(),"Expired locate",""),IF(F94&lt;&gt;"Cleared","Not clear to work","")))</x:f>
      </x:c>
    </x:row>
    <x:row r="95" ht="20" customHeight="1">
      <x:c r="A95" s="15"/>
      <x:c r="B95" s="15"/>
      <x:c r="C95" s="15"/>
      <x:c r="D95" s="28"/>
      <x:c r="E95" s="28"/>
      <x:c r="F95" s="15"/>
      <x:c r="G95" s="15"/>
      <x:c r="H95" s="15"/>
      <x:c r="I95" s="15" t="str">
        <x:f>IF(COUNTA(A95:H95)=0,"",IF(F95="Cleared","Yes","No"))</x:f>
      </x:c>
      <x:c r="J95" s="15" t="str">
        <x:f>IF(COUNTA(A95:H95)=0,"",TEXTJOIN("; ",TRUE,IF(B95="","Missing project",""),IF(C95="","Missing job",""),IF(D95="","Missing request date",""),IF(E95&lt;TODAY(),"Expired locate",""),IF(F95&lt;&gt;"Cleared","Not clear to work","")))</x:f>
      </x:c>
    </x:row>
    <x:row r="96" ht="20" customHeight="1">
      <x:c r="A96" s="15"/>
      <x:c r="B96" s="15"/>
      <x:c r="C96" s="15"/>
      <x:c r="D96" s="28"/>
      <x:c r="E96" s="28"/>
      <x:c r="F96" s="15"/>
      <x:c r="G96" s="15"/>
      <x:c r="H96" s="15"/>
      <x:c r="I96" s="15" t="str">
        <x:f>IF(COUNTA(A96:H96)=0,"",IF(F96="Cleared","Yes","No"))</x:f>
      </x:c>
      <x:c r="J96" s="15" t="str">
        <x:f>IF(COUNTA(A96:H96)=0,"",TEXTJOIN("; ",TRUE,IF(B96="","Missing project",""),IF(C96="","Missing job",""),IF(D96="","Missing request date",""),IF(E96&lt;TODAY(),"Expired locate",""),IF(F96&lt;&gt;"Cleared","Not clear to work","")))</x:f>
      </x:c>
    </x:row>
    <x:row r="97" ht="20" customHeight="1">
      <x:c r="A97" s="15"/>
      <x:c r="B97" s="15"/>
      <x:c r="C97" s="15"/>
      <x:c r="D97" s="28"/>
      <x:c r="E97" s="28"/>
      <x:c r="F97" s="15"/>
      <x:c r="G97" s="15"/>
      <x:c r="H97" s="15"/>
      <x:c r="I97" s="15" t="str">
        <x:f>IF(COUNTA(A97:H97)=0,"",IF(F97="Cleared","Yes","No"))</x:f>
      </x:c>
      <x:c r="J97" s="15" t="str">
        <x:f>IF(COUNTA(A97:H97)=0,"",TEXTJOIN("; ",TRUE,IF(B97="","Missing project",""),IF(C97="","Missing job",""),IF(D97="","Missing request date",""),IF(E97&lt;TODAY(),"Expired locate",""),IF(F97&lt;&gt;"Cleared","Not clear to work","")))</x:f>
      </x:c>
    </x:row>
    <x:row r="98" ht="20" customHeight="1">
      <x:c r="A98" s="15"/>
      <x:c r="B98" s="15"/>
      <x:c r="C98" s="15"/>
      <x:c r="D98" s="28"/>
      <x:c r="E98" s="28"/>
      <x:c r="F98" s="15"/>
      <x:c r="G98" s="15"/>
      <x:c r="H98" s="15"/>
      <x:c r="I98" s="15" t="str">
        <x:f>IF(COUNTA(A98:H98)=0,"",IF(F98="Cleared","Yes","No"))</x:f>
      </x:c>
      <x:c r="J98" s="15" t="str">
        <x:f>IF(COUNTA(A98:H98)=0,"",TEXTJOIN("; ",TRUE,IF(B98="","Missing project",""),IF(C98="","Missing job",""),IF(D98="","Missing request date",""),IF(E98&lt;TODAY(),"Expired locate",""),IF(F98&lt;&gt;"Cleared","Not clear to work","")))</x:f>
      </x:c>
    </x:row>
    <x:row r="99" ht="20" customHeight="1">
      <x:c r="A99" s="15"/>
      <x:c r="B99" s="15"/>
      <x:c r="C99" s="15"/>
      <x:c r="D99" s="28"/>
      <x:c r="E99" s="28"/>
      <x:c r="F99" s="15"/>
      <x:c r="G99" s="15"/>
      <x:c r="H99" s="15"/>
      <x:c r="I99" s="15" t="str">
        <x:f>IF(COUNTA(A99:H99)=0,"",IF(F99="Cleared","Yes","No"))</x:f>
      </x:c>
      <x:c r="J99" s="15" t="str">
        <x:f>IF(COUNTA(A99:H99)=0,"",TEXTJOIN("; ",TRUE,IF(B99="","Missing project",""),IF(C99="","Missing job",""),IF(D99="","Missing request date",""),IF(E99&lt;TODAY(),"Expired locate",""),IF(F99&lt;&gt;"Cleared","Not clear to work","")))</x:f>
      </x:c>
    </x:row>
    <x:row r="100" ht="20" customHeight="1">
      <x:c r="A100" s="15"/>
      <x:c r="B100" s="15"/>
      <x:c r="C100" s="15"/>
      <x:c r="D100" s="28"/>
      <x:c r="E100" s="28"/>
      <x:c r="F100" s="15"/>
      <x:c r="G100" s="15"/>
      <x:c r="H100" s="15"/>
      <x:c r="I100" s="15" t="str">
        <x:f>IF(COUNTA(A100:H100)=0,"",IF(F100="Cleared","Yes","No"))</x:f>
      </x:c>
      <x:c r="J100" s="15" t="str">
        <x:f>IF(COUNTA(A100:H100)=0,"",TEXTJOIN("; ",TRUE,IF(B100="","Missing project",""),IF(C100="","Missing job",""),IF(D100="","Missing request date",""),IF(E100&lt;TODAY(),"Expired locate",""),IF(F100&lt;&gt;"Cleared","Not clear to work","")))</x:f>
      </x:c>
    </x:row>
    <x:row r="101" ht="20" customHeight="1">
      <x:c r="A101" s="15"/>
      <x:c r="B101" s="15"/>
      <x:c r="C101" s="15"/>
      <x:c r="D101" s="28"/>
      <x:c r="E101" s="28"/>
      <x:c r="F101" s="15"/>
      <x:c r="G101" s="15"/>
      <x:c r="H101" s="15"/>
      <x:c r="I101" s="15" t="str">
        <x:f>IF(COUNTA(A101:H101)=0,"",IF(F101="Cleared","Yes","No"))</x:f>
      </x:c>
      <x:c r="J101" s="15" t="str">
        <x:f>IF(COUNTA(A101:H101)=0,"",TEXTJOIN("; ",TRUE,IF(B101="","Missing project",""),IF(C101="","Missing job",""),IF(D101="","Missing request date",""),IF(E101&lt;TODAY(),"Expired locate",""),IF(F101&lt;&gt;"Cleared","Not clear to work","")))</x:f>
      </x:c>
    </x:row>
    <x:row r="102" ht="20" customHeight="1">
      <x:c r="A102" s="15"/>
      <x:c r="B102" s="15"/>
      <x:c r="C102" s="15"/>
      <x:c r="D102" s="28"/>
      <x:c r="E102" s="28"/>
      <x:c r="F102" s="15"/>
      <x:c r="G102" s="15"/>
      <x:c r="H102" s="15"/>
      <x:c r="I102" s="15" t="str">
        <x:f>IF(COUNTA(A102:H102)=0,"",IF(F102="Cleared","Yes","No"))</x:f>
      </x:c>
      <x:c r="J102" s="15" t="str">
        <x:f>IF(COUNTA(A102:H102)=0,"",TEXTJOIN("; ",TRUE,IF(B102="","Missing project",""),IF(C102="","Missing job",""),IF(D102="","Missing request date",""),IF(E102&lt;TODAY(),"Expired locate",""),IF(F102&lt;&gt;"Cleared","Not clear to work","")))</x:f>
      </x:c>
    </x:row>
    <x:row r="103" ht="20" customHeight="1">
      <x:c r="A103" s="15"/>
      <x:c r="B103" s="15"/>
      <x:c r="C103" s="15"/>
      <x:c r="D103" s="28"/>
      <x:c r="E103" s="28"/>
      <x:c r="F103" s="15"/>
      <x:c r="G103" s="15"/>
      <x:c r="H103" s="15"/>
      <x:c r="I103" s="15" t="str">
        <x:f>IF(COUNTA(A103:H103)=0,"",IF(F103="Cleared","Yes","No"))</x:f>
      </x:c>
      <x:c r="J103" s="15" t="str">
        <x:f>IF(COUNTA(A103:H103)=0,"",TEXTJOIN("; ",TRUE,IF(B103="","Missing project",""),IF(C103="","Missing job",""),IF(D103="","Missing request date",""),IF(E103&lt;TODAY(),"Expired locate",""),IF(F103&lt;&gt;"Cleared","Not clear to work","")))</x:f>
      </x:c>
    </x:row>
    <x:row r="104" ht="20" customHeight="1">
      <x:c r="A104" s="15"/>
      <x:c r="B104" s="15"/>
      <x:c r="C104" s="15"/>
      <x:c r="D104" s="28"/>
      <x:c r="E104" s="28"/>
      <x:c r="F104" s="15"/>
      <x:c r="G104" s="15"/>
      <x:c r="H104" s="15"/>
      <x:c r="I104" s="15" t="str">
        <x:f>IF(COUNTA(A104:H104)=0,"",IF(F104="Cleared","Yes","No"))</x:f>
      </x:c>
      <x:c r="J104" s="15" t="str">
        <x:f>IF(COUNTA(A104:H104)=0,"",TEXTJOIN("; ",TRUE,IF(B104="","Missing project",""),IF(C104="","Missing job",""),IF(D104="","Missing request date",""),IF(E104&lt;TODAY(),"Expired locate",""),IF(F104&lt;&gt;"Cleared","Not clear to work","")))</x:f>
      </x:c>
    </x:row>
    <x:row r="105" ht="20" customHeight="1">
      <x:c r="A105" s="15"/>
      <x:c r="B105" s="15"/>
      <x:c r="C105" s="15"/>
      <x:c r="D105" s="28"/>
      <x:c r="E105" s="28"/>
      <x:c r="F105" s="15"/>
      <x:c r="G105" s="15"/>
      <x:c r="H105" s="15"/>
      <x:c r="I105" s="15" t="str">
        <x:f>IF(COUNTA(A105:H105)=0,"",IF(F105="Cleared","Yes","No"))</x:f>
      </x:c>
      <x:c r="J105" s="15" t="str">
        <x:f>IF(COUNTA(A105:H105)=0,"",TEXTJOIN("; ",TRUE,IF(B105="","Missing project",""),IF(C105="","Missing job",""),IF(D105="","Missing request date",""),IF(E105&lt;TODAY(),"Expired locate",""),IF(F105&lt;&gt;"Cleared","Not clear to work","")))</x:f>
      </x:c>
    </x:row>
    <x:row r="106" ht="20" customHeight="1">
      <x:c r="A106" s="15"/>
      <x:c r="B106" s="15"/>
      <x:c r="C106" s="15"/>
      <x:c r="D106" s="28"/>
      <x:c r="E106" s="28"/>
      <x:c r="F106" s="15"/>
      <x:c r="G106" s="15"/>
      <x:c r="H106" s="15"/>
      <x:c r="I106" s="15" t="str">
        <x:f>IF(COUNTA(A106:H106)=0,"",IF(F106="Cleared","Yes","No"))</x:f>
      </x:c>
      <x:c r="J106" s="15" t="str">
        <x:f>IF(COUNTA(A106:H106)=0,"",TEXTJOIN("; ",TRUE,IF(B106="","Missing project",""),IF(C106="","Missing job",""),IF(D106="","Missing request date",""),IF(E106&lt;TODAY(),"Expired locate",""),IF(F106&lt;&gt;"Cleared","Not clear to work","")))</x:f>
      </x:c>
    </x:row>
    <x:row r="107" ht="20" customHeight="1">
      <x:c r="A107" s="15"/>
      <x:c r="B107" s="15"/>
      <x:c r="C107" s="15"/>
      <x:c r="D107" s="28"/>
      <x:c r="E107" s="28"/>
      <x:c r="F107" s="15"/>
      <x:c r="G107" s="15"/>
      <x:c r="H107" s="15"/>
      <x:c r="I107" s="15" t="str">
        <x:f>IF(COUNTA(A107:H107)=0,"",IF(F107="Cleared","Yes","No"))</x:f>
      </x:c>
      <x:c r="J107" s="15" t="str">
        <x:f>IF(COUNTA(A107:H107)=0,"",TEXTJOIN("; ",TRUE,IF(B107="","Missing project",""),IF(C107="","Missing job",""),IF(D107="","Missing request date",""),IF(E107&lt;TODAY(),"Expired locate",""),IF(F107&lt;&gt;"Cleared","Not clear to work","")))</x:f>
      </x:c>
    </x:row>
    <x:row r="108" ht="20" customHeight="1">
      <x:c r="A108" s="15"/>
      <x:c r="B108" s="15"/>
      <x:c r="C108" s="15"/>
      <x:c r="D108" s="28"/>
      <x:c r="E108" s="28"/>
      <x:c r="F108" s="15"/>
      <x:c r="G108" s="15"/>
      <x:c r="H108" s="15"/>
      <x:c r="I108" s="15" t="str">
        <x:f>IF(COUNTA(A108:H108)=0,"",IF(F108="Cleared","Yes","No"))</x:f>
      </x:c>
      <x:c r="J108" s="15" t="str">
        <x:f>IF(COUNTA(A108:H108)=0,"",TEXTJOIN("; ",TRUE,IF(B108="","Missing project",""),IF(C108="","Missing job",""),IF(D108="","Missing request date",""),IF(E108&lt;TODAY(),"Expired locate",""),IF(F108&lt;&gt;"Cleared","Not clear to work","")))</x:f>
      </x:c>
    </x:row>
    <x:row r="109" ht="20" customHeight="1">
      <x:c r="A109" s="15"/>
      <x:c r="B109" s="15"/>
      <x:c r="C109" s="15"/>
      <x:c r="D109" s="28"/>
      <x:c r="E109" s="28"/>
      <x:c r="F109" s="15"/>
      <x:c r="G109" s="15"/>
      <x:c r="H109" s="15"/>
      <x:c r="I109" s="15" t="str">
        <x:f>IF(COUNTA(A109:H109)=0,"",IF(F109="Cleared","Yes","No"))</x:f>
      </x:c>
      <x:c r="J109" s="15" t="str">
        <x:f>IF(COUNTA(A109:H109)=0,"",TEXTJOIN("; ",TRUE,IF(B109="","Missing project",""),IF(C109="","Missing job",""),IF(D109="","Missing request date",""),IF(E109&lt;TODAY(),"Expired locate",""),IF(F109&lt;&gt;"Cleared","Not clear to work","")))</x:f>
      </x:c>
    </x:row>
    <x:row r="110" ht="20" customHeight="1">
      <x:c r="A110" s="15"/>
      <x:c r="B110" s="15"/>
      <x:c r="C110" s="15"/>
      <x:c r="D110" s="28"/>
      <x:c r="E110" s="28"/>
      <x:c r="F110" s="15"/>
      <x:c r="G110" s="15"/>
      <x:c r="H110" s="15"/>
      <x:c r="I110" s="15" t="str">
        <x:f>IF(COUNTA(A110:H110)=0,"",IF(F110="Cleared","Yes","No"))</x:f>
      </x:c>
      <x:c r="J110" s="15" t="str">
        <x:f>IF(COUNTA(A110:H110)=0,"",TEXTJOIN("; ",TRUE,IF(B110="","Missing project",""),IF(C110="","Missing job",""),IF(D110="","Missing request date",""),IF(E110&lt;TODAY(),"Expired locate",""),IF(F110&lt;&gt;"Cleared","Not clear to work","")))</x:f>
      </x:c>
    </x:row>
    <x:row r="111" ht="20" customHeight="1">
      <x:c r="A111" s="15"/>
      <x:c r="B111" s="15"/>
      <x:c r="C111" s="15"/>
      <x:c r="D111" s="28"/>
      <x:c r="E111" s="28"/>
      <x:c r="F111" s="15"/>
      <x:c r="G111" s="15"/>
      <x:c r="H111" s="15"/>
      <x:c r="I111" s="15" t="str">
        <x:f>IF(COUNTA(A111:H111)=0,"",IF(F111="Cleared","Yes","No"))</x:f>
      </x:c>
      <x:c r="J111" s="15" t="str">
        <x:f>IF(COUNTA(A111:H111)=0,"",TEXTJOIN("; ",TRUE,IF(B111="","Missing project",""),IF(C111="","Missing job",""),IF(D111="","Missing request date",""),IF(E111&lt;TODAY(),"Expired locate",""),IF(F111&lt;&gt;"Cleared","Not clear to work","")))</x:f>
      </x:c>
    </x:row>
    <x:row r="112" ht="20" customHeight="1">
      <x:c r="A112" s="15"/>
      <x:c r="B112" s="15"/>
      <x:c r="C112" s="15"/>
      <x:c r="D112" s="28"/>
      <x:c r="E112" s="28"/>
      <x:c r="F112" s="15"/>
      <x:c r="G112" s="15"/>
      <x:c r="H112" s="15"/>
      <x:c r="I112" s="15" t="str">
        <x:f>IF(COUNTA(A112:H112)=0,"",IF(F112="Cleared","Yes","No"))</x:f>
      </x:c>
      <x:c r="J112" s="15" t="str">
        <x:f>IF(COUNTA(A112:H112)=0,"",TEXTJOIN("; ",TRUE,IF(B112="","Missing project",""),IF(C112="","Missing job",""),IF(D112="","Missing request date",""),IF(E112&lt;TODAY(),"Expired locate",""),IF(F112&lt;&gt;"Cleared","Not clear to work","")))</x:f>
      </x:c>
    </x:row>
    <x:row r="113" ht="20" customHeight="1">
      <x:c r="A113" s="15"/>
      <x:c r="B113" s="15"/>
      <x:c r="C113" s="15"/>
      <x:c r="D113" s="28"/>
      <x:c r="E113" s="28"/>
      <x:c r="F113" s="15"/>
      <x:c r="G113" s="15"/>
      <x:c r="H113" s="15"/>
      <x:c r="I113" s="15" t="str">
        <x:f>IF(COUNTA(A113:H113)=0,"",IF(F113="Cleared","Yes","No"))</x:f>
      </x:c>
      <x:c r="J113" s="15" t="str">
        <x:f>IF(COUNTA(A113:H113)=0,"",TEXTJOIN("; ",TRUE,IF(B113="","Missing project",""),IF(C113="","Missing job",""),IF(D113="","Missing request date",""),IF(E113&lt;TODAY(),"Expired locate",""),IF(F113&lt;&gt;"Cleared","Not clear to work","")))</x:f>
      </x:c>
    </x:row>
    <x:row r="114" ht="20" customHeight="1">
      <x:c r="A114" s="15"/>
      <x:c r="B114" s="15"/>
      <x:c r="C114" s="15"/>
      <x:c r="D114" s="28"/>
      <x:c r="E114" s="28"/>
      <x:c r="F114" s="15"/>
      <x:c r="G114" s="15"/>
      <x:c r="H114" s="15"/>
      <x:c r="I114" s="15" t="str">
        <x:f>IF(COUNTA(A114:H114)=0,"",IF(F114="Cleared","Yes","No"))</x:f>
      </x:c>
      <x:c r="J114" s="15" t="str">
        <x:f>IF(COUNTA(A114:H114)=0,"",TEXTJOIN("; ",TRUE,IF(B114="","Missing project",""),IF(C114="","Missing job",""),IF(D114="","Missing request date",""),IF(E114&lt;TODAY(),"Expired locate",""),IF(F114&lt;&gt;"Cleared","Not clear to work","")))</x:f>
      </x:c>
    </x:row>
    <x:row r="115" ht="20" customHeight="1">
      <x:c r="A115" s="15"/>
      <x:c r="B115" s="15"/>
      <x:c r="C115" s="15"/>
      <x:c r="D115" s="28"/>
      <x:c r="E115" s="28"/>
      <x:c r="F115" s="15"/>
      <x:c r="G115" s="15"/>
      <x:c r="H115" s="15"/>
      <x:c r="I115" s="15" t="str">
        <x:f>IF(COUNTA(A115:H115)=0,"",IF(F115="Cleared","Yes","No"))</x:f>
      </x:c>
      <x:c r="J115" s="15" t="str">
        <x:f>IF(COUNTA(A115:H115)=0,"",TEXTJOIN("; ",TRUE,IF(B115="","Missing project",""),IF(C115="","Missing job",""),IF(D115="","Missing request date",""),IF(E115&lt;TODAY(),"Expired locate",""),IF(F115&lt;&gt;"Cleared","Not clear to work","")))</x:f>
      </x:c>
    </x:row>
    <x:row r="116" ht="20" customHeight="1">
      <x:c r="A116" s="15"/>
      <x:c r="B116" s="15"/>
      <x:c r="C116" s="15"/>
      <x:c r="D116" s="28"/>
      <x:c r="E116" s="28"/>
      <x:c r="F116" s="15"/>
      <x:c r="G116" s="15"/>
      <x:c r="H116" s="15"/>
      <x:c r="I116" s="15" t="str">
        <x:f>IF(COUNTA(A116:H116)=0,"",IF(F116="Cleared","Yes","No"))</x:f>
      </x:c>
      <x:c r="J116" s="15" t="str">
        <x:f>IF(COUNTA(A116:H116)=0,"",TEXTJOIN("; ",TRUE,IF(B116="","Missing project",""),IF(C116="","Missing job",""),IF(D116="","Missing request date",""),IF(E116&lt;TODAY(),"Expired locate",""),IF(F116&lt;&gt;"Cleared","Not clear to work","")))</x:f>
      </x:c>
    </x:row>
    <x:row r="117" ht="20" customHeight="1">
      <x:c r="A117" s="15"/>
      <x:c r="B117" s="15"/>
      <x:c r="C117" s="15"/>
      <x:c r="D117" s="28"/>
      <x:c r="E117" s="28"/>
      <x:c r="F117" s="15"/>
      <x:c r="G117" s="15"/>
      <x:c r="H117" s="15"/>
      <x:c r="I117" s="15" t="str">
        <x:f>IF(COUNTA(A117:H117)=0,"",IF(F117="Cleared","Yes","No"))</x:f>
      </x:c>
      <x:c r="J117" s="15" t="str">
        <x:f>IF(COUNTA(A117:H117)=0,"",TEXTJOIN("; ",TRUE,IF(B117="","Missing project",""),IF(C117="","Missing job",""),IF(D117="","Missing request date",""),IF(E117&lt;TODAY(),"Expired locate",""),IF(F117&lt;&gt;"Cleared","Not clear to work","")))</x:f>
      </x:c>
    </x:row>
    <x:row r="118" ht="20" customHeight="1">
      <x:c r="A118" s="15"/>
      <x:c r="B118" s="15"/>
      <x:c r="C118" s="15"/>
      <x:c r="D118" s="28"/>
      <x:c r="E118" s="28"/>
      <x:c r="F118" s="15"/>
      <x:c r="G118" s="15"/>
      <x:c r="H118" s="15"/>
      <x:c r="I118" s="15" t="str">
        <x:f>IF(COUNTA(A118:H118)=0,"",IF(F118="Cleared","Yes","No"))</x:f>
      </x:c>
      <x:c r="J118" s="15" t="str">
        <x:f>IF(COUNTA(A118:H118)=0,"",TEXTJOIN("; ",TRUE,IF(B118="","Missing project",""),IF(C118="","Missing job",""),IF(D118="","Missing request date",""),IF(E118&lt;TODAY(),"Expired locate",""),IF(F118&lt;&gt;"Cleared","Not clear to work","")))</x:f>
      </x:c>
    </x:row>
    <x:row r="119" ht="20" customHeight="1">
      <x:c r="A119" s="15"/>
      <x:c r="B119" s="15"/>
      <x:c r="C119" s="15"/>
      <x:c r="D119" s="28"/>
      <x:c r="E119" s="28"/>
      <x:c r="F119" s="15"/>
      <x:c r="G119" s="15"/>
      <x:c r="H119" s="15"/>
      <x:c r="I119" s="15" t="str">
        <x:f>IF(COUNTA(A119:H119)=0,"",IF(F119="Cleared","Yes","No"))</x:f>
      </x:c>
      <x:c r="J119" s="15" t="str">
        <x:f>IF(COUNTA(A119:H119)=0,"",TEXTJOIN("; ",TRUE,IF(B119="","Missing project",""),IF(C119="","Missing job",""),IF(D119="","Missing request date",""),IF(E119&lt;TODAY(),"Expired locate",""),IF(F119&lt;&gt;"Cleared","Not clear to work","")))</x:f>
      </x:c>
    </x:row>
    <x:row r="120" ht="20" customHeight="1">
      <x:c r="A120" s="15"/>
      <x:c r="B120" s="15"/>
      <x:c r="C120" s="15"/>
      <x:c r="D120" s="28"/>
      <x:c r="E120" s="28"/>
      <x:c r="F120" s="15"/>
      <x:c r="G120" s="15"/>
      <x:c r="H120" s="15"/>
      <x:c r="I120" s="15" t="str">
        <x:f>IF(COUNTA(A120:H120)=0,"",IF(F120="Cleared","Yes","No"))</x:f>
      </x:c>
      <x:c r="J120" s="15" t="str">
        <x:f>IF(COUNTA(A120:H120)=0,"",TEXTJOIN("; ",TRUE,IF(B120="","Missing project",""),IF(C120="","Missing job",""),IF(D120="","Missing request date",""),IF(E120&lt;TODAY(),"Expired locate",""),IF(F120&lt;&gt;"Cleared","Not clear to work","")))</x:f>
      </x:c>
    </x:row>
    <x:row r="121" ht="20" customHeight="1">
      <x:c r="A121" s="15"/>
      <x:c r="B121" s="15"/>
      <x:c r="C121" s="15"/>
      <x:c r="D121" s="28"/>
      <x:c r="E121" s="28"/>
      <x:c r="F121" s="15"/>
      <x:c r="G121" s="15"/>
      <x:c r="H121" s="15"/>
      <x:c r="I121" s="15" t="str">
        <x:f>IF(COUNTA(A121:H121)=0,"",IF(F121="Cleared","Yes","No"))</x:f>
      </x:c>
      <x:c r="J121" s="15" t="str">
        <x:f>IF(COUNTA(A121:H121)=0,"",TEXTJOIN("; ",TRUE,IF(B121="","Missing project",""),IF(C121="","Missing job",""),IF(D121="","Missing request date",""),IF(E121&lt;TODAY(),"Expired locate",""),IF(F121&lt;&gt;"Cleared","Not clear to work","")))</x:f>
      </x:c>
    </x:row>
    <x:row r="122" ht="20" customHeight="1">
      <x:c r="A122" s="15"/>
      <x:c r="B122" s="15"/>
      <x:c r="C122" s="15"/>
      <x:c r="D122" s="28"/>
      <x:c r="E122" s="28"/>
      <x:c r="F122" s="15"/>
      <x:c r="G122" s="15"/>
      <x:c r="H122" s="15"/>
      <x:c r="I122" s="15" t="str">
        <x:f>IF(COUNTA(A122:H122)=0,"",IF(F122="Cleared","Yes","No"))</x:f>
      </x:c>
      <x:c r="J122" s="15" t="str">
        <x:f>IF(COUNTA(A122:H122)=0,"",TEXTJOIN("; ",TRUE,IF(B122="","Missing project",""),IF(C122="","Missing job",""),IF(D122="","Missing request date",""),IF(E122&lt;TODAY(),"Expired locate",""),IF(F122&lt;&gt;"Cleared","Not clear to work","")))</x:f>
      </x:c>
    </x:row>
    <x:row r="123" ht="20" customHeight="1">
      <x:c r="A123" s="15"/>
      <x:c r="B123" s="15"/>
      <x:c r="C123" s="15"/>
      <x:c r="D123" s="28"/>
      <x:c r="E123" s="28"/>
      <x:c r="F123" s="15"/>
      <x:c r="G123" s="15"/>
      <x:c r="H123" s="15"/>
      <x:c r="I123" s="15" t="str">
        <x:f>IF(COUNTA(A123:H123)=0,"",IF(F123="Cleared","Yes","No"))</x:f>
      </x:c>
      <x:c r="J123" s="15" t="str">
        <x:f>IF(COUNTA(A123:H123)=0,"",TEXTJOIN("; ",TRUE,IF(B123="","Missing project",""),IF(C123="","Missing job",""),IF(D123="","Missing request date",""),IF(E123&lt;TODAY(),"Expired locate",""),IF(F123&lt;&gt;"Cleared","Not clear to work","")))</x:f>
      </x:c>
    </x:row>
    <x:row r="124" ht="20" customHeight="1">
      <x:c r="A124" s="15"/>
      <x:c r="B124" s="15"/>
      <x:c r="C124" s="15"/>
      <x:c r="D124" s="28"/>
      <x:c r="E124" s="28"/>
      <x:c r="F124" s="15"/>
      <x:c r="G124" s="15"/>
      <x:c r="H124" s="15"/>
      <x:c r="I124" s="15" t="str">
        <x:f>IF(COUNTA(A124:H124)=0,"",IF(F124="Cleared","Yes","No"))</x:f>
      </x:c>
      <x:c r="J124" s="15" t="str">
        <x:f>IF(COUNTA(A124:H124)=0,"",TEXTJOIN("; ",TRUE,IF(B124="","Missing project",""),IF(C124="","Missing job",""),IF(D124="","Missing request date",""),IF(E124&lt;TODAY(),"Expired locate",""),IF(F124&lt;&gt;"Cleared","Not clear to work","")))</x:f>
      </x:c>
    </x:row>
    <x:row r="125" ht="20" customHeight="1">
      <x:c r="A125" s="15"/>
      <x:c r="B125" s="15"/>
      <x:c r="C125" s="15"/>
      <x:c r="D125" s="28"/>
      <x:c r="E125" s="28"/>
      <x:c r="F125" s="15"/>
      <x:c r="G125" s="15"/>
      <x:c r="H125" s="15"/>
      <x:c r="I125" s="15" t="str">
        <x:f>IF(COUNTA(A125:H125)=0,"",IF(F125="Cleared","Yes","No"))</x:f>
      </x:c>
      <x:c r="J125" s="15" t="str">
        <x:f>IF(COUNTA(A125:H125)=0,"",TEXTJOIN("; ",TRUE,IF(B125="","Missing project",""),IF(C125="","Missing job",""),IF(D125="","Missing request date",""),IF(E125&lt;TODAY(),"Expired locate",""),IF(F125&lt;&gt;"Cleared","Not clear to work","")))</x:f>
      </x:c>
    </x:row>
    <x:row r="126" ht="20" customHeight="1">
      <x:c r="A126" s="15"/>
      <x:c r="B126" s="15"/>
      <x:c r="C126" s="15"/>
      <x:c r="D126" s="28"/>
      <x:c r="E126" s="28"/>
      <x:c r="F126" s="15"/>
      <x:c r="G126" s="15"/>
      <x:c r="H126" s="15"/>
      <x:c r="I126" s="15" t="str">
        <x:f>IF(COUNTA(A126:H126)=0,"",IF(F126="Cleared","Yes","No"))</x:f>
      </x:c>
      <x:c r="J126" s="15" t="str">
        <x:f>IF(COUNTA(A126:H126)=0,"",TEXTJOIN("; ",TRUE,IF(B126="","Missing project",""),IF(C126="","Missing job",""),IF(D126="","Missing request date",""),IF(E126&lt;TODAY(),"Expired locate",""),IF(F126&lt;&gt;"Cleared","Not clear to work","")))</x:f>
      </x:c>
    </x:row>
    <x:row r="127" ht="20" customHeight="1">
      <x:c r="A127" s="15"/>
      <x:c r="B127" s="15"/>
      <x:c r="C127" s="15"/>
      <x:c r="D127" s="28"/>
      <x:c r="E127" s="28"/>
      <x:c r="F127" s="15"/>
      <x:c r="G127" s="15"/>
      <x:c r="H127" s="15"/>
      <x:c r="I127" s="15" t="str">
        <x:f>IF(COUNTA(A127:H127)=0,"",IF(F127="Cleared","Yes","No"))</x:f>
      </x:c>
      <x:c r="J127" s="15" t="str">
        <x:f>IF(COUNTA(A127:H127)=0,"",TEXTJOIN("; ",TRUE,IF(B127="","Missing project",""),IF(C127="","Missing job",""),IF(D127="","Missing request date",""),IF(E127&lt;TODAY(),"Expired locate",""),IF(F127&lt;&gt;"Cleared","Not clear to work","")))</x:f>
      </x:c>
    </x:row>
    <x:row r="128" ht="20" customHeight="1">
      <x:c r="A128" s="15"/>
      <x:c r="B128" s="15"/>
      <x:c r="C128" s="15"/>
      <x:c r="D128" s="28"/>
      <x:c r="E128" s="28"/>
      <x:c r="F128" s="15"/>
      <x:c r="G128" s="15"/>
      <x:c r="H128" s="15"/>
      <x:c r="I128" s="15" t="str">
        <x:f>IF(COUNTA(A128:H128)=0,"",IF(F128="Cleared","Yes","No"))</x:f>
      </x:c>
      <x:c r="J128" s="15" t="str">
        <x:f>IF(COUNTA(A128:H128)=0,"",TEXTJOIN("; ",TRUE,IF(B128="","Missing project",""),IF(C128="","Missing job",""),IF(D128="","Missing request date",""),IF(E128&lt;TODAY(),"Expired locate",""),IF(F128&lt;&gt;"Cleared","Not clear to work","")))</x:f>
      </x:c>
    </x:row>
    <x:row r="129" ht="20" customHeight="1">
      <x:c r="A129" s="15"/>
      <x:c r="B129" s="15"/>
      <x:c r="C129" s="15"/>
      <x:c r="D129" s="28"/>
      <x:c r="E129" s="28"/>
      <x:c r="F129" s="15"/>
      <x:c r="G129" s="15"/>
      <x:c r="H129" s="15"/>
      <x:c r="I129" s="15" t="str">
        <x:f>IF(COUNTA(A129:H129)=0,"",IF(F129="Cleared","Yes","No"))</x:f>
      </x:c>
      <x:c r="J129" s="15" t="str">
        <x:f>IF(COUNTA(A129:H129)=0,"",TEXTJOIN("; ",TRUE,IF(B129="","Missing project",""),IF(C129="","Missing job",""),IF(D129="","Missing request date",""),IF(E129&lt;TODAY(),"Expired locate",""),IF(F129&lt;&gt;"Cleared","Not clear to work","")))</x:f>
      </x:c>
    </x:row>
    <x:row r="130" ht="20" customHeight="1">
      <x:c r="A130" s="15"/>
      <x:c r="B130" s="15"/>
      <x:c r="C130" s="15"/>
      <x:c r="D130" s="28"/>
      <x:c r="E130" s="28"/>
      <x:c r="F130" s="15"/>
      <x:c r="G130" s="15"/>
      <x:c r="H130" s="15"/>
      <x:c r="I130" s="15" t="str">
        <x:f>IF(COUNTA(A130:H130)=0,"",IF(F130="Cleared","Yes","No"))</x:f>
      </x:c>
      <x:c r="J130" s="15" t="str">
        <x:f>IF(COUNTA(A130:H130)=0,"",TEXTJOIN("; ",TRUE,IF(B130="","Missing project",""),IF(C130="","Missing job",""),IF(D130="","Missing request date",""),IF(E130&lt;TODAY(),"Expired locate",""),IF(F130&lt;&gt;"Cleared","Not clear to work","")))</x:f>
      </x:c>
    </x:row>
    <x:row r="131" ht="20" customHeight="1">
      <x:c r="A131" s="15"/>
      <x:c r="B131" s="15"/>
      <x:c r="C131" s="15"/>
      <x:c r="D131" s="28"/>
      <x:c r="E131" s="28"/>
      <x:c r="F131" s="15"/>
      <x:c r="G131" s="15"/>
      <x:c r="H131" s="15"/>
      <x:c r="I131" s="15" t="str">
        <x:f>IF(COUNTA(A131:H131)=0,"",IF(F131="Cleared","Yes","No"))</x:f>
      </x:c>
      <x:c r="J131" s="15" t="str">
        <x:f>IF(COUNTA(A131:H131)=0,"",TEXTJOIN("; ",TRUE,IF(B131="","Missing project",""),IF(C131="","Missing job",""),IF(D131="","Missing request date",""),IF(E131&lt;TODAY(),"Expired locate",""),IF(F131&lt;&gt;"Cleared","Not clear to work","")))</x:f>
      </x:c>
    </x:row>
    <x:row r="132" ht="20" customHeight="1">
      <x:c r="A132" s="15"/>
      <x:c r="B132" s="15"/>
      <x:c r="C132" s="15"/>
      <x:c r="D132" s="28"/>
      <x:c r="E132" s="28"/>
      <x:c r="F132" s="15"/>
      <x:c r="G132" s="15"/>
      <x:c r="H132" s="15"/>
      <x:c r="I132" s="15" t="str">
        <x:f>IF(COUNTA(A132:H132)=0,"",IF(F132="Cleared","Yes","No"))</x:f>
      </x:c>
      <x:c r="J132" s="15" t="str">
        <x:f>IF(COUNTA(A132:H132)=0,"",TEXTJOIN("; ",TRUE,IF(B132="","Missing project",""),IF(C132="","Missing job",""),IF(D132="","Missing request date",""),IF(E132&lt;TODAY(),"Expired locate",""),IF(F132&lt;&gt;"Cleared","Not clear to work","")))</x:f>
      </x:c>
    </x:row>
    <x:row r="133" ht="20" customHeight="1">
      <x:c r="A133" s="15"/>
      <x:c r="B133" s="15"/>
      <x:c r="C133" s="15"/>
      <x:c r="D133" s="28"/>
      <x:c r="E133" s="28"/>
      <x:c r="F133" s="15"/>
      <x:c r="G133" s="15"/>
      <x:c r="H133" s="15"/>
      <x:c r="I133" s="15" t="str">
        <x:f>IF(COUNTA(A133:H133)=0,"",IF(F133="Cleared","Yes","No"))</x:f>
      </x:c>
      <x:c r="J133" s="15" t="str">
        <x:f>IF(COUNTA(A133:H133)=0,"",TEXTJOIN("; ",TRUE,IF(B133="","Missing project",""),IF(C133="","Missing job",""),IF(D133="","Missing request date",""),IF(E133&lt;TODAY(),"Expired locate",""),IF(F133&lt;&gt;"Cleared","Not clear to work","")))</x:f>
      </x:c>
    </x:row>
    <x:row r="134" ht="20" customHeight="1">
      <x:c r="A134" s="15"/>
      <x:c r="B134" s="15"/>
      <x:c r="C134" s="15"/>
      <x:c r="D134" s="28"/>
      <x:c r="E134" s="28"/>
      <x:c r="F134" s="15"/>
      <x:c r="G134" s="15"/>
      <x:c r="H134" s="15"/>
      <x:c r="I134" s="15" t="str">
        <x:f>IF(COUNTA(A134:H134)=0,"",IF(F134="Cleared","Yes","No"))</x:f>
      </x:c>
      <x:c r="J134" s="15" t="str">
        <x:f>IF(COUNTA(A134:H134)=0,"",TEXTJOIN("; ",TRUE,IF(B134="","Missing project",""),IF(C134="","Missing job",""),IF(D134="","Missing request date",""),IF(E134&lt;TODAY(),"Expired locate",""),IF(F134&lt;&gt;"Cleared","Not clear to work","")))</x:f>
      </x:c>
    </x:row>
    <x:row r="135" ht="20" customHeight="1">
      <x:c r="A135" s="15"/>
      <x:c r="B135" s="15"/>
      <x:c r="C135" s="15"/>
      <x:c r="D135" s="28"/>
      <x:c r="E135" s="28"/>
      <x:c r="F135" s="15"/>
      <x:c r="G135" s="15"/>
      <x:c r="H135" s="15"/>
      <x:c r="I135" s="15" t="str">
        <x:f>IF(COUNTA(A135:H135)=0,"",IF(F135="Cleared","Yes","No"))</x:f>
      </x:c>
      <x:c r="J135" s="15" t="str">
        <x:f>IF(COUNTA(A135:H135)=0,"",TEXTJOIN("; ",TRUE,IF(B135="","Missing project",""),IF(C135="","Missing job",""),IF(D135="","Missing request date",""),IF(E135&lt;TODAY(),"Expired locate",""),IF(F135&lt;&gt;"Cleared","Not clear to work","")))</x:f>
      </x:c>
    </x:row>
    <x:row r="136" ht="20" customHeight="1">
      <x:c r="A136" s="15"/>
      <x:c r="B136" s="15"/>
      <x:c r="C136" s="15"/>
      <x:c r="D136" s="28"/>
      <x:c r="E136" s="28"/>
      <x:c r="F136" s="15"/>
      <x:c r="G136" s="15"/>
      <x:c r="H136" s="15"/>
      <x:c r="I136" s="15" t="str">
        <x:f>IF(COUNTA(A136:H136)=0,"",IF(F136="Cleared","Yes","No"))</x:f>
      </x:c>
      <x:c r="J136" s="15" t="str">
        <x:f>IF(COUNTA(A136:H136)=0,"",TEXTJOIN("; ",TRUE,IF(B136="","Missing project",""),IF(C136="","Missing job",""),IF(D136="","Missing request date",""),IF(E136&lt;TODAY(),"Expired locate",""),IF(F136&lt;&gt;"Cleared","Not clear to work","")))</x:f>
      </x:c>
    </x:row>
    <x:row r="137" ht="20" customHeight="1">
      <x:c r="A137" s="15"/>
      <x:c r="B137" s="15"/>
      <x:c r="C137" s="15"/>
      <x:c r="D137" s="28"/>
      <x:c r="E137" s="28"/>
      <x:c r="F137" s="15"/>
      <x:c r="G137" s="15"/>
      <x:c r="H137" s="15"/>
      <x:c r="I137" s="15" t="str">
        <x:f>IF(COUNTA(A137:H137)=0,"",IF(F137="Cleared","Yes","No"))</x:f>
      </x:c>
      <x:c r="J137" s="15" t="str">
        <x:f>IF(COUNTA(A137:H137)=0,"",TEXTJOIN("; ",TRUE,IF(B137="","Missing project",""),IF(C137="","Missing job",""),IF(D137="","Missing request date",""),IF(E137&lt;TODAY(),"Expired locate",""),IF(F137&lt;&gt;"Cleared","Not clear to work","")))</x:f>
      </x:c>
    </x:row>
    <x:row r="138" ht="20" customHeight="1">
      <x:c r="A138" s="15"/>
      <x:c r="B138" s="15"/>
      <x:c r="C138" s="15"/>
      <x:c r="D138" s="28"/>
      <x:c r="E138" s="28"/>
      <x:c r="F138" s="15"/>
      <x:c r="G138" s="15"/>
      <x:c r="H138" s="15"/>
      <x:c r="I138" s="15" t="str">
        <x:f>IF(COUNTA(A138:H138)=0,"",IF(F138="Cleared","Yes","No"))</x:f>
      </x:c>
      <x:c r="J138" s="15" t="str">
        <x:f>IF(COUNTA(A138:H138)=0,"",TEXTJOIN("; ",TRUE,IF(B138="","Missing project",""),IF(C138="","Missing job",""),IF(D138="","Missing request date",""),IF(E138&lt;TODAY(),"Expired locate",""),IF(F138&lt;&gt;"Cleared","Not clear to work","")))</x:f>
      </x:c>
    </x:row>
    <x:row r="139" ht="20" customHeight="1">
      <x:c r="A139" s="15"/>
      <x:c r="B139" s="15"/>
      <x:c r="C139" s="15"/>
      <x:c r="D139" s="28"/>
      <x:c r="E139" s="28"/>
      <x:c r="F139" s="15"/>
      <x:c r="G139" s="15"/>
      <x:c r="H139" s="15"/>
      <x:c r="I139" s="15" t="str">
        <x:f>IF(COUNTA(A139:H139)=0,"",IF(F139="Cleared","Yes","No"))</x:f>
      </x:c>
      <x:c r="J139" s="15" t="str">
        <x:f>IF(COUNTA(A139:H139)=0,"",TEXTJOIN("; ",TRUE,IF(B139="","Missing project",""),IF(C139="","Missing job",""),IF(D139="","Missing request date",""),IF(E139&lt;TODAY(),"Expired locate",""),IF(F139&lt;&gt;"Cleared","Not clear to work","")))</x:f>
      </x:c>
    </x:row>
    <x:row r="140" ht="20" customHeight="1">
      <x:c r="A140" s="15"/>
      <x:c r="B140" s="15"/>
      <x:c r="C140" s="15"/>
      <x:c r="D140" s="28"/>
      <x:c r="E140" s="28"/>
      <x:c r="F140" s="15"/>
      <x:c r="G140" s="15"/>
      <x:c r="H140" s="15"/>
      <x:c r="I140" s="15" t="str">
        <x:f>IF(COUNTA(A140:H140)=0,"",IF(F140="Cleared","Yes","No"))</x:f>
      </x:c>
      <x:c r="J140" s="15" t="str">
        <x:f>IF(COUNTA(A140:H140)=0,"",TEXTJOIN("; ",TRUE,IF(B140="","Missing project",""),IF(C140="","Missing job",""),IF(D140="","Missing request date",""),IF(E140&lt;TODAY(),"Expired locate",""),IF(F140&lt;&gt;"Cleared","Not clear to work","")))</x:f>
      </x:c>
    </x:row>
    <x:row r="141" ht="20" customHeight="1">
      <x:c r="A141" s="15"/>
      <x:c r="B141" s="15"/>
      <x:c r="C141" s="15"/>
      <x:c r="D141" s="28"/>
      <x:c r="E141" s="28"/>
      <x:c r="F141" s="15"/>
      <x:c r="G141" s="15"/>
      <x:c r="H141" s="15"/>
      <x:c r="I141" s="15" t="str">
        <x:f>IF(COUNTA(A141:H141)=0,"",IF(F141="Cleared","Yes","No"))</x:f>
      </x:c>
      <x:c r="J141" s="15" t="str">
        <x:f>IF(COUNTA(A141:H141)=0,"",TEXTJOIN("; ",TRUE,IF(B141="","Missing project",""),IF(C141="","Missing job",""),IF(D141="","Missing request date",""),IF(E141&lt;TODAY(),"Expired locate",""),IF(F141&lt;&gt;"Cleared","Not clear to work","")))</x:f>
      </x:c>
    </x:row>
    <x:row r="142" ht="20" customHeight="1">
      <x:c r="A142" s="15"/>
      <x:c r="B142" s="15"/>
      <x:c r="C142" s="15"/>
      <x:c r="D142" s="28"/>
      <x:c r="E142" s="28"/>
      <x:c r="F142" s="15"/>
      <x:c r="G142" s="15"/>
      <x:c r="H142" s="15"/>
      <x:c r="I142" s="15" t="str">
        <x:f>IF(COUNTA(A142:H142)=0,"",IF(F142="Cleared","Yes","No"))</x:f>
      </x:c>
      <x:c r="J142" s="15" t="str">
        <x:f>IF(COUNTA(A142:H142)=0,"",TEXTJOIN("; ",TRUE,IF(B142="","Missing project",""),IF(C142="","Missing job",""),IF(D142="","Missing request date",""),IF(E142&lt;TODAY(),"Expired locate",""),IF(F142&lt;&gt;"Cleared","Not clear to work","")))</x:f>
      </x:c>
    </x:row>
    <x:row r="143" ht="20" customHeight="1">
      <x:c r="A143" s="15"/>
      <x:c r="B143" s="15"/>
      <x:c r="C143" s="15"/>
      <x:c r="D143" s="28"/>
      <x:c r="E143" s="28"/>
      <x:c r="F143" s="15"/>
      <x:c r="G143" s="15"/>
      <x:c r="H143" s="15"/>
      <x:c r="I143" s="15" t="str">
        <x:f>IF(COUNTA(A143:H143)=0,"",IF(F143="Cleared","Yes","No"))</x:f>
      </x:c>
      <x:c r="J143" s="15" t="str">
        <x:f>IF(COUNTA(A143:H143)=0,"",TEXTJOIN("; ",TRUE,IF(B143="","Missing project",""),IF(C143="","Missing job",""),IF(D143="","Missing request date",""),IF(E143&lt;TODAY(),"Expired locate",""),IF(F143&lt;&gt;"Cleared","Not clear to work","")))</x:f>
      </x:c>
    </x:row>
    <x:row r="144" ht="20" customHeight="1">
      <x:c r="A144" s="15"/>
      <x:c r="B144" s="15"/>
      <x:c r="C144" s="15"/>
      <x:c r="D144" s="28"/>
      <x:c r="E144" s="28"/>
      <x:c r="F144" s="15"/>
      <x:c r="G144" s="15"/>
      <x:c r="H144" s="15"/>
      <x:c r="I144" s="15" t="str">
        <x:f>IF(COUNTA(A144:H144)=0,"",IF(F144="Cleared","Yes","No"))</x:f>
      </x:c>
      <x:c r="J144" s="15" t="str">
        <x:f>IF(COUNTA(A144:H144)=0,"",TEXTJOIN("; ",TRUE,IF(B144="","Missing project",""),IF(C144="","Missing job",""),IF(D144="","Missing request date",""),IF(E144&lt;TODAY(),"Expired locate",""),IF(F144&lt;&gt;"Cleared","Not clear to work","")))</x:f>
      </x:c>
    </x:row>
    <x:row r="145" ht="20" customHeight="1">
      <x:c r="A145" s="15"/>
      <x:c r="B145" s="15"/>
      <x:c r="C145" s="15"/>
      <x:c r="D145" s="28"/>
      <x:c r="E145" s="28"/>
      <x:c r="F145" s="15"/>
      <x:c r="G145" s="15"/>
      <x:c r="H145" s="15"/>
      <x:c r="I145" s="15" t="str">
        <x:f>IF(COUNTA(A145:H145)=0,"",IF(F145="Cleared","Yes","No"))</x:f>
      </x:c>
      <x:c r="J145" s="15" t="str">
        <x:f>IF(COUNTA(A145:H145)=0,"",TEXTJOIN("; ",TRUE,IF(B145="","Missing project",""),IF(C145="","Missing job",""),IF(D145="","Missing request date",""),IF(E145&lt;TODAY(),"Expired locate",""),IF(F145&lt;&gt;"Cleared","Not clear to work","")))</x:f>
      </x:c>
    </x:row>
    <x:row r="146" ht="20" customHeight="1">
      <x:c r="A146" s="15"/>
      <x:c r="B146" s="15"/>
      <x:c r="C146" s="15"/>
      <x:c r="D146" s="28"/>
      <x:c r="E146" s="28"/>
      <x:c r="F146" s="15"/>
      <x:c r="G146" s="15"/>
      <x:c r="H146" s="15"/>
      <x:c r="I146" s="15" t="str">
        <x:f>IF(COUNTA(A146:H146)=0,"",IF(F146="Cleared","Yes","No"))</x:f>
      </x:c>
      <x:c r="J146" s="15" t="str">
        <x:f>IF(COUNTA(A146:H146)=0,"",TEXTJOIN("; ",TRUE,IF(B146="","Missing project",""),IF(C146="","Missing job",""),IF(D146="","Missing request date",""),IF(E146&lt;TODAY(),"Expired locate",""),IF(F146&lt;&gt;"Cleared","Not clear to work","")))</x:f>
      </x:c>
    </x:row>
    <x:row r="147" ht="20" customHeight="1">
      <x:c r="A147" s="15"/>
      <x:c r="B147" s="15"/>
      <x:c r="C147" s="15"/>
      <x:c r="D147" s="28"/>
      <x:c r="E147" s="28"/>
      <x:c r="F147" s="15"/>
      <x:c r="G147" s="15"/>
      <x:c r="H147" s="15"/>
      <x:c r="I147" s="15" t="str">
        <x:f>IF(COUNTA(A147:H147)=0,"",IF(F147="Cleared","Yes","No"))</x:f>
      </x:c>
      <x:c r="J147" s="15" t="str">
        <x:f>IF(COUNTA(A147:H147)=0,"",TEXTJOIN("; ",TRUE,IF(B147="","Missing project",""),IF(C147="","Missing job",""),IF(D147="","Missing request date",""),IF(E147&lt;TODAY(),"Expired locate",""),IF(F147&lt;&gt;"Cleared","Not clear to work","")))</x:f>
      </x:c>
    </x:row>
    <x:row r="148" ht="20" customHeight="1">
      <x:c r="A148" s="15"/>
      <x:c r="B148" s="15"/>
      <x:c r="C148" s="15"/>
      <x:c r="D148" s="28"/>
      <x:c r="E148" s="28"/>
      <x:c r="F148" s="15"/>
      <x:c r="G148" s="15"/>
      <x:c r="H148" s="15"/>
      <x:c r="I148" s="15" t="str">
        <x:f>IF(COUNTA(A148:H148)=0,"",IF(F148="Cleared","Yes","No"))</x:f>
      </x:c>
      <x:c r="J148" s="15" t="str">
        <x:f>IF(COUNTA(A148:H148)=0,"",TEXTJOIN("; ",TRUE,IF(B148="","Missing project",""),IF(C148="","Missing job",""),IF(D148="","Missing request date",""),IF(E148&lt;TODAY(),"Expired locate",""),IF(F148&lt;&gt;"Cleared","Not clear to work","")))</x:f>
      </x:c>
    </x:row>
    <x:row r="149" ht="20" customHeight="1">
      <x:c r="A149" s="15"/>
      <x:c r="B149" s="15"/>
      <x:c r="C149" s="15"/>
      <x:c r="D149" s="28"/>
      <x:c r="E149" s="28"/>
      <x:c r="F149" s="15"/>
      <x:c r="G149" s="15"/>
      <x:c r="H149" s="15"/>
      <x:c r="I149" s="15" t="str">
        <x:f>IF(COUNTA(A149:H149)=0,"",IF(F149="Cleared","Yes","No"))</x:f>
      </x:c>
      <x:c r="J149" s="15" t="str">
        <x:f>IF(COUNTA(A149:H149)=0,"",TEXTJOIN("; ",TRUE,IF(B149="","Missing project",""),IF(C149="","Missing job",""),IF(D149="","Missing request date",""),IF(E149&lt;TODAY(),"Expired locate",""),IF(F149&lt;&gt;"Cleared","Not clear to work","")))</x:f>
      </x:c>
    </x:row>
    <x:row r="150" ht="20" customHeight="1">
      <x:c r="A150" s="15"/>
      <x:c r="B150" s="15"/>
      <x:c r="C150" s="15"/>
      <x:c r="D150" s="28"/>
      <x:c r="E150" s="28"/>
      <x:c r="F150" s="15"/>
      <x:c r="G150" s="15"/>
      <x:c r="H150" s="15"/>
      <x:c r="I150" s="15" t="str">
        <x:f>IF(COUNTA(A150:H150)=0,"",IF(F150="Cleared","Yes","No"))</x:f>
      </x:c>
      <x:c r="J150" s="15" t="str">
        <x:f>IF(COUNTA(A150:H150)=0,"",TEXTJOIN("; ",TRUE,IF(B150="","Missing project",""),IF(C150="","Missing job",""),IF(D150="","Missing request date",""),IF(E150&lt;TODAY(),"Expired locate",""),IF(F150&lt;&gt;"Cleared","Not clear to work","")))</x:f>
      </x:c>
    </x:row>
    <x:row r="151" ht="20" customHeight="1">
      <x:c r="A151" s="15"/>
      <x:c r="B151" s="15"/>
      <x:c r="C151" s="15"/>
      <x:c r="D151" s="28"/>
      <x:c r="E151" s="28"/>
      <x:c r="F151" s="15"/>
      <x:c r="G151" s="15"/>
      <x:c r="H151" s="15"/>
      <x:c r="I151" s="15" t="str">
        <x:f>IF(COUNTA(A151:H151)=0,"",IF(F151="Cleared","Yes","No"))</x:f>
      </x:c>
      <x:c r="J151" s="15" t="str">
        <x:f>IF(COUNTA(A151:H151)=0,"",TEXTJOIN("; ",TRUE,IF(B151="","Missing project",""),IF(C151="","Missing job",""),IF(D151="","Missing request date",""),IF(E151&lt;TODAY(),"Expired locate",""),IF(F151&lt;&gt;"Cleared","Not clear to work","")))</x:f>
      </x:c>
    </x:row>
  </x:sheetData>
  <x:dataValidations count="1">
    <x:dataValidation type="list" sqref="F2:F151">
      <x:formula1>"Requested,Pending,Cleared,Expired,Cancelled,Re-Ticket"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e6bfaa1a514da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4" hidden="0" customWidth="1"/>
    <x:col min="4" max="4" width="18" hidden="0" customWidth="1"/>
    <x:col min="5" max="5" width="14" hidden="0" customWidth="1"/>
    <x:col min="6" max="6" width="14" hidden="0" customWidth="1"/>
    <x:col min="7" max="7" width="18" hidden="0" customWidth="1"/>
    <x:col min="8" max="8" width="22" hidden="0" customWidth="1"/>
    <x:col min="9" max="9" width="14" hidden="0" customWidth="1"/>
    <x:col min="10" max="10" width="16" hidden="0" customWidth="1"/>
    <x:col min="11" max="11" width="42" hidden="0" customWidth="1"/>
  </x:cols>
  <x:sheetData>
    <x:row r="1" ht="30" customHeight="1">
      <x:c r="A1" s="116" t="str">
        <x:v>RouterID</x:v>
      </x:c>
      <x:c r="B1" s="116" t="str">
        <x:v>ReceivedAt</x:v>
      </x:c>
      <x:c r="C1" s="116" t="str">
        <x:v>SourceFileName</x:v>
      </x:c>
      <x:c r="D1" s="116" t="str">
        <x:v>DetectedType</x:v>
      </x:c>
      <x:c r="E1" s="116" t="str">
        <x:v>ProjectID</x:v>
      </x:c>
      <x:c r="F1" s="116" t="str">
        <x:v>WorkDate</x:v>
      </x:c>
      <x:c r="G1" s="116" t="str">
        <x:v>Owner</x:v>
      </x:c>
      <x:c r="H1" s="116" t="str">
        <x:v>RouteDestination</x:v>
      </x:c>
      <x:c r="I1" s="116" t="str">
        <x:v>Status</x:v>
      </x:c>
      <x:c r="J1" s="116" t="str">
        <x:v>LinkedRecordID</x:v>
      </x:c>
      <x:c r="K1" s="116" t="str">
        <x:v>Notes</x:v>
      </x:c>
    </x:row>
    <x:row r="2" ht="20" customHeight="1">
      <x:c r="A2" s="15" t="str">
        <x:v>RTR-0001</x:v>
      </x:c>
      <x:c r="B2" s="122" t="n">
        <x:v>46204.75833333333</x:v>
      </x:c>
      <x:c r="C2" s="15" t="str">
        <x:v>alpha_daily_2026-07-01.xlsx</x:v>
      </x:c>
      <x:c r="D2" s="15" t="str">
        <x:v>Daily Report</x:v>
      </x:c>
      <x:c r="E2" s="15" t="str">
        <x:v>PRJ-1001</x:v>
      </x:c>
      <x:c r="F2" s="28" t="n">
        <x:v>46204</x:v>
      </x:c>
      <x:c r="G2" s="15" t="str">
        <x:v>Office Admin</x:v>
      </x:c>
      <x:c r="H2" s="15" t="str">
        <x:v>11_Intake_Daily</x:v>
      </x:c>
      <x:c r="I2" s="15" t="str">
        <x:v>Routed</x:v>
      </x:c>
      <x:c r="J2" s="15" t="str">
        <x:v>SUB-0001</x:v>
      </x:c>
      <x:c r="K2" s="15" t="str">
        <x:v>Sample route</x:v>
      </x:c>
    </x:row>
    <x:row r="3" ht="20" customHeight="1">
      <x:c r="A3" s="15" t="str">
        <x:v>RTR-0002</x:v>
      </x:c>
      <x:c r="B3" s="122" t="n">
        <x:v>46204.76458333333</x:v>
      </x:c>
      <x:c r="C3" s="15" t="str">
        <x:v>bore_production_2026-07-01.csv</x:v>
      </x:c>
      <x:c r="D3" s="15" t="str">
        <x:v>Production Log</x:v>
      </x:c>
      <x:c r="E3" s="15" t="str">
        <x:v>PRJ-1001</x:v>
      </x:c>
      <x:c r="F3" s="28" t="n">
        <x:v>46204</x:v>
      </x:c>
      <x:c r="G3" s="15" t="str">
        <x:v>Office Admin</x:v>
      </x:c>
      <x:c r="H3" s="15" t="str">
        <x:v>12_Production_Log</x:v>
      </x:c>
      <x:c r="I3" s="15" t="str">
        <x:v>Routed</x:v>
      </x:c>
      <x:c r="J3" s="15" t="str">
        <x:v>PROD-0002</x:v>
      </x:c>
      <x:c r="K3" s="15" t="str">
        <x:v>Sample route</x:v>
      </x:c>
    </x:row>
    <x:row r="4" ht="20" customHeight="1">
      <x:c r="A4" s="15"/>
      <x:c r="B4" s="122"/>
      <x:c r="C4" s="15"/>
      <x:c r="D4" s="15"/>
      <x:c r="E4" s="15"/>
      <x:c r="F4" s="28"/>
      <x:c r="G4" s="15"/>
      <x:c r="H4" s="15"/>
      <x:c r="I4" s="15"/>
      <x:c r="J4" s="15"/>
      <x:c r="K4" s="15"/>
    </x:row>
    <x:row r="5" ht="20" customHeight="1">
      <x:c r="A5" s="15"/>
      <x:c r="B5" s="122"/>
      <x:c r="C5" s="15"/>
      <x:c r="D5" s="15"/>
      <x:c r="E5" s="15"/>
      <x:c r="F5" s="28"/>
      <x:c r="G5" s="15"/>
      <x:c r="H5" s="15"/>
      <x:c r="I5" s="15"/>
      <x:c r="J5" s="15"/>
      <x:c r="K5" s="15"/>
    </x:row>
    <x:row r="6" ht="20" customHeight="1">
      <x:c r="A6" s="15"/>
      <x:c r="B6" s="122"/>
      <x:c r="C6" s="15"/>
      <x:c r="D6" s="15"/>
      <x:c r="E6" s="15"/>
      <x:c r="F6" s="28"/>
      <x:c r="G6" s="15"/>
      <x:c r="H6" s="15"/>
      <x:c r="I6" s="15"/>
      <x:c r="J6" s="15"/>
      <x:c r="K6" s="15"/>
    </x:row>
    <x:row r="7" ht="20" customHeight="1">
      <x:c r="A7" s="15"/>
      <x:c r="B7" s="122"/>
      <x:c r="C7" s="15"/>
      <x:c r="D7" s="15"/>
      <x:c r="E7" s="15"/>
      <x:c r="F7" s="28"/>
      <x:c r="G7" s="15"/>
      <x:c r="H7" s="15"/>
      <x:c r="I7" s="15"/>
      <x:c r="J7" s="15"/>
      <x:c r="K7" s="15"/>
    </x:row>
    <x:row r="8" ht="20" customHeight="1">
      <x:c r="A8" s="15"/>
      <x:c r="B8" s="122"/>
      <x:c r="C8" s="15"/>
      <x:c r="D8" s="15"/>
      <x:c r="E8" s="15"/>
      <x:c r="F8" s="28"/>
      <x:c r="G8" s="15"/>
      <x:c r="H8" s="15"/>
      <x:c r="I8" s="15"/>
      <x:c r="J8" s="15"/>
      <x:c r="K8" s="15"/>
    </x:row>
    <x:row r="9" ht="20" customHeight="1">
      <x:c r="A9" s="15"/>
      <x:c r="B9" s="122"/>
      <x:c r="C9" s="15"/>
      <x:c r="D9" s="15"/>
      <x:c r="E9" s="15"/>
      <x:c r="F9" s="28"/>
      <x:c r="G9" s="15"/>
      <x:c r="H9" s="15"/>
      <x:c r="I9" s="15"/>
      <x:c r="J9" s="15"/>
      <x:c r="K9" s="15"/>
    </x:row>
    <x:row r="10" ht="20" customHeight="1">
      <x:c r="A10" s="15"/>
      <x:c r="B10" s="122"/>
      <x:c r="C10" s="15"/>
      <x:c r="D10" s="15"/>
      <x:c r="E10" s="15"/>
      <x:c r="F10" s="28"/>
      <x:c r="G10" s="15"/>
      <x:c r="H10" s="15"/>
      <x:c r="I10" s="15"/>
      <x:c r="J10" s="15"/>
      <x:c r="K10" s="15"/>
    </x:row>
    <x:row r="11" ht="20" customHeight="1">
      <x:c r="A11" s="15"/>
      <x:c r="B11" s="122"/>
      <x:c r="C11" s="15"/>
      <x:c r="D11" s="15"/>
      <x:c r="E11" s="15"/>
      <x:c r="F11" s="28"/>
      <x:c r="G11" s="15"/>
      <x:c r="H11" s="15"/>
      <x:c r="I11" s="15"/>
      <x:c r="J11" s="15"/>
      <x:c r="K11" s="15"/>
    </x:row>
    <x:row r="12" ht="20" customHeight="1">
      <x:c r="A12" s="15"/>
      <x:c r="B12" s="122"/>
      <x:c r="C12" s="15"/>
      <x:c r="D12" s="15"/>
      <x:c r="E12" s="15"/>
      <x:c r="F12" s="28"/>
      <x:c r="G12" s="15"/>
      <x:c r="H12" s="15"/>
      <x:c r="I12" s="15"/>
      <x:c r="J12" s="15"/>
      <x:c r="K12" s="15"/>
    </x:row>
    <x:row r="13" ht="20" customHeight="1">
      <x:c r="A13" s="15"/>
      <x:c r="B13" s="122"/>
      <x:c r="C13" s="15"/>
      <x:c r="D13" s="15"/>
      <x:c r="E13" s="15"/>
      <x:c r="F13" s="28"/>
      <x:c r="G13" s="15"/>
      <x:c r="H13" s="15"/>
      <x:c r="I13" s="15"/>
      <x:c r="J13" s="15"/>
      <x:c r="K13" s="15"/>
    </x:row>
    <x:row r="14" ht="20" customHeight="1">
      <x:c r="A14" s="15"/>
      <x:c r="B14" s="122"/>
      <x:c r="C14" s="15"/>
      <x:c r="D14" s="15"/>
      <x:c r="E14" s="15"/>
      <x:c r="F14" s="28"/>
      <x:c r="G14" s="15"/>
      <x:c r="H14" s="15"/>
      <x:c r="I14" s="15"/>
      <x:c r="J14" s="15"/>
      <x:c r="K14" s="15"/>
    </x:row>
    <x:row r="15" ht="20" customHeight="1">
      <x:c r="A15" s="15"/>
      <x:c r="B15" s="122"/>
      <x:c r="C15" s="15"/>
      <x:c r="D15" s="15"/>
      <x:c r="E15" s="15"/>
      <x:c r="F15" s="28"/>
      <x:c r="G15" s="15"/>
      <x:c r="H15" s="15"/>
      <x:c r="I15" s="15"/>
      <x:c r="J15" s="15"/>
      <x:c r="K15" s="15"/>
    </x:row>
    <x:row r="16" ht="20" customHeight="1">
      <x:c r="A16" s="15"/>
      <x:c r="B16" s="122"/>
      <x:c r="C16" s="15"/>
      <x:c r="D16" s="15"/>
      <x:c r="E16" s="15"/>
      <x:c r="F16" s="28"/>
      <x:c r="G16" s="15"/>
      <x:c r="H16" s="15"/>
      <x:c r="I16" s="15"/>
      <x:c r="J16" s="15"/>
      <x:c r="K16" s="15"/>
    </x:row>
    <x:row r="17" ht="20" customHeight="1">
      <x:c r="A17" s="15"/>
      <x:c r="B17" s="122"/>
      <x:c r="C17" s="15"/>
      <x:c r="D17" s="15"/>
      <x:c r="E17" s="15"/>
      <x:c r="F17" s="28"/>
      <x:c r="G17" s="15"/>
      <x:c r="H17" s="15"/>
      <x:c r="I17" s="15"/>
      <x:c r="J17" s="15"/>
      <x:c r="K17" s="15"/>
    </x:row>
    <x:row r="18" ht="20" customHeight="1">
      <x:c r="A18" s="15"/>
      <x:c r="B18" s="122"/>
      <x:c r="C18" s="15"/>
      <x:c r="D18" s="15"/>
      <x:c r="E18" s="15"/>
      <x:c r="F18" s="28"/>
      <x:c r="G18" s="15"/>
      <x:c r="H18" s="15"/>
      <x:c r="I18" s="15"/>
      <x:c r="J18" s="15"/>
      <x:c r="K18" s="15"/>
    </x:row>
    <x:row r="19" ht="20" customHeight="1">
      <x:c r="A19" s="15"/>
      <x:c r="B19" s="122"/>
      <x:c r="C19" s="15"/>
      <x:c r="D19" s="15"/>
      <x:c r="E19" s="15"/>
      <x:c r="F19" s="28"/>
      <x:c r="G19" s="15"/>
      <x:c r="H19" s="15"/>
      <x:c r="I19" s="15"/>
      <x:c r="J19" s="15"/>
      <x:c r="K19" s="15"/>
    </x:row>
    <x:row r="20" ht="20" customHeight="1">
      <x:c r="A20" s="15"/>
      <x:c r="B20" s="122"/>
      <x:c r="C20" s="15"/>
      <x:c r="D20" s="15"/>
      <x:c r="E20" s="15"/>
      <x:c r="F20" s="28"/>
      <x:c r="G20" s="15"/>
      <x:c r="H20" s="15"/>
      <x:c r="I20" s="15"/>
      <x:c r="J20" s="15"/>
      <x:c r="K20" s="15"/>
    </x:row>
    <x:row r="21" ht="20" customHeight="1">
      <x:c r="A21" s="15"/>
      <x:c r="B21" s="122"/>
      <x:c r="C21" s="15"/>
      <x:c r="D21" s="15"/>
      <x:c r="E21" s="15"/>
      <x:c r="F21" s="28"/>
      <x:c r="G21" s="15"/>
      <x:c r="H21" s="15"/>
      <x:c r="I21" s="15"/>
      <x:c r="J21" s="15"/>
      <x:c r="K21" s="15"/>
    </x:row>
    <x:row r="22" ht="20" customHeight="1">
      <x:c r="A22" s="15"/>
      <x:c r="B22" s="122"/>
      <x:c r="C22" s="15"/>
      <x:c r="D22" s="15"/>
      <x:c r="E22" s="15"/>
      <x:c r="F22" s="28"/>
      <x:c r="G22" s="15"/>
      <x:c r="H22" s="15"/>
      <x:c r="I22" s="15"/>
      <x:c r="J22" s="15"/>
      <x:c r="K22" s="15"/>
    </x:row>
    <x:row r="23" ht="20" customHeight="1">
      <x:c r="A23" s="15"/>
      <x:c r="B23" s="122"/>
      <x:c r="C23" s="15"/>
      <x:c r="D23" s="15"/>
      <x:c r="E23" s="15"/>
      <x:c r="F23" s="28"/>
      <x:c r="G23" s="15"/>
      <x:c r="H23" s="15"/>
      <x:c r="I23" s="15"/>
      <x:c r="J23" s="15"/>
      <x:c r="K23" s="15"/>
    </x:row>
    <x:row r="24" ht="20" customHeight="1">
      <x:c r="A24" s="15"/>
      <x:c r="B24" s="122"/>
      <x:c r="C24" s="15"/>
      <x:c r="D24" s="15"/>
      <x:c r="E24" s="15"/>
      <x:c r="F24" s="28"/>
      <x:c r="G24" s="15"/>
      <x:c r="H24" s="15"/>
      <x:c r="I24" s="15"/>
      <x:c r="J24" s="15"/>
      <x:c r="K24" s="15"/>
    </x:row>
    <x:row r="25" ht="20" customHeight="1">
      <x:c r="A25" s="15"/>
      <x:c r="B25" s="122"/>
      <x:c r="C25" s="15"/>
      <x:c r="D25" s="15"/>
      <x:c r="E25" s="15"/>
      <x:c r="F25" s="28"/>
      <x:c r="G25" s="15"/>
      <x:c r="H25" s="15"/>
      <x:c r="I25" s="15"/>
      <x:c r="J25" s="15"/>
      <x:c r="K25" s="15"/>
    </x:row>
    <x:row r="26" ht="20" customHeight="1">
      <x:c r="A26" s="15"/>
      <x:c r="B26" s="122"/>
      <x:c r="C26" s="15"/>
      <x:c r="D26" s="15"/>
      <x:c r="E26" s="15"/>
      <x:c r="F26" s="28"/>
      <x:c r="G26" s="15"/>
      <x:c r="H26" s="15"/>
      <x:c r="I26" s="15"/>
      <x:c r="J26" s="15"/>
      <x:c r="K26" s="15"/>
    </x:row>
    <x:row r="27" ht="20" customHeight="1">
      <x:c r="A27" s="15"/>
      <x:c r="B27" s="122"/>
      <x:c r="C27" s="15"/>
      <x:c r="D27" s="15"/>
      <x:c r="E27" s="15"/>
      <x:c r="F27" s="28"/>
      <x:c r="G27" s="15"/>
      <x:c r="H27" s="15"/>
      <x:c r="I27" s="15"/>
      <x:c r="J27" s="15"/>
      <x:c r="K27" s="15"/>
    </x:row>
    <x:row r="28" ht="20" customHeight="1">
      <x:c r="A28" s="15"/>
      <x:c r="B28" s="122"/>
      <x:c r="C28" s="15"/>
      <x:c r="D28" s="15"/>
      <x:c r="E28" s="15"/>
      <x:c r="F28" s="28"/>
      <x:c r="G28" s="15"/>
      <x:c r="H28" s="15"/>
      <x:c r="I28" s="15"/>
      <x:c r="J28" s="15"/>
      <x:c r="K28" s="15"/>
    </x:row>
    <x:row r="29" ht="20" customHeight="1">
      <x:c r="A29" s="15"/>
      <x:c r="B29" s="122"/>
      <x:c r="C29" s="15"/>
      <x:c r="D29" s="15"/>
      <x:c r="E29" s="15"/>
      <x:c r="F29" s="28"/>
      <x:c r="G29" s="15"/>
      <x:c r="H29" s="15"/>
      <x:c r="I29" s="15"/>
      <x:c r="J29" s="15"/>
      <x:c r="K29" s="15"/>
    </x:row>
    <x:row r="30" ht="20" customHeight="1">
      <x:c r="A30" s="15"/>
      <x:c r="B30" s="122"/>
      <x:c r="C30" s="15"/>
      <x:c r="D30" s="15"/>
      <x:c r="E30" s="15"/>
      <x:c r="F30" s="28"/>
      <x:c r="G30" s="15"/>
      <x:c r="H30" s="15"/>
      <x:c r="I30" s="15"/>
      <x:c r="J30" s="15"/>
      <x:c r="K30" s="15"/>
    </x:row>
    <x:row r="31" ht="20" customHeight="1">
      <x:c r="A31" s="15"/>
      <x:c r="B31" s="122"/>
      <x:c r="C31" s="15"/>
      <x:c r="D31" s="15"/>
      <x:c r="E31" s="15"/>
      <x:c r="F31" s="28"/>
      <x:c r="G31" s="15"/>
      <x:c r="H31" s="15"/>
      <x:c r="I31" s="15"/>
      <x:c r="J31" s="15"/>
      <x:c r="K31" s="15"/>
    </x:row>
    <x:row r="32" ht="20" customHeight="1">
      <x:c r="A32" s="15"/>
      <x:c r="B32" s="122"/>
      <x:c r="C32" s="15"/>
      <x:c r="D32" s="15"/>
      <x:c r="E32" s="15"/>
      <x:c r="F32" s="28"/>
      <x:c r="G32" s="15"/>
      <x:c r="H32" s="15"/>
      <x:c r="I32" s="15"/>
      <x:c r="J32" s="15"/>
      <x:c r="K32" s="15"/>
    </x:row>
    <x:row r="33" ht="20" customHeight="1">
      <x:c r="A33" s="15"/>
      <x:c r="B33" s="122"/>
      <x:c r="C33" s="15"/>
      <x:c r="D33" s="15"/>
      <x:c r="E33" s="15"/>
      <x:c r="F33" s="28"/>
      <x:c r="G33" s="15"/>
      <x:c r="H33" s="15"/>
      <x:c r="I33" s="15"/>
      <x:c r="J33" s="15"/>
      <x:c r="K33" s="15"/>
    </x:row>
    <x:row r="34" ht="20" customHeight="1">
      <x:c r="A34" s="15"/>
      <x:c r="B34" s="122"/>
      <x:c r="C34" s="15"/>
      <x:c r="D34" s="15"/>
      <x:c r="E34" s="15"/>
      <x:c r="F34" s="28"/>
      <x:c r="G34" s="15"/>
      <x:c r="H34" s="15"/>
      <x:c r="I34" s="15"/>
      <x:c r="J34" s="15"/>
      <x:c r="K34" s="15"/>
    </x:row>
    <x:row r="35" ht="20" customHeight="1">
      <x:c r="A35" s="15"/>
      <x:c r="B35" s="122"/>
      <x:c r="C35" s="15"/>
      <x:c r="D35" s="15"/>
      <x:c r="E35" s="15"/>
      <x:c r="F35" s="28"/>
      <x:c r="G35" s="15"/>
      <x:c r="H35" s="15"/>
      <x:c r="I35" s="15"/>
      <x:c r="J35" s="15"/>
      <x:c r="K35" s="15"/>
    </x:row>
    <x:row r="36" ht="20" customHeight="1">
      <x:c r="A36" s="15"/>
      <x:c r="B36" s="122"/>
      <x:c r="C36" s="15"/>
      <x:c r="D36" s="15"/>
      <x:c r="E36" s="15"/>
      <x:c r="F36" s="28"/>
      <x:c r="G36" s="15"/>
      <x:c r="H36" s="15"/>
      <x:c r="I36" s="15"/>
      <x:c r="J36" s="15"/>
      <x:c r="K36" s="15"/>
    </x:row>
    <x:row r="37" ht="20" customHeight="1">
      <x:c r="A37" s="15"/>
      <x:c r="B37" s="122"/>
      <x:c r="C37" s="15"/>
      <x:c r="D37" s="15"/>
      <x:c r="E37" s="15"/>
      <x:c r="F37" s="28"/>
      <x:c r="G37" s="15"/>
      <x:c r="H37" s="15"/>
      <x:c r="I37" s="15"/>
      <x:c r="J37" s="15"/>
      <x:c r="K37" s="15"/>
    </x:row>
    <x:row r="38" ht="20" customHeight="1">
      <x:c r="A38" s="15"/>
      <x:c r="B38" s="122"/>
      <x:c r="C38" s="15"/>
      <x:c r="D38" s="15"/>
      <x:c r="E38" s="15"/>
      <x:c r="F38" s="28"/>
      <x:c r="G38" s="15"/>
      <x:c r="H38" s="15"/>
      <x:c r="I38" s="15"/>
      <x:c r="J38" s="15"/>
      <x:c r="K38" s="15"/>
    </x:row>
    <x:row r="39" ht="20" customHeight="1">
      <x:c r="A39" s="15"/>
      <x:c r="B39" s="122"/>
      <x:c r="C39" s="15"/>
      <x:c r="D39" s="15"/>
      <x:c r="E39" s="15"/>
      <x:c r="F39" s="28"/>
      <x:c r="G39" s="15"/>
      <x:c r="H39" s="15"/>
      <x:c r="I39" s="15"/>
      <x:c r="J39" s="15"/>
      <x:c r="K39" s="15"/>
    </x:row>
    <x:row r="40" ht="20" customHeight="1">
      <x:c r="A40" s="15"/>
      <x:c r="B40" s="122"/>
      <x:c r="C40" s="15"/>
      <x:c r="D40" s="15"/>
      <x:c r="E40" s="15"/>
      <x:c r="F40" s="28"/>
      <x:c r="G40" s="15"/>
      <x:c r="H40" s="15"/>
      <x:c r="I40" s="15"/>
      <x:c r="J40" s="15"/>
      <x:c r="K40" s="15"/>
    </x:row>
    <x:row r="41" ht="20" customHeight="1">
      <x:c r="A41" s="15"/>
      <x:c r="B41" s="122"/>
      <x:c r="C41" s="15"/>
      <x:c r="D41" s="15"/>
      <x:c r="E41" s="15"/>
      <x:c r="F41" s="28"/>
      <x:c r="G41" s="15"/>
      <x:c r="H41" s="15"/>
      <x:c r="I41" s="15"/>
      <x:c r="J41" s="15"/>
      <x:c r="K41" s="15"/>
    </x:row>
    <x:row r="42" ht="20" customHeight="1">
      <x:c r="A42" s="15"/>
      <x:c r="B42" s="122"/>
      <x:c r="C42" s="15"/>
      <x:c r="D42" s="15"/>
      <x:c r="E42" s="15"/>
      <x:c r="F42" s="28"/>
      <x:c r="G42" s="15"/>
      <x:c r="H42" s="15"/>
      <x:c r="I42" s="15"/>
      <x:c r="J42" s="15"/>
      <x:c r="K42" s="15"/>
    </x:row>
    <x:row r="43" ht="20" customHeight="1">
      <x:c r="A43" s="15"/>
      <x:c r="B43" s="122"/>
      <x:c r="C43" s="15"/>
      <x:c r="D43" s="15"/>
      <x:c r="E43" s="15"/>
      <x:c r="F43" s="28"/>
      <x:c r="G43" s="15"/>
      <x:c r="H43" s="15"/>
      <x:c r="I43" s="15"/>
      <x:c r="J43" s="15"/>
      <x:c r="K43" s="15"/>
    </x:row>
    <x:row r="44" ht="20" customHeight="1">
      <x:c r="A44" s="15"/>
      <x:c r="B44" s="122"/>
      <x:c r="C44" s="15"/>
      <x:c r="D44" s="15"/>
      <x:c r="E44" s="15"/>
      <x:c r="F44" s="28"/>
      <x:c r="G44" s="15"/>
      <x:c r="H44" s="15"/>
      <x:c r="I44" s="15"/>
      <x:c r="J44" s="15"/>
      <x:c r="K44" s="15"/>
    </x:row>
    <x:row r="45" ht="20" customHeight="1">
      <x:c r="A45" s="15"/>
      <x:c r="B45" s="122"/>
      <x:c r="C45" s="15"/>
      <x:c r="D45" s="15"/>
      <x:c r="E45" s="15"/>
      <x:c r="F45" s="28"/>
      <x:c r="G45" s="15"/>
      <x:c r="H45" s="15"/>
      <x:c r="I45" s="15"/>
      <x:c r="J45" s="15"/>
      <x:c r="K45" s="15"/>
    </x:row>
    <x:row r="46" ht="20" customHeight="1">
      <x:c r="A46" s="15"/>
      <x:c r="B46" s="122"/>
      <x:c r="C46" s="15"/>
      <x:c r="D46" s="15"/>
      <x:c r="E46" s="15"/>
      <x:c r="F46" s="28"/>
      <x:c r="G46" s="15"/>
      <x:c r="H46" s="15"/>
      <x:c r="I46" s="15"/>
      <x:c r="J46" s="15"/>
      <x:c r="K46" s="15"/>
    </x:row>
    <x:row r="47" ht="20" customHeight="1">
      <x:c r="A47" s="15"/>
      <x:c r="B47" s="122"/>
      <x:c r="C47" s="15"/>
      <x:c r="D47" s="15"/>
      <x:c r="E47" s="15"/>
      <x:c r="F47" s="28"/>
      <x:c r="G47" s="15"/>
      <x:c r="H47" s="15"/>
      <x:c r="I47" s="15"/>
      <x:c r="J47" s="15"/>
      <x:c r="K47" s="15"/>
    </x:row>
    <x:row r="48" ht="20" customHeight="1">
      <x:c r="A48" s="15"/>
      <x:c r="B48" s="122"/>
      <x:c r="C48" s="15"/>
      <x:c r="D48" s="15"/>
      <x:c r="E48" s="15"/>
      <x:c r="F48" s="28"/>
      <x:c r="G48" s="15"/>
      <x:c r="H48" s="15"/>
      <x:c r="I48" s="15"/>
      <x:c r="J48" s="15"/>
      <x:c r="K48" s="15"/>
    </x:row>
    <x:row r="49" ht="20" customHeight="1">
      <x:c r="A49" s="15"/>
      <x:c r="B49" s="122"/>
      <x:c r="C49" s="15"/>
      <x:c r="D49" s="15"/>
      <x:c r="E49" s="15"/>
      <x:c r="F49" s="28"/>
      <x:c r="G49" s="15"/>
      <x:c r="H49" s="15"/>
      <x:c r="I49" s="15"/>
      <x:c r="J49" s="15"/>
      <x:c r="K49" s="15"/>
    </x:row>
    <x:row r="50" ht="20" customHeight="1">
      <x:c r="A50" s="15"/>
      <x:c r="B50" s="122"/>
      <x:c r="C50" s="15"/>
      <x:c r="D50" s="15"/>
      <x:c r="E50" s="15"/>
      <x:c r="F50" s="28"/>
      <x:c r="G50" s="15"/>
      <x:c r="H50" s="15"/>
      <x:c r="I50" s="15"/>
      <x:c r="J50" s="15"/>
      <x:c r="K50" s="15"/>
    </x:row>
    <x:row r="51" ht="20" customHeight="1">
      <x:c r="A51" s="15"/>
      <x:c r="B51" s="122"/>
      <x:c r="C51" s="15"/>
      <x:c r="D51" s="15"/>
      <x:c r="E51" s="15"/>
      <x:c r="F51" s="28"/>
      <x:c r="G51" s="15"/>
      <x:c r="H51" s="15"/>
      <x:c r="I51" s="15"/>
      <x:c r="J51" s="15"/>
      <x:c r="K51" s="15"/>
    </x:row>
    <x:row r="52" ht="20" customHeight="1">
      <x:c r="A52" s="15"/>
      <x:c r="B52" s="122"/>
      <x:c r="C52" s="15"/>
      <x:c r="D52" s="15"/>
      <x:c r="E52" s="15"/>
      <x:c r="F52" s="28"/>
      <x:c r="G52" s="15"/>
      <x:c r="H52" s="15"/>
      <x:c r="I52" s="15"/>
      <x:c r="J52" s="15"/>
      <x:c r="K52" s="15"/>
    </x:row>
    <x:row r="53" ht="20" customHeight="1">
      <x:c r="A53" s="15"/>
      <x:c r="B53" s="122"/>
      <x:c r="C53" s="15"/>
      <x:c r="D53" s="15"/>
      <x:c r="E53" s="15"/>
      <x:c r="F53" s="28"/>
      <x:c r="G53" s="15"/>
      <x:c r="H53" s="15"/>
      <x:c r="I53" s="15"/>
      <x:c r="J53" s="15"/>
      <x:c r="K53" s="15"/>
    </x:row>
    <x:row r="54" ht="20" customHeight="1">
      <x:c r="A54" s="15"/>
      <x:c r="B54" s="122"/>
      <x:c r="C54" s="15"/>
      <x:c r="D54" s="15"/>
      <x:c r="E54" s="15"/>
      <x:c r="F54" s="28"/>
      <x:c r="G54" s="15"/>
      <x:c r="H54" s="15"/>
      <x:c r="I54" s="15"/>
      <x:c r="J54" s="15"/>
      <x:c r="K54" s="15"/>
    </x:row>
    <x:row r="55" ht="20" customHeight="1">
      <x:c r="A55" s="15"/>
      <x:c r="B55" s="122"/>
      <x:c r="C55" s="15"/>
      <x:c r="D55" s="15"/>
      <x:c r="E55" s="15"/>
      <x:c r="F55" s="28"/>
      <x:c r="G55" s="15"/>
      <x:c r="H55" s="15"/>
      <x:c r="I55" s="15"/>
      <x:c r="J55" s="15"/>
      <x:c r="K55" s="15"/>
    </x:row>
    <x:row r="56" ht="20" customHeight="1">
      <x:c r="A56" s="15"/>
      <x:c r="B56" s="122"/>
      <x:c r="C56" s="15"/>
      <x:c r="D56" s="15"/>
      <x:c r="E56" s="15"/>
      <x:c r="F56" s="28"/>
      <x:c r="G56" s="15"/>
      <x:c r="H56" s="15"/>
      <x:c r="I56" s="15"/>
      <x:c r="J56" s="15"/>
      <x:c r="K56" s="15"/>
    </x:row>
    <x:row r="57" ht="20" customHeight="1">
      <x:c r="A57" s="15"/>
      <x:c r="B57" s="122"/>
      <x:c r="C57" s="15"/>
      <x:c r="D57" s="15"/>
      <x:c r="E57" s="15"/>
      <x:c r="F57" s="28"/>
      <x:c r="G57" s="15"/>
      <x:c r="H57" s="15"/>
      <x:c r="I57" s="15"/>
      <x:c r="J57" s="15"/>
      <x:c r="K57" s="15"/>
    </x:row>
    <x:row r="58" ht="20" customHeight="1">
      <x:c r="A58" s="15"/>
      <x:c r="B58" s="122"/>
      <x:c r="C58" s="15"/>
      <x:c r="D58" s="15"/>
      <x:c r="E58" s="15"/>
      <x:c r="F58" s="28"/>
      <x:c r="G58" s="15"/>
      <x:c r="H58" s="15"/>
      <x:c r="I58" s="15"/>
      <x:c r="J58" s="15"/>
      <x:c r="K58" s="15"/>
    </x:row>
    <x:row r="59" ht="20" customHeight="1">
      <x:c r="A59" s="15"/>
      <x:c r="B59" s="122"/>
      <x:c r="C59" s="15"/>
      <x:c r="D59" s="15"/>
      <x:c r="E59" s="15"/>
      <x:c r="F59" s="28"/>
      <x:c r="G59" s="15"/>
      <x:c r="H59" s="15"/>
      <x:c r="I59" s="15"/>
      <x:c r="J59" s="15"/>
      <x:c r="K59" s="15"/>
    </x:row>
    <x:row r="60" ht="20" customHeight="1">
      <x:c r="A60" s="15"/>
      <x:c r="B60" s="122"/>
      <x:c r="C60" s="15"/>
      <x:c r="D60" s="15"/>
      <x:c r="E60" s="15"/>
      <x:c r="F60" s="28"/>
      <x:c r="G60" s="15"/>
      <x:c r="H60" s="15"/>
      <x:c r="I60" s="15"/>
      <x:c r="J60" s="15"/>
      <x:c r="K60" s="15"/>
    </x:row>
    <x:row r="61" ht="20" customHeight="1">
      <x:c r="A61" s="15"/>
      <x:c r="B61" s="122"/>
      <x:c r="C61" s="15"/>
      <x:c r="D61" s="15"/>
      <x:c r="E61" s="15"/>
      <x:c r="F61" s="28"/>
      <x:c r="G61" s="15"/>
      <x:c r="H61" s="15"/>
      <x:c r="I61" s="15"/>
      <x:c r="J61" s="15"/>
      <x:c r="K61" s="15"/>
    </x:row>
    <x:row r="62" ht="20" customHeight="1">
      <x:c r="A62" s="15"/>
      <x:c r="B62" s="122"/>
      <x:c r="C62" s="15"/>
      <x:c r="D62" s="15"/>
      <x:c r="E62" s="15"/>
      <x:c r="F62" s="28"/>
      <x:c r="G62" s="15"/>
      <x:c r="H62" s="15"/>
      <x:c r="I62" s="15"/>
      <x:c r="J62" s="15"/>
      <x:c r="K62" s="15"/>
    </x:row>
    <x:row r="63" ht="20" customHeight="1">
      <x:c r="A63" s="15"/>
      <x:c r="B63" s="122"/>
      <x:c r="C63" s="15"/>
      <x:c r="D63" s="15"/>
      <x:c r="E63" s="15"/>
      <x:c r="F63" s="28"/>
      <x:c r="G63" s="15"/>
      <x:c r="H63" s="15"/>
      <x:c r="I63" s="15"/>
      <x:c r="J63" s="15"/>
      <x:c r="K63" s="15"/>
    </x:row>
    <x:row r="64" ht="20" customHeight="1">
      <x:c r="A64" s="15"/>
      <x:c r="B64" s="122"/>
      <x:c r="C64" s="15"/>
      <x:c r="D64" s="15"/>
      <x:c r="E64" s="15"/>
      <x:c r="F64" s="28"/>
      <x:c r="G64" s="15"/>
      <x:c r="H64" s="15"/>
      <x:c r="I64" s="15"/>
      <x:c r="J64" s="15"/>
      <x:c r="K64" s="15"/>
    </x:row>
    <x:row r="65" ht="20" customHeight="1">
      <x:c r="A65" s="15"/>
      <x:c r="B65" s="122"/>
      <x:c r="C65" s="15"/>
      <x:c r="D65" s="15"/>
      <x:c r="E65" s="15"/>
      <x:c r="F65" s="28"/>
      <x:c r="G65" s="15"/>
      <x:c r="H65" s="15"/>
      <x:c r="I65" s="15"/>
      <x:c r="J65" s="15"/>
      <x:c r="K65" s="15"/>
    </x:row>
    <x:row r="66" ht="20" customHeight="1">
      <x:c r="A66" s="15"/>
      <x:c r="B66" s="122"/>
      <x:c r="C66" s="15"/>
      <x:c r="D66" s="15"/>
      <x:c r="E66" s="15"/>
      <x:c r="F66" s="28"/>
      <x:c r="G66" s="15"/>
      <x:c r="H66" s="15"/>
      <x:c r="I66" s="15"/>
      <x:c r="J66" s="15"/>
      <x:c r="K66" s="15"/>
    </x:row>
    <x:row r="67" ht="20" customHeight="1">
      <x:c r="A67" s="15"/>
      <x:c r="B67" s="122"/>
      <x:c r="C67" s="15"/>
      <x:c r="D67" s="15"/>
      <x:c r="E67" s="15"/>
      <x:c r="F67" s="28"/>
      <x:c r="G67" s="15"/>
      <x:c r="H67" s="15"/>
      <x:c r="I67" s="15"/>
      <x:c r="J67" s="15"/>
      <x:c r="K67" s="15"/>
    </x:row>
    <x:row r="68" ht="20" customHeight="1">
      <x:c r="A68" s="15"/>
      <x:c r="B68" s="122"/>
      <x:c r="C68" s="15"/>
      <x:c r="D68" s="15"/>
      <x:c r="E68" s="15"/>
      <x:c r="F68" s="28"/>
      <x:c r="G68" s="15"/>
      <x:c r="H68" s="15"/>
      <x:c r="I68" s="15"/>
      <x:c r="J68" s="15"/>
      <x:c r="K68" s="15"/>
    </x:row>
    <x:row r="69" ht="20" customHeight="1">
      <x:c r="A69" s="15"/>
      <x:c r="B69" s="122"/>
      <x:c r="C69" s="15"/>
      <x:c r="D69" s="15"/>
      <x:c r="E69" s="15"/>
      <x:c r="F69" s="28"/>
      <x:c r="G69" s="15"/>
      <x:c r="H69" s="15"/>
      <x:c r="I69" s="15"/>
      <x:c r="J69" s="15"/>
      <x:c r="K69" s="15"/>
    </x:row>
    <x:row r="70" ht="20" customHeight="1">
      <x:c r="A70" s="15"/>
      <x:c r="B70" s="122"/>
      <x:c r="C70" s="15"/>
      <x:c r="D70" s="15"/>
      <x:c r="E70" s="15"/>
      <x:c r="F70" s="28"/>
      <x:c r="G70" s="15"/>
      <x:c r="H70" s="15"/>
      <x:c r="I70" s="15"/>
      <x:c r="J70" s="15"/>
      <x:c r="K70" s="15"/>
    </x:row>
    <x:row r="71" ht="20" customHeight="1">
      <x:c r="A71" s="15"/>
      <x:c r="B71" s="122"/>
      <x:c r="C71" s="15"/>
      <x:c r="D71" s="15"/>
      <x:c r="E71" s="15"/>
      <x:c r="F71" s="28"/>
      <x:c r="G71" s="15"/>
      <x:c r="H71" s="15"/>
      <x:c r="I71" s="15"/>
      <x:c r="J71" s="15"/>
      <x:c r="K71" s="15"/>
    </x:row>
    <x:row r="72" ht="20" customHeight="1">
      <x:c r="A72" s="15"/>
      <x:c r="B72" s="122"/>
      <x:c r="C72" s="15"/>
      <x:c r="D72" s="15"/>
      <x:c r="E72" s="15"/>
      <x:c r="F72" s="28"/>
      <x:c r="G72" s="15"/>
      <x:c r="H72" s="15"/>
      <x:c r="I72" s="15"/>
      <x:c r="J72" s="15"/>
      <x:c r="K72" s="15"/>
    </x:row>
    <x:row r="73" ht="20" customHeight="1">
      <x:c r="A73" s="15"/>
      <x:c r="B73" s="122"/>
      <x:c r="C73" s="15"/>
      <x:c r="D73" s="15"/>
      <x:c r="E73" s="15"/>
      <x:c r="F73" s="28"/>
      <x:c r="G73" s="15"/>
      <x:c r="H73" s="15"/>
      <x:c r="I73" s="15"/>
      <x:c r="J73" s="15"/>
      <x:c r="K73" s="15"/>
    </x:row>
    <x:row r="74" ht="20" customHeight="1">
      <x:c r="A74" s="15"/>
      <x:c r="B74" s="122"/>
      <x:c r="C74" s="15"/>
      <x:c r="D74" s="15"/>
      <x:c r="E74" s="15"/>
      <x:c r="F74" s="28"/>
      <x:c r="G74" s="15"/>
      <x:c r="H74" s="15"/>
      <x:c r="I74" s="15"/>
      <x:c r="J74" s="15"/>
      <x:c r="K74" s="15"/>
    </x:row>
    <x:row r="75" ht="20" customHeight="1">
      <x:c r="A75" s="15"/>
      <x:c r="B75" s="122"/>
      <x:c r="C75" s="15"/>
      <x:c r="D75" s="15"/>
      <x:c r="E75" s="15"/>
      <x:c r="F75" s="28"/>
      <x:c r="G75" s="15"/>
      <x:c r="H75" s="15"/>
      <x:c r="I75" s="15"/>
      <x:c r="J75" s="15"/>
      <x:c r="K75" s="15"/>
    </x:row>
    <x:row r="76" ht="20" customHeight="1">
      <x:c r="A76" s="15"/>
      <x:c r="B76" s="122"/>
      <x:c r="C76" s="15"/>
      <x:c r="D76" s="15"/>
      <x:c r="E76" s="15"/>
      <x:c r="F76" s="28"/>
      <x:c r="G76" s="15"/>
      <x:c r="H76" s="15"/>
      <x:c r="I76" s="15"/>
      <x:c r="J76" s="15"/>
      <x:c r="K76" s="15"/>
    </x:row>
    <x:row r="77" ht="20" customHeight="1">
      <x:c r="A77" s="15"/>
      <x:c r="B77" s="122"/>
      <x:c r="C77" s="15"/>
      <x:c r="D77" s="15"/>
      <x:c r="E77" s="15"/>
      <x:c r="F77" s="28"/>
      <x:c r="G77" s="15"/>
      <x:c r="H77" s="15"/>
      <x:c r="I77" s="15"/>
      <x:c r="J77" s="15"/>
      <x:c r="K77" s="15"/>
    </x:row>
    <x:row r="78" ht="20" customHeight="1">
      <x:c r="A78" s="15"/>
      <x:c r="B78" s="122"/>
      <x:c r="C78" s="15"/>
      <x:c r="D78" s="15"/>
      <x:c r="E78" s="15"/>
      <x:c r="F78" s="28"/>
      <x:c r="G78" s="15"/>
      <x:c r="H78" s="15"/>
      <x:c r="I78" s="15"/>
      <x:c r="J78" s="15"/>
      <x:c r="K78" s="15"/>
    </x:row>
    <x:row r="79" ht="20" customHeight="1">
      <x:c r="A79" s="15"/>
      <x:c r="B79" s="122"/>
      <x:c r="C79" s="15"/>
      <x:c r="D79" s="15"/>
      <x:c r="E79" s="15"/>
      <x:c r="F79" s="28"/>
      <x:c r="G79" s="15"/>
      <x:c r="H79" s="15"/>
      <x:c r="I79" s="15"/>
      <x:c r="J79" s="15"/>
      <x:c r="K79" s="15"/>
    </x:row>
    <x:row r="80" ht="20" customHeight="1">
      <x:c r="A80" s="15"/>
      <x:c r="B80" s="122"/>
      <x:c r="C80" s="15"/>
      <x:c r="D80" s="15"/>
      <x:c r="E80" s="15"/>
      <x:c r="F80" s="28"/>
      <x:c r="G80" s="15"/>
      <x:c r="H80" s="15"/>
      <x:c r="I80" s="15"/>
      <x:c r="J80" s="15"/>
      <x:c r="K80" s="15"/>
    </x:row>
    <x:row r="81" ht="20" customHeight="1">
      <x:c r="A81" s="15"/>
      <x:c r="B81" s="122"/>
      <x:c r="C81" s="15"/>
      <x:c r="D81" s="15"/>
      <x:c r="E81" s="15"/>
      <x:c r="F81" s="28"/>
      <x:c r="G81" s="15"/>
      <x:c r="H81" s="15"/>
      <x:c r="I81" s="15"/>
      <x:c r="J81" s="15"/>
      <x:c r="K81" s="15"/>
    </x:row>
    <x:row r="82" ht="20" customHeight="1">
      <x:c r="A82" s="15"/>
      <x:c r="B82" s="122"/>
      <x:c r="C82" s="15"/>
      <x:c r="D82" s="15"/>
      <x:c r="E82" s="15"/>
      <x:c r="F82" s="28"/>
      <x:c r="G82" s="15"/>
      <x:c r="H82" s="15"/>
      <x:c r="I82" s="15"/>
      <x:c r="J82" s="15"/>
      <x:c r="K82" s="15"/>
    </x:row>
    <x:row r="83" ht="20" customHeight="1">
      <x:c r="A83" s="15"/>
      <x:c r="B83" s="122"/>
      <x:c r="C83" s="15"/>
      <x:c r="D83" s="15"/>
      <x:c r="E83" s="15"/>
      <x:c r="F83" s="28"/>
      <x:c r="G83" s="15"/>
      <x:c r="H83" s="15"/>
      <x:c r="I83" s="15"/>
      <x:c r="J83" s="15"/>
      <x:c r="K83" s="15"/>
    </x:row>
    <x:row r="84" ht="20" customHeight="1">
      <x:c r="A84" s="15"/>
      <x:c r="B84" s="122"/>
      <x:c r="C84" s="15"/>
      <x:c r="D84" s="15"/>
      <x:c r="E84" s="15"/>
      <x:c r="F84" s="28"/>
      <x:c r="G84" s="15"/>
      <x:c r="H84" s="15"/>
      <x:c r="I84" s="15"/>
      <x:c r="J84" s="15"/>
      <x:c r="K84" s="15"/>
    </x:row>
    <x:row r="85" ht="20" customHeight="1">
      <x:c r="A85" s="15"/>
      <x:c r="B85" s="122"/>
      <x:c r="C85" s="15"/>
      <x:c r="D85" s="15"/>
      <x:c r="E85" s="15"/>
      <x:c r="F85" s="28"/>
      <x:c r="G85" s="15"/>
      <x:c r="H85" s="15"/>
      <x:c r="I85" s="15"/>
      <x:c r="J85" s="15"/>
      <x:c r="K85" s="15"/>
    </x:row>
    <x:row r="86" ht="20" customHeight="1">
      <x:c r="A86" s="15"/>
      <x:c r="B86" s="122"/>
      <x:c r="C86" s="15"/>
      <x:c r="D86" s="15"/>
      <x:c r="E86" s="15"/>
      <x:c r="F86" s="28"/>
      <x:c r="G86" s="15"/>
      <x:c r="H86" s="15"/>
      <x:c r="I86" s="15"/>
      <x:c r="J86" s="15"/>
      <x:c r="K86" s="15"/>
    </x:row>
    <x:row r="87" ht="20" customHeight="1">
      <x:c r="A87" s="15"/>
      <x:c r="B87" s="122"/>
      <x:c r="C87" s="15"/>
      <x:c r="D87" s="15"/>
      <x:c r="E87" s="15"/>
      <x:c r="F87" s="28"/>
      <x:c r="G87" s="15"/>
      <x:c r="H87" s="15"/>
      <x:c r="I87" s="15"/>
      <x:c r="J87" s="15"/>
      <x:c r="K87" s="15"/>
    </x:row>
    <x:row r="88" ht="20" customHeight="1">
      <x:c r="A88" s="15"/>
      <x:c r="B88" s="122"/>
      <x:c r="C88" s="15"/>
      <x:c r="D88" s="15"/>
      <x:c r="E88" s="15"/>
      <x:c r="F88" s="28"/>
      <x:c r="G88" s="15"/>
      <x:c r="H88" s="15"/>
      <x:c r="I88" s="15"/>
      <x:c r="J88" s="15"/>
      <x:c r="K88" s="15"/>
    </x:row>
    <x:row r="89" ht="20" customHeight="1">
      <x:c r="A89" s="15"/>
      <x:c r="B89" s="122"/>
      <x:c r="C89" s="15"/>
      <x:c r="D89" s="15"/>
      <x:c r="E89" s="15"/>
      <x:c r="F89" s="28"/>
      <x:c r="G89" s="15"/>
      <x:c r="H89" s="15"/>
      <x:c r="I89" s="15"/>
      <x:c r="J89" s="15"/>
      <x:c r="K89" s="15"/>
    </x:row>
    <x:row r="90" ht="20" customHeight="1">
      <x:c r="A90" s="15"/>
      <x:c r="B90" s="122"/>
      <x:c r="C90" s="15"/>
      <x:c r="D90" s="15"/>
      <x:c r="E90" s="15"/>
      <x:c r="F90" s="28"/>
      <x:c r="G90" s="15"/>
      <x:c r="H90" s="15"/>
      <x:c r="I90" s="15"/>
      <x:c r="J90" s="15"/>
      <x:c r="K90" s="15"/>
    </x:row>
    <x:row r="91" ht="20" customHeight="1">
      <x:c r="A91" s="15"/>
      <x:c r="B91" s="122"/>
      <x:c r="C91" s="15"/>
      <x:c r="D91" s="15"/>
      <x:c r="E91" s="15"/>
      <x:c r="F91" s="28"/>
      <x:c r="G91" s="15"/>
      <x:c r="H91" s="15"/>
      <x:c r="I91" s="15"/>
      <x:c r="J91" s="15"/>
      <x:c r="K91" s="15"/>
    </x:row>
    <x:row r="92" ht="20" customHeight="1">
      <x:c r="A92" s="15"/>
      <x:c r="B92" s="122"/>
      <x:c r="C92" s="15"/>
      <x:c r="D92" s="15"/>
      <x:c r="E92" s="15"/>
      <x:c r="F92" s="28"/>
      <x:c r="G92" s="15"/>
      <x:c r="H92" s="15"/>
      <x:c r="I92" s="15"/>
      <x:c r="J92" s="15"/>
      <x:c r="K92" s="15"/>
    </x:row>
    <x:row r="93" ht="20" customHeight="1">
      <x:c r="A93" s="15"/>
      <x:c r="B93" s="122"/>
      <x:c r="C93" s="15"/>
      <x:c r="D93" s="15"/>
      <x:c r="E93" s="15"/>
      <x:c r="F93" s="28"/>
      <x:c r="G93" s="15"/>
      <x:c r="H93" s="15"/>
      <x:c r="I93" s="15"/>
      <x:c r="J93" s="15"/>
      <x:c r="K93" s="15"/>
    </x:row>
    <x:row r="94" ht="20" customHeight="1">
      <x:c r="A94" s="15"/>
      <x:c r="B94" s="122"/>
      <x:c r="C94" s="15"/>
      <x:c r="D94" s="15"/>
      <x:c r="E94" s="15"/>
      <x:c r="F94" s="28"/>
      <x:c r="G94" s="15"/>
      <x:c r="H94" s="15"/>
      <x:c r="I94" s="15"/>
      <x:c r="J94" s="15"/>
      <x:c r="K94" s="15"/>
    </x:row>
    <x:row r="95" ht="20" customHeight="1">
      <x:c r="A95" s="15"/>
      <x:c r="B95" s="122"/>
      <x:c r="C95" s="15"/>
      <x:c r="D95" s="15"/>
      <x:c r="E95" s="15"/>
      <x:c r="F95" s="28"/>
      <x:c r="G95" s="15"/>
      <x:c r="H95" s="15"/>
      <x:c r="I95" s="15"/>
      <x:c r="J95" s="15"/>
      <x:c r="K95" s="15"/>
    </x:row>
    <x:row r="96" ht="20" customHeight="1">
      <x:c r="A96" s="15"/>
      <x:c r="B96" s="122"/>
      <x:c r="C96" s="15"/>
      <x:c r="D96" s="15"/>
      <x:c r="E96" s="15"/>
      <x:c r="F96" s="28"/>
      <x:c r="G96" s="15"/>
      <x:c r="H96" s="15"/>
      <x:c r="I96" s="15"/>
      <x:c r="J96" s="15"/>
      <x:c r="K96" s="15"/>
    </x:row>
    <x:row r="97" ht="20" customHeight="1">
      <x:c r="A97" s="15"/>
      <x:c r="B97" s="122"/>
      <x:c r="C97" s="15"/>
      <x:c r="D97" s="15"/>
      <x:c r="E97" s="15"/>
      <x:c r="F97" s="28"/>
      <x:c r="G97" s="15"/>
      <x:c r="H97" s="15"/>
      <x:c r="I97" s="15"/>
      <x:c r="J97" s="15"/>
      <x:c r="K97" s="15"/>
    </x:row>
    <x:row r="98" ht="20" customHeight="1">
      <x:c r="A98" s="15"/>
      <x:c r="B98" s="122"/>
      <x:c r="C98" s="15"/>
      <x:c r="D98" s="15"/>
      <x:c r="E98" s="15"/>
      <x:c r="F98" s="28"/>
      <x:c r="G98" s="15"/>
      <x:c r="H98" s="15"/>
      <x:c r="I98" s="15"/>
      <x:c r="J98" s="15"/>
      <x:c r="K98" s="15"/>
    </x:row>
    <x:row r="99" ht="20" customHeight="1">
      <x:c r="A99" s="15"/>
      <x:c r="B99" s="122"/>
      <x:c r="C99" s="15"/>
      <x:c r="D99" s="15"/>
      <x:c r="E99" s="15"/>
      <x:c r="F99" s="28"/>
      <x:c r="G99" s="15"/>
      <x:c r="H99" s="15"/>
      <x:c r="I99" s="15"/>
      <x:c r="J99" s="15"/>
      <x:c r="K99" s="15"/>
    </x:row>
    <x:row r="100" ht="20" customHeight="1">
      <x:c r="A100" s="15"/>
      <x:c r="B100" s="122"/>
      <x:c r="C100" s="15"/>
      <x:c r="D100" s="15"/>
      <x:c r="E100" s="15"/>
      <x:c r="F100" s="28"/>
      <x:c r="G100" s="15"/>
      <x:c r="H100" s="15"/>
      <x:c r="I100" s="15"/>
      <x:c r="J100" s="15"/>
      <x:c r="K100" s="15"/>
    </x:row>
    <x:row r="101" ht="20" customHeight="1">
      <x:c r="A101" s="15"/>
      <x:c r="B101" s="122"/>
      <x:c r="C101" s="15"/>
      <x:c r="D101" s="15"/>
      <x:c r="E101" s="15"/>
      <x:c r="F101" s="28"/>
      <x:c r="G101" s="15"/>
      <x:c r="H101" s="15"/>
      <x:c r="I101" s="15"/>
      <x:c r="J101" s="15"/>
      <x:c r="K101" s="15"/>
    </x:row>
    <x:row r="102" ht="20" customHeight="1">
      <x:c r="A102" s="15"/>
      <x:c r="B102" s="122"/>
      <x:c r="C102" s="15"/>
      <x:c r="D102" s="15"/>
      <x:c r="E102" s="15"/>
      <x:c r="F102" s="28"/>
      <x:c r="G102" s="15"/>
      <x:c r="H102" s="15"/>
      <x:c r="I102" s="15"/>
      <x:c r="J102" s="15"/>
      <x:c r="K102" s="15"/>
    </x:row>
    <x:row r="103" ht="20" customHeight="1">
      <x:c r="A103" s="15"/>
      <x:c r="B103" s="122"/>
      <x:c r="C103" s="15"/>
      <x:c r="D103" s="15"/>
      <x:c r="E103" s="15"/>
      <x:c r="F103" s="28"/>
      <x:c r="G103" s="15"/>
      <x:c r="H103" s="15"/>
      <x:c r="I103" s="15"/>
      <x:c r="J103" s="15"/>
      <x:c r="K103" s="15"/>
    </x:row>
    <x:row r="104" ht="20" customHeight="1">
      <x:c r="A104" s="15"/>
      <x:c r="B104" s="122"/>
      <x:c r="C104" s="15"/>
      <x:c r="D104" s="15"/>
      <x:c r="E104" s="15"/>
      <x:c r="F104" s="28"/>
      <x:c r="G104" s="15"/>
      <x:c r="H104" s="15"/>
      <x:c r="I104" s="15"/>
      <x:c r="J104" s="15"/>
      <x:c r="K104" s="15"/>
    </x:row>
    <x:row r="105" ht="20" customHeight="1">
      <x:c r="A105" s="15"/>
      <x:c r="B105" s="122"/>
      <x:c r="C105" s="15"/>
      <x:c r="D105" s="15"/>
      <x:c r="E105" s="15"/>
      <x:c r="F105" s="28"/>
      <x:c r="G105" s="15"/>
      <x:c r="H105" s="15"/>
      <x:c r="I105" s="15"/>
      <x:c r="J105" s="15"/>
      <x:c r="K105" s="15"/>
    </x:row>
    <x:row r="106" ht="20" customHeight="1">
      <x:c r="A106" s="15"/>
      <x:c r="B106" s="122"/>
      <x:c r="C106" s="15"/>
      <x:c r="D106" s="15"/>
      <x:c r="E106" s="15"/>
      <x:c r="F106" s="28"/>
      <x:c r="G106" s="15"/>
      <x:c r="H106" s="15"/>
      <x:c r="I106" s="15"/>
      <x:c r="J106" s="15"/>
      <x:c r="K106" s="15"/>
    </x:row>
    <x:row r="107" ht="20" customHeight="1">
      <x:c r="A107" s="15"/>
      <x:c r="B107" s="122"/>
      <x:c r="C107" s="15"/>
      <x:c r="D107" s="15"/>
      <x:c r="E107" s="15"/>
      <x:c r="F107" s="28"/>
      <x:c r="G107" s="15"/>
      <x:c r="H107" s="15"/>
      <x:c r="I107" s="15"/>
      <x:c r="J107" s="15"/>
      <x:c r="K107" s="15"/>
    </x:row>
    <x:row r="108" ht="20" customHeight="1">
      <x:c r="A108" s="15"/>
      <x:c r="B108" s="122"/>
      <x:c r="C108" s="15"/>
      <x:c r="D108" s="15"/>
      <x:c r="E108" s="15"/>
      <x:c r="F108" s="28"/>
      <x:c r="G108" s="15"/>
      <x:c r="H108" s="15"/>
      <x:c r="I108" s="15"/>
      <x:c r="J108" s="15"/>
      <x:c r="K108" s="15"/>
    </x:row>
    <x:row r="109" ht="20" customHeight="1">
      <x:c r="A109" s="15"/>
      <x:c r="B109" s="122"/>
      <x:c r="C109" s="15"/>
      <x:c r="D109" s="15"/>
      <x:c r="E109" s="15"/>
      <x:c r="F109" s="28"/>
      <x:c r="G109" s="15"/>
      <x:c r="H109" s="15"/>
      <x:c r="I109" s="15"/>
      <x:c r="J109" s="15"/>
      <x:c r="K109" s="15"/>
    </x:row>
    <x:row r="110" ht="20" customHeight="1">
      <x:c r="A110" s="15"/>
      <x:c r="B110" s="122"/>
      <x:c r="C110" s="15"/>
      <x:c r="D110" s="15"/>
      <x:c r="E110" s="15"/>
      <x:c r="F110" s="28"/>
      <x:c r="G110" s="15"/>
      <x:c r="H110" s="15"/>
      <x:c r="I110" s="15"/>
      <x:c r="J110" s="15"/>
      <x:c r="K110" s="15"/>
    </x:row>
    <x:row r="111" ht="20" customHeight="1">
      <x:c r="A111" s="15"/>
      <x:c r="B111" s="122"/>
      <x:c r="C111" s="15"/>
      <x:c r="D111" s="15"/>
      <x:c r="E111" s="15"/>
      <x:c r="F111" s="28"/>
      <x:c r="G111" s="15"/>
      <x:c r="H111" s="15"/>
      <x:c r="I111" s="15"/>
      <x:c r="J111" s="15"/>
      <x:c r="K111" s="15"/>
    </x:row>
    <x:row r="112" ht="20" customHeight="1">
      <x:c r="A112" s="15"/>
      <x:c r="B112" s="122"/>
      <x:c r="C112" s="15"/>
      <x:c r="D112" s="15"/>
      <x:c r="E112" s="15"/>
      <x:c r="F112" s="28"/>
      <x:c r="G112" s="15"/>
      <x:c r="H112" s="15"/>
      <x:c r="I112" s="15"/>
      <x:c r="J112" s="15"/>
      <x:c r="K112" s="15"/>
    </x:row>
    <x:row r="113" ht="20" customHeight="1">
      <x:c r="A113" s="15"/>
      <x:c r="B113" s="122"/>
      <x:c r="C113" s="15"/>
      <x:c r="D113" s="15"/>
      <x:c r="E113" s="15"/>
      <x:c r="F113" s="28"/>
      <x:c r="G113" s="15"/>
      <x:c r="H113" s="15"/>
      <x:c r="I113" s="15"/>
      <x:c r="J113" s="15"/>
      <x:c r="K113" s="15"/>
    </x:row>
    <x:row r="114" ht="20" customHeight="1">
      <x:c r="A114" s="15"/>
      <x:c r="B114" s="122"/>
      <x:c r="C114" s="15"/>
      <x:c r="D114" s="15"/>
      <x:c r="E114" s="15"/>
      <x:c r="F114" s="28"/>
      <x:c r="G114" s="15"/>
      <x:c r="H114" s="15"/>
      <x:c r="I114" s="15"/>
      <x:c r="J114" s="15"/>
      <x:c r="K114" s="15"/>
    </x:row>
    <x:row r="115" ht="20" customHeight="1">
      <x:c r="A115" s="15"/>
      <x:c r="B115" s="122"/>
      <x:c r="C115" s="15"/>
      <x:c r="D115" s="15"/>
      <x:c r="E115" s="15"/>
      <x:c r="F115" s="28"/>
      <x:c r="G115" s="15"/>
      <x:c r="H115" s="15"/>
      <x:c r="I115" s="15"/>
      <x:c r="J115" s="15"/>
      <x:c r="K115" s="15"/>
    </x:row>
    <x:row r="116" ht="20" customHeight="1">
      <x:c r="A116" s="15"/>
      <x:c r="B116" s="122"/>
      <x:c r="C116" s="15"/>
      <x:c r="D116" s="15"/>
      <x:c r="E116" s="15"/>
      <x:c r="F116" s="28"/>
      <x:c r="G116" s="15"/>
      <x:c r="H116" s="15"/>
      <x:c r="I116" s="15"/>
      <x:c r="J116" s="15"/>
      <x:c r="K116" s="15"/>
    </x:row>
    <x:row r="117" ht="20" customHeight="1">
      <x:c r="A117" s="15"/>
      <x:c r="B117" s="122"/>
      <x:c r="C117" s="15"/>
      <x:c r="D117" s="15"/>
      <x:c r="E117" s="15"/>
      <x:c r="F117" s="28"/>
      <x:c r="G117" s="15"/>
      <x:c r="H117" s="15"/>
      <x:c r="I117" s="15"/>
      <x:c r="J117" s="15"/>
      <x:c r="K117" s="15"/>
    </x:row>
    <x:row r="118" ht="20" customHeight="1">
      <x:c r="A118" s="15"/>
      <x:c r="B118" s="122"/>
      <x:c r="C118" s="15"/>
      <x:c r="D118" s="15"/>
      <x:c r="E118" s="15"/>
      <x:c r="F118" s="28"/>
      <x:c r="G118" s="15"/>
      <x:c r="H118" s="15"/>
      <x:c r="I118" s="15"/>
      <x:c r="J118" s="15"/>
      <x:c r="K118" s="15"/>
    </x:row>
    <x:row r="119" ht="20" customHeight="1">
      <x:c r="A119" s="15"/>
      <x:c r="B119" s="122"/>
      <x:c r="C119" s="15"/>
      <x:c r="D119" s="15"/>
      <x:c r="E119" s="15"/>
      <x:c r="F119" s="28"/>
      <x:c r="G119" s="15"/>
      <x:c r="H119" s="15"/>
      <x:c r="I119" s="15"/>
      <x:c r="J119" s="15"/>
      <x:c r="K119" s="15"/>
    </x:row>
    <x:row r="120" ht="20" customHeight="1">
      <x:c r="A120" s="15"/>
      <x:c r="B120" s="122"/>
      <x:c r="C120" s="15"/>
      <x:c r="D120" s="15"/>
      <x:c r="E120" s="15"/>
      <x:c r="F120" s="28"/>
      <x:c r="G120" s="15"/>
      <x:c r="H120" s="15"/>
      <x:c r="I120" s="15"/>
      <x:c r="J120" s="15"/>
      <x:c r="K120" s="15"/>
    </x:row>
    <x:row r="121" ht="20" customHeight="1">
      <x:c r="A121" s="15"/>
      <x:c r="B121" s="122"/>
      <x:c r="C121" s="15"/>
      <x:c r="D121" s="15"/>
      <x:c r="E121" s="15"/>
      <x:c r="F121" s="28"/>
      <x:c r="G121" s="15"/>
      <x:c r="H121" s="15"/>
      <x:c r="I121" s="15"/>
      <x:c r="J121" s="15"/>
      <x:c r="K121" s="15"/>
    </x:row>
    <x:row r="122" ht="20" customHeight="1">
      <x:c r="A122" s="15"/>
      <x:c r="B122" s="122"/>
      <x:c r="C122" s="15"/>
      <x:c r="D122" s="15"/>
      <x:c r="E122" s="15"/>
      <x:c r="F122" s="28"/>
      <x:c r="G122" s="15"/>
      <x:c r="H122" s="15"/>
      <x:c r="I122" s="15"/>
      <x:c r="J122" s="15"/>
      <x:c r="K122" s="15"/>
    </x:row>
    <x:row r="123" ht="20" customHeight="1">
      <x:c r="A123" s="15"/>
      <x:c r="B123" s="122"/>
      <x:c r="C123" s="15"/>
      <x:c r="D123" s="15"/>
      <x:c r="E123" s="15"/>
      <x:c r="F123" s="28"/>
      <x:c r="G123" s="15"/>
      <x:c r="H123" s="15"/>
      <x:c r="I123" s="15"/>
      <x:c r="J123" s="15"/>
      <x:c r="K123" s="15"/>
    </x:row>
    <x:row r="124" ht="20" customHeight="1">
      <x:c r="A124" s="15"/>
      <x:c r="B124" s="122"/>
      <x:c r="C124" s="15"/>
      <x:c r="D124" s="15"/>
      <x:c r="E124" s="15"/>
      <x:c r="F124" s="28"/>
      <x:c r="G124" s="15"/>
      <x:c r="H124" s="15"/>
      <x:c r="I124" s="15"/>
      <x:c r="J124" s="15"/>
      <x:c r="K124" s="15"/>
    </x:row>
    <x:row r="125" ht="20" customHeight="1">
      <x:c r="A125" s="15"/>
      <x:c r="B125" s="122"/>
      <x:c r="C125" s="15"/>
      <x:c r="D125" s="15"/>
      <x:c r="E125" s="15"/>
      <x:c r="F125" s="28"/>
      <x:c r="G125" s="15"/>
      <x:c r="H125" s="15"/>
      <x:c r="I125" s="15"/>
      <x:c r="J125" s="15"/>
      <x:c r="K125" s="15"/>
    </x:row>
    <x:row r="126" ht="20" customHeight="1">
      <x:c r="A126" s="15"/>
      <x:c r="B126" s="122"/>
      <x:c r="C126" s="15"/>
      <x:c r="D126" s="15"/>
      <x:c r="E126" s="15"/>
      <x:c r="F126" s="28"/>
      <x:c r="G126" s="15"/>
      <x:c r="H126" s="15"/>
      <x:c r="I126" s="15"/>
      <x:c r="J126" s="15"/>
      <x:c r="K126" s="15"/>
    </x:row>
    <x:row r="127" ht="20" customHeight="1">
      <x:c r="A127" s="15"/>
      <x:c r="B127" s="122"/>
      <x:c r="C127" s="15"/>
      <x:c r="D127" s="15"/>
      <x:c r="E127" s="15"/>
      <x:c r="F127" s="28"/>
      <x:c r="G127" s="15"/>
      <x:c r="H127" s="15"/>
      <x:c r="I127" s="15"/>
      <x:c r="J127" s="15"/>
      <x:c r="K127" s="15"/>
    </x:row>
    <x:row r="128" ht="20" customHeight="1">
      <x:c r="A128" s="15"/>
      <x:c r="B128" s="122"/>
      <x:c r="C128" s="15"/>
      <x:c r="D128" s="15"/>
      <x:c r="E128" s="15"/>
      <x:c r="F128" s="28"/>
      <x:c r="G128" s="15"/>
      <x:c r="H128" s="15"/>
      <x:c r="I128" s="15"/>
      <x:c r="J128" s="15"/>
      <x:c r="K128" s="15"/>
    </x:row>
    <x:row r="129" ht="20" customHeight="1">
      <x:c r="A129" s="15"/>
      <x:c r="B129" s="122"/>
      <x:c r="C129" s="15"/>
      <x:c r="D129" s="15"/>
      <x:c r="E129" s="15"/>
      <x:c r="F129" s="28"/>
      <x:c r="G129" s="15"/>
      <x:c r="H129" s="15"/>
      <x:c r="I129" s="15"/>
      <x:c r="J129" s="15"/>
      <x:c r="K129" s="15"/>
    </x:row>
    <x:row r="130" ht="20" customHeight="1">
      <x:c r="A130" s="15"/>
      <x:c r="B130" s="122"/>
      <x:c r="C130" s="15"/>
      <x:c r="D130" s="15"/>
      <x:c r="E130" s="15"/>
      <x:c r="F130" s="28"/>
      <x:c r="G130" s="15"/>
      <x:c r="H130" s="15"/>
      <x:c r="I130" s="15"/>
      <x:c r="J130" s="15"/>
      <x:c r="K130" s="15"/>
    </x:row>
    <x:row r="131" ht="20" customHeight="1">
      <x:c r="A131" s="15"/>
      <x:c r="B131" s="122"/>
      <x:c r="C131" s="15"/>
      <x:c r="D131" s="15"/>
      <x:c r="E131" s="15"/>
      <x:c r="F131" s="28"/>
      <x:c r="G131" s="15"/>
      <x:c r="H131" s="15"/>
      <x:c r="I131" s="15"/>
      <x:c r="J131" s="15"/>
      <x:c r="K131" s="15"/>
    </x:row>
    <x:row r="132" ht="20" customHeight="1">
      <x:c r="A132" s="15"/>
      <x:c r="B132" s="122"/>
      <x:c r="C132" s="15"/>
      <x:c r="D132" s="15"/>
      <x:c r="E132" s="15"/>
      <x:c r="F132" s="28"/>
      <x:c r="G132" s="15"/>
      <x:c r="H132" s="15"/>
      <x:c r="I132" s="15"/>
      <x:c r="J132" s="15"/>
      <x:c r="K132" s="15"/>
    </x:row>
    <x:row r="133" ht="20" customHeight="1">
      <x:c r="A133" s="15"/>
      <x:c r="B133" s="122"/>
      <x:c r="C133" s="15"/>
      <x:c r="D133" s="15"/>
      <x:c r="E133" s="15"/>
      <x:c r="F133" s="28"/>
      <x:c r="G133" s="15"/>
      <x:c r="H133" s="15"/>
      <x:c r="I133" s="15"/>
      <x:c r="J133" s="15"/>
      <x:c r="K133" s="15"/>
    </x:row>
    <x:row r="134" ht="20" customHeight="1">
      <x:c r="A134" s="15"/>
      <x:c r="B134" s="122"/>
      <x:c r="C134" s="15"/>
      <x:c r="D134" s="15"/>
      <x:c r="E134" s="15"/>
      <x:c r="F134" s="28"/>
      <x:c r="G134" s="15"/>
      <x:c r="H134" s="15"/>
      <x:c r="I134" s="15"/>
      <x:c r="J134" s="15"/>
      <x:c r="K134" s="15"/>
    </x:row>
    <x:row r="135" ht="20" customHeight="1">
      <x:c r="A135" s="15"/>
      <x:c r="B135" s="122"/>
      <x:c r="C135" s="15"/>
      <x:c r="D135" s="15"/>
      <x:c r="E135" s="15"/>
      <x:c r="F135" s="28"/>
      <x:c r="G135" s="15"/>
      <x:c r="H135" s="15"/>
      <x:c r="I135" s="15"/>
      <x:c r="J135" s="15"/>
      <x:c r="K135" s="15"/>
    </x:row>
    <x:row r="136" ht="20" customHeight="1">
      <x:c r="A136" s="15"/>
      <x:c r="B136" s="122"/>
      <x:c r="C136" s="15"/>
      <x:c r="D136" s="15"/>
      <x:c r="E136" s="15"/>
      <x:c r="F136" s="28"/>
      <x:c r="G136" s="15"/>
      <x:c r="H136" s="15"/>
      <x:c r="I136" s="15"/>
      <x:c r="J136" s="15"/>
      <x:c r="K136" s="15"/>
    </x:row>
    <x:row r="137" ht="20" customHeight="1">
      <x:c r="A137" s="15"/>
      <x:c r="B137" s="122"/>
      <x:c r="C137" s="15"/>
      <x:c r="D137" s="15"/>
      <x:c r="E137" s="15"/>
      <x:c r="F137" s="28"/>
      <x:c r="G137" s="15"/>
      <x:c r="H137" s="15"/>
      <x:c r="I137" s="15"/>
      <x:c r="J137" s="15"/>
      <x:c r="K137" s="15"/>
    </x:row>
    <x:row r="138" ht="20" customHeight="1">
      <x:c r="A138" s="15"/>
      <x:c r="B138" s="122"/>
      <x:c r="C138" s="15"/>
      <x:c r="D138" s="15"/>
      <x:c r="E138" s="15"/>
      <x:c r="F138" s="28"/>
      <x:c r="G138" s="15"/>
      <x:c r="H138" s="15"/>
      <x:c r="I138" s="15"/>
      <x:c r="J138" s="15"/>
      <x:c r="K138" s="15"/>
    </x:row>
    <x:row r="139" ht="20" customHeight="1">
      <x:c r="A139" s="15"/>
      <x:c r="B139" s="122"/>
      <x:c r="C139" s="15"/>
      <x:c r="D139" s="15"/>
      <x:c r="E139" s="15"/>
      <x:c r="F139" s="28"/>
      <x:c r="G139" s="15"/>
      <x:c r="H139" s="15"/>
      <x:c r="I139" s="15"/>
      <x:c r="J139" s="15"/>
      <x:c r="K139" s="15"/>
    </x:row>
    <x:row r="140" ht="20" customHeight="1">
      <x:c r="A140" s="15"/>
      <x:c r="B140" s="122"/>
      <x:c r="C140" s="15"/>
      <x:c r="D140" s="15"/>
      <x:c r="E140" s="15"/>
      <x:c r="F140" s="28"/>
      <x:c r="G140" s="15"/>
      <x:c r="H140" s="15"/>
      <x:c r="I140" s="15"/>
      <x:c r="J140" s="15"/>
      <x:c r="K140" s="15"/>
    </x:row>
    <x:row r="141" ht="20" customHeight="1">
      <x:c r="A141" s="15"/>
      <x:c r="B141" s="122"/>
      <x:c r="C141" s="15"/>
      <x:c r="D141" s="15"/>
      <x:c r="E141" s="15"/>
      <x:c r="F141" s="28"/>
      <x:c r="G141" s="15"/>
      <x:c r="H141" s="15"/>
      <x:c r="I141" s="15"/>
      <x:c r="J141" s="15"/>
      <x:c r="K141" s="15"/>
    </x:row>
    <x:row r="142" ht="20" customHeight="1">
      <x:c r="A142" s="15"/>
      <x:c r="B142" s="122"/>
      <x:c r="C142" s="15"/>
      <x:c r="D142" s="15"/>
      <x:c r="E142" s="15"/>
      <x:c r="F142" s="28"/>
      <x:c r="G142" s="15"/>
      <x:c r="H142" s="15"/>
      <x:c r="I142" s="15"/>
      <x:c r="J142" s="15"/>
      <x:c r="K142" s="15"/>
    </x:row>
    <x:row r="143" ht="20" customHeight="1">
      <x:c r="A143" s="15"/>
      <x:c r="B143" s="122"/>
      <x:c r="C143" s="15"/>
      <x:c r="D143" s="15"/>
      <x:c r="E143" s="15"/>
      <x:c r="F143" s="28"/>
      <x:c r="G143" s="15"/>
      <x:c r="H143" s="15"/>
      <x:c r="I143" s="15"/>
      <x:c r="J143" s="15"/>
      <x:c r="K143" s="15"/>
    </x:row>
    <x:row r="144" ht="20" customHeight="1">
      <x:c r="A144" s="15"/>
      <x:c r="B144" s="122"/>
      <x:c r="C144" s="15"/>
      <x:c r="D144" s="15"/>
      <x:c r="E144" s="15"/>
      <x:c r="F144" s="28"/>
      <x:c r="G144" s="15"/>
      <x:c r="H144" s="15"/>
      <x:c r="I144" s="15"/>
      <x:c r="J144" s="15"/>
      <x:c r="K144" s="15"/>
    </x:row>
    <x:row r="145" ht="20" customHeight="1">
      <x:c r="A145" s="15"/>
      <x:c r="B145" s="122"/>
      <x:c r="C145" s="15"/>
      <x:c r="D145" s="15"/>
      <x:c r="E145" s="15"/>
      <x:c r="F145" s="28"/>
      <x:c r="G145" s="15"/>
      <x:c r="H145" s="15"/>
      <x:c r="I145" s="15"/>
      <x:c r="J145" s="15"/>
      <x:c r="K145" s="15"/>
    </x:row>
    <x:row r="146" ht="20" customHeight="1">
      <x:c r="A146" s="15"/>
      <x:c r="B146" s="122"/>
      <x:c r="C146" s="15"/>
      <x:c r="D146" s="15"/>
      <x:c r="E146" s="15"/>
      <x:c r="F146" s="28"/>
      <x:c r="G146" s="15"/>
      <x:c r="H146" s="15"/>
      <x:c r="I146" s="15"/>
      <x:c r="J146" s="15"/>
      <x:c r="K146" s="15"/>
    </x:row>
    <x:row r="147" ht="20" customHeight="1">
      <x:c r="A147" s="15"/>
      <x:c r="B147" s="122"/>
      <x:c r="C147" s="15"/>
      <x:c r="D147" s="15"/>
      <x:c r="E147" s="15"/>
      <x:c r="F147" s="28"/>
      <x:c r="G147" s="15"/>
      <x:c r="H147" s="15"/>
      <x:c r="I147" s="15"/>
      <x:c r="J147" s="15"/>
      <x:c r="K147" s="15"/>
    </x:row>
    <x:row r="148" ht="20" customHeight="1">
      <x:c r="A148" s="15"/>
      <x:c r="B148" s="122"/>
      <x:c r="C148" s="15"/>
      <x:c r="D148" s="15"/>
      <x:c r="E148" s="15"/>
      <x:c r="F148" s="28"/>
      <x:c r="G148" s="15"/>
      <x:c r="H148" s="15"/>
      <x:c r="I148" s="15"/>
      <x:c r="J148" s="15"/>
      <x:c r="K148" s="15"/>
    </x:row>
    <x:row r="149" ht="20" customHeight="1">
      <x:c r="A149" s="15"/>
      <x:c r="B149" s="122"/>
      <x:c r="C149" s="15"/>
      <x:c r="D149" s="15"/>
      <x:c r="E149" s="15"/>
      <x:c r="F149" s="28"/>
      <x:c r="G149" s="15"/>
      <x:c r="H149" s="15"/>
      <x:c r="I149" s="15"/>
      <x:c r="J149" s="15"/>
      <x:c r="K149" s="15"/>
    </x:row>
    <x:row r="150" ht="20" customHeight="1">
      <x:c r="A150" s="15"/>
      <x:c r="B150" s="122"/>
      <x:c r="C150" s="15"/>
      <x:c r="D150" s="15"/>
      <x:c r="E150" s="15"/>
      <x:c r="F150" s="28"/>
      <x:c r="G150" s="15"/>
      <x:c r="H150" s="15"/>
      <x:c r="I150" s="15"/>
      <x:c r="J150" s="15"/>
      <x:c r="K150" s="15"/>
    </x:row>
    <x:row r="151" ht="20" customHeight="1">
      <x:c r="A151" s="15"/>
      <x:c r="B151" s="122"/>
      <x:c r="C151" s="15"/>
      <x:c r="D151" s="15"/>
      <x:c r="E151" s="15"/>
      <x:c r="F151" s="28"/>
      <x:c r="G151" s="15"/>
      <x:c r="H151" s="15"/>
      <x:c r="I151" s="15"/>
      <x:c r="J151" s="15"/>
      <x:c r="K151" s="15"/>
    </x:row>
    <x:row r="152" ht="20" customHeight="1">
      <x:c r="A152" s="15"/>
      <x:c r="B152" s="122"/>
      <x:c r="C152" s="15"/>
      <x:c r="D152" s="15"/>
      <x:c r="E152" s="15"/>
      <x:c r="F152" s="28"/>
      <x:c r="G152" s="15"/>
      <x:c r="H152" s="15"/>
      <x:c r="I152" s="15"/>
      <x:c r="J152" s="15"/>
      <x:c r="K152" s="15"/>
    </x:row>
    <x:row r="153" ht="20" customHeight="1">
      <x:c r="A153" s="15"/>
      <x:c r="B153" s="122"/>
      <x:c r="C153" s="15"/>
      <x:c r="D153" s="15"/>
      <x:c r="E153" s="15"/>
      <x:c r="F153" s="28"/>
      <x:c r="G153" s="15"/>
      <x:c r="H153" s="15"/>
      <x:c r="I153" s="15"/>
      <x:c r="J153" s="15"/>
      <x:c r="K153" s="15"/>
    </x:row>
    <x:row r="154" ht="20" customHeight="1">
      <x:c r="A154" s="15"/>
      <x:c r="B154" s="122"/>
      <x:c r="C154" s="15"/>
      <x:c r="D154" s="15"/>
      <x:c r="E154" s="15"/>
      <x:c r="F154" s="28"/>
      <x:c r="G154" s="15"/>
      <x:c r="H154" s="15"/>
      <x:c r="I154" s="15"/>
      <x:c r="J154" s="15"/>
      <x:c r="K154" s="15"/>
    </x:row>
    <x:row r="155" ht="20" customHeight="1">
      <x:c r="A155" s="15"/>
      <x:c r="B155" s="122"/>
      <x:c r="C155" s="15"/>
      <x:c r="D155" s="15"/>
      <x:c r="E155" s="15"/>
      <x:c r="F155" s="28"/>
      <x:c r="G155" s="15"/>
      <x:c r="H155" s="15"/>
      <x:c r="I155" s="15"/>
      <x:c r="J155" s="15"/>
      <x:c r="K155" s="15"/>
    </x:row>
    <x:row r="156" ht="20" customHeight="1">
      <x:c r="A156" s="15"/>
      <x:c r="B156" s="122"/>
      <x:c r="C156" s="15"/>
      <x:c r="D156" s="15"/>
      <x:c r="E156" s="15"/>
      <x:c r="F156" s="28"/>
      <x:c r="G156" s="15"/>
      <x:c r="H156" s="15"/>
      <x:c r="I156" s="15"/>
      <x:c r="J156" s="15"/>
      <x:c r="K156" s="15"/>
    </x:row>
    <x:row r="157" ht="20" customHeight="1">
      <x:c r="A157" s="15"/>
      <x:c r="B157" s="122"/>
      <x:c r="C157" s="15"/>
      <x:c r="D157" s="15"/>
      <x:c r="E157" s="15"/>
      <x:c r="F157" s="28"/>
      <x:c r="G157" s="15"/>
      <x:c r="H157" s="15"/>
      <x:c r="I157" s="15"/>
      <x:c r="J157" s="15"/>
      <x:c r="K157" s="15"/>
    </x:row>
    <x:row r="158" ht="20" customHeight="1">
      <x:c r="A158" s="15"/>
      <x:c r="B158" s="122"/>
      <x:c r="C158" s="15"/>
      <x:c r="D158" s="15"/>
      <x:c r="E158" s="15"/>
      <x:c r="F158" s="28"/>
      <x:c r="G158" s="15"/>
      <x:c r="H158" s="15"/>
      <x:c r="I158" s="15"/>
      <x:c r="J158" s="15"/>
      <x:c r="K158" s="15"/>
    </x:row>
    <x:row r="159" ht="20" customHeight="1">
      <x:c r="A159" s="15"/>
      <x:c r="B159" s="122"/>
      <x:c r="C159" s="15"/>
      <x:c r="D159" s="15"/>
      <x:c r="E159" s="15"/>
      <x:c r="F159" s="28"/>
      <x:c r="G159" s="15"/>
      <x:c r="H159" s="15"/>
      <x:c r="I159" s="15"/>
      <x:c r="J159" s="15"/>
      <x:c r="K159" s="15"/>
    </x:row>
    <x:row r="160" ht="20" customHeight="1">
      <x:c r="A160" s="15"/>
      <x:c r="B160" s="122"/>
      <x:c r="C160" s="15"/>
      <x:c r="D160" s="15"/>
      <x:c r="E160" s="15"/>
      <x:c r="F160" s="28"/>
      <x:c r="G160" s="15"/>
      <x:c r="H160" s="15"/>
      <x:c r="I160" s="15"/>
      <x:c r="J160" s="15"/>
      <x:c r="K160" s="15"/>
    </x:row>
    <x:row r="161" ht="20" customHeight="1">
      <x:c r="A161" s="15"/>
      <x:c r="B161" s="122"/>
      <x:c r="C161" s="15"/>
      <x:c r="D161" s="15"/>
      <x:c r="E161" s="15"/>
      <x:c r="F161" s="28"/>
      <x:c r="G161" s="15"/>
      <x:c r="H161" s="15"/>
      <x:c r="I161" s="15"/>
      <x:c r="J161" s="15"/>
      <x:c r="K161" s="15"/>
    </x:row>
    <x:row r="162" ht="20" customHeight="1">
      <x:c r="A162" s="15"/>
      <x:c r="B162" s="122"/>
      <x:c r="C162" s="15"/>
      <x:c r="D162" s="15"/>
      <x:c r="E162" s="15"/>
      <x:c r="F162" s="28"/>
      <x:c r="G162" s="15"/>
      <x:c r="H162" s="15"/>
      <x:c r="I162" s="15"/>
      <x:c r="J162" s="15"/>
      <x:c r="K162" s="15"/>
    </x:row>
    <x:row r="163" ht="20" customHeight="1">
      <x:c r="A163" s="15"/>
      <x:c r="B163" s="122"/>
      <x:c r="C163" s="15"/>
      <x:c r="D163" s="15"/>
      <x:c r="E163" s="15"/>
      <x:c r="F163" s="28"/>
      <x:c r="G163" s="15"/>
      <x:c r="H163" s="15"/>
      <x:c r="I163" s="15"/>
      <x:c r="J163" s="15"/>
      <x:c r="K163" s="15"/>
    </x:row>
    <x:row r="164" ht="20" customHeight="1">
      <x:c r="A164" s="15"/>
      <x:c r="B164" s="122"/>
      <x:c r="C164" s="15"/>
      <x:c r="D164" s="15"/>
      <x:c r="E164" s="15"/>
      <x:c r="F164" s="28"/>
      <x:c r="G164" s="15"/>
      <x:c r="H164" s="15"/>
      <x:c r="I164" s="15"/>
      <x:c r="J164" s="15"/>
      <x:c r="K164" s="15"/>
    </x:row>
    <x:row r="165" ht="20" customHeight="1">
      <x:c r="A165" s="15"/>
      <x:c r="B165" s="122"/>
      <x:c r="C165" s="15"/>
      <x:c r="D165" s="15"/>
      <x:c r="E165" s="15"/>
      <x:c r="F165" s="28"/>
      <x:c r="G165" s="15"/>
      <x:c r="H165" s="15"/>
      <x:c r="I165" s="15"/>
      <x:c r="J165" s="15"/>
      <x:c r="K165" s="15"/>
    </x:row>
    <x:row r="166" ht="20" customHeight="1">
      <x:c r="A166" s="15"/>
      <x:c r="B166" s="122"/>
      <x:c r="C166" s="15"/>
      <x:c r="D166" s="15"/>
      <x:c r="E166" s="15"/>
      <x:c r="F166" s="28"/>
      <x:c r="G166" s="15"/>
      <x:c r="H166" s="15"/>
      <x:c r="I166" s="15"/>
      <x:c r="J166" s="15"/>
      <x:c r="K166" s="15"/>
    </x:row>
    <x:row r="167" ht="20" customHeight="1">
      <x:c r="A167" s="15"/>
      <x:c r="B167" s="122"/>
      <x:c r="C167" s="15"/>
      <x:c r="D167" s="15"/>
      <x:c r="E167" s="15"/>
      <x:c r="F167" s="28"/>
      <x:c r="G167" s="15"/>
      <x:c r="H167" s="15"/>
      <x:c r="I167" s="15"/>
      <x:c r="J167" s="15"/>
      <x:c r="K167" s="15"/>
    </x:row>
    <x:row r="168" ht="20" customHeight="1">
      <x:c r="A168" s="15"/>
      <x:c r="B168" s="122"/>
      <x:c r="C168" s="15"/>
      <x:c r="D168" s="15"/>
      <x:c r="E168" s="15"/>
      <x:c r="F168" s="28"/>
      <x:c r="G168" s="15"/>
      <x:c r="H168" s="15"/>
      <x:c r="I168" s="15"/>
      <x:c r="J168" s="15"/>
      <x:c r="K168" s="15"/>
    </x:row>
    <x:row r="169" ht="20" customHeight="1">
      <x:c r="A169" s="15"/>
      <x:c r="B169" s="122"/>
      <x:c r="C169" s="15"/>
      <x:c r="D169" s="15"/>
      <x:c r="E169" s="15"/>
      <x:c r="F169" s="28"/>
      <x:c r="G169" s="15"/>
      <x:c r="H169" s="15"/>
      <x:c r="I169" s="15"/>
      <x:c r="J169" s="15"/>
      <x:c r="K169" s="15"/>
    </x:row>
    <x:row r="170" ht="20" customHeight="1">
      <x:c r="A170" s="15"/>
      <x:c r="B170" s="122"/>
      <x:c r="C170" s="15"/>
      <x:c r="D170" s="15"/>
      <x:c r="E170" s="15"/>
      <x:c r="F170" s="28"/>
      <x:c r="G170" s="15"/>
      <x:c r="H170" s="15"/>
      <x:c r="I170" s="15"/>
      <x:c r="J170" s="15"/>
      <x:c r="K170" s="15"/>
    </x:row>
    <x:row r="171" ht="20" customHeight="1">
      <x:c r="A171" s="15"/>
      <x:c r="B171" s="122"/>
      <x:c r="C171" s="15"/>
      <x:c r="D171" s="15"/>
      <x:c r="E171" s="15"/>
      <x:c r="F171" s="28"/>
      <x:c r="G171" s="15"/>
      <x:c r="H171" s="15"/>
      <x:c r="I171" s="15"/>
      <x:c r="J171" s="15"/>
      <x:c r="K171" s="15"/>
    </x:row>
    <x:row r="172" ht="20" customHeight="1">
      <x:c r="A172" s="15"/>
      <x:c r="B172" s="122"/>
      <x:c r="C172" s="15"/>
      <x:c r="D172" s="15"/>
      <x:c r="E172" s="15"/>
      <x:c r="F172" s="28"/>
      <x:c r="G172" s="15"/>
      <x:c r="H172" s="15"/>
      <x:c r="I172" s="15"/>
      <x:c r="J172" s="15"/>
      <x:c r="K172" s="15"/>
    </x:row>
    <x:row r="173" ht="20" customHeight="1">
      <x:c r="A173" s="15"/>
      <x:c r="B173" s="122"/>
      <x:c r="C173" s="15"/>
      <x:c r="D173" s="15"/>
      <x:c r="E173" s="15"/>
      <x:c r="F173" s="28"/>
      <x:c r="G173" s="15"/>
      <x:c r="H173" s="15"/>
      <x:c r="I173" s="15"/>
      <x:c r="J173" s="15"/>
      <x:c r="K173" s="15"/>
    </x:row>
    <x:row r="174" ht="20" customHeight="1">
      <x:c r="A174" s="15"/>
      <x:c r="B174" s="122"/>
      <x:c r="C174" s="15"/>
      <x:c r="D174" s="15"/>
      <x:c r="E174" s="15"/>
      <x:c r="F174" s="28"/>
      <x:c r="G174" s="15"/>
      <x:c r="H174" s="15"/>
      <x:c r="I174" s="15"/>
      <x:c r="J174" s="15"/>
      <x:c r="K174" s="15"/>
    </x:row>
    <x:row r="175" ht="20" customHeight="1">
      <x:c r="A175" s="15"/>
      <x:c r="B175" s="122"/>
      <x:c r="C175" s="15"/>
      <x:c r="D175" s="15"/>
      <x:c r="E175" s="15"/>
      <x:c r="F175" s="28"/>
      <x:c r="G175" s="15"/>
      <x:c r="H175" s="15"/>
      <x:c r="I175" s="15"/>
      <x:c r="J175" s="15"/>
      <x:c r="K175" s="15"/>
    </x:row>
    <x:row r="176" ht="20" customHeight="1">
      <x:c r="A176" s="15"/>
      <x:c r="B176" s="122"/>
      <x:c r="C176" s="15"/>
      <x:c r="D176" s="15"/>
      <x:c r="E176" s="15"/>
      <x:c r="F176" s="28"/>
      <x:c r="G176" s="15"/>
      <x:c r="H176" s="15"/>
      <x:c r="I176" s="15"/>
      <x:c r="J176" s="15"/>
      <x:c r="K176" s="15"/>
    </x:row>
    <x:row r="177" ht="20" customHeight="1">
      <x:c r="A177" s="15"/>
      <x:c r="B177" s="122"/>
      <x:c r="C177" s="15"/>
      <x:c r="D177" s="15"/>
      <x:c r="E177" s="15"/>
      <x:c r="F177" s="28"/>
      <x:c r="G177" s="15"/>
      <x:c r="H177" s="15"/>
      <x:c r="I177" s="15"/>
      <x:c r="J177" s="15"/>
      <x:c r="K177" s="15"/>
    </x:row>
    <x:row r="178" ht="20" customHeight="1">
      <x:c r="A178" s="15"/>
      <x:c r="B178" s="122"/>
      <x:c r="C178" s="15"/>
      <x:c r="D178" s="15"/>
      <x:c r="E178" s="15"/>
      <x:c r="F178" s="28"/>
      <x:c r="G178" s="15"/>
      <x:c r="H178" s="15"/>
      <x:c r="I178" s="15"/>
      <x:c r="J178" s="15"/>
      <x:c r="K178" s="15"/>
    </x:row>
    <x:row r="179" ht="20" customHeight="1">
      <x:c r="A179" s="15"/>
      <x:c r="B179" s="122"/>
      <x:c r="C179" s="15"/>
      <x:c r="D179" s="15"/>
      <x:c r="E179" s="15"/>
      <x:c r="F179" s="28"/>
      <x:c r="G179" s="15"/>
      <x:c r="H179" s="15"/>
      <x:c r="I179" s="15"/>
      <x:c r="J179" s="15"/>
      <x:c r="K179" s="15"/>
    </x:row>
    <x:row r="180" ht="20" customHeight="1">
      <x:c r="A180" s="15"/>
      <x:c r="B180" s="122"/>
      <x:c r="C180" s="15"/>
      <x:c r="D180" s="15"/>
      <x:c r="E180" s="15"/>
      <x:c r="F180" s="28"/>
      <x:c r="G180" s="15"/>
      <x:c r="H180" s="15"/>
      <x:c r="I180" s="15"/>
      <x:c r="J180" s="15"/>
      <x:c r="K180" s="15"/>
    </x:row>
    <x:row r="181" ht="20" customHeight="1">
      <x:c r="A181" s="15"/>
      <x:c r="B181" s="122"/>
      <x:c r="C181" s="15"/>
      <x:c r="D181" s="15"/>
      <x:c r="E181" s="15"/>
      <x:c r="F181" s="28"/>
      <x:c r="G181" s="15"/>
      <x:c r="H181" s="15"/>
      <x:c r="I181" s="15"/>
      <x:c r="J181" s="15"/>
      <x:c r="K181" s="15"/>
    </x:row>
    <x:row r="182" ht="20" customHeight="1">
      <x:c r="A182" s="15"/>
      <x:c r="B182" s="122"/>
      <x:c r="C182" s="15"/>
      <x:c r="D182" s="15"/>
      <x:c r="E182" s="15"/>
      <x:c r="F182" s="28"/>
      <x:c r="G182" s="15"/>
      <x:c r="H182" s="15"/>
      <x:c r="I182" s="15"/>
      <x:c r="J182" s="15"/>
      <x:c r="K182" s="15"/>
    </x:row>
    <x:row r="183" ht="20" customHeight="1">
      <x:c r="A183" s="15"/>
      <x:c r="B183" s="122"/>
      <x:c r="C183" s="15"/>
      <x:c r="D183" s="15"/>
      <x:c r="E183" s="15"/>
      <x:c r="F183" s="28"/>
      <x:c r="G183" s="15"/>
      <x:c r="H183" s="15"/>
      <x:c r="I183" s="15"/>
      <x:c r="J183" s="15"/>
      <x:c r="K183" s="15"/>
    </x:row>
    <x:row r="184" ht="20" customHeight="1">
      <x:c r="A184" s="15"/>
      <x:c r="B184" s="122"/>
      <x:c r="C184" s="15"/>
      <x:c r="D184" s="15"/>
      <x:c r="E184" s="15"/>
      <x:c r="F184" s="28"/>
      <x:c r="G184" s="15"/>
      <x:c r="H184" s="15"/>
      <x:c r="I184" s="15"/>
      <x:c r="J184" s="15"/>
      <x:c r="K184" s="15"/>
    </x:row>
    <x:row r="185" ht="20" customHeight="1">
      <x:c r="A185" s="15"/>
      <x:c r="B185" s="122"/>
      <x:c r="C185" s="15"/>
      <x:c r="D185" s="15"/>
      <x:c r="E185" s="15"/>
      <x:c r="F185" s="28"/>
      <x:c r="G185" s="15"/>
      <x:c r="H185" s="15"/>
      <x:c r="I185" s="15"/>
      <x:c r="J185" s="15"/>
      <x:c r="K185" s="15"/>
    </x:row>
    <x:row r="186" ht="20" customHeight="1">
      <x:c r="A186" s="15"/>
      <x:c r="B186" s="122"/>
      <x:c r="C186" s="15"/>
      <x:c r="D186" s="15"/>
      <x:c r="E186" s="15"/>
      <x:c r="F186" s="28"/>
      <x:c r="G186" s="15"/>
      <x:c r="H186" s="15"/>
      <x:c r="I186" s="15"/>
      <x:c r="J186" s="15"/>
      <x:c r="K186" s="15"/>
    </x:row>
    <x:row r="187" ht="20" customHeight="1">
      <x:c r="A187" s="15"/>
      <x:c r="B187" s="122"/>
      <x:c r="C187" s="15"/>
      <x:c r="D187" s="15"/>
      <x:c r="E187" s="15"/>
      <x:c r="F187" s="28"/>
      <x:c r="G187" s="15"/>
      <x:c r="H187" s="15"/>
      <x:c r="I187" s="15"/>
      <x:c r="J187" s="15"/>
      <x:c r="K187" s="15"/>
    </x:row>
    <x:row r="188" ht="20" customHeight="1">
      <x:c r="A188" s="15"/>
      <x:c r="B188" s="122"/>
      <x:c r="C188" s="15"/>
      <x:c r="D188" s="15"/>
      <x:c r="E188" s="15"/>
      <x:c r="F188" s="28"/>
      <x:c r="G188" s="15"/>
      <x:c r="H188" s="15"/>
      <x:c r="I188" s="15"/>
      <x:c r="J188" s="15"/>
      <x:c r="K188" s="15"/>
    </x:row>
    <x:row r="189" ht="20" customHeight="1">
      <x:c r="A189" s="15"/>
      <x:c r="B189" s="122"/>
      <x:c r="C189" s="15"/>
      <x:c r="D189" s="15"/>
      <x:c r="E189" s="15"/>
      <x:c r="F189" s="28"/>
      <x:c r="G189" s="15"/>
      <x:c r="H189" s="15"/>
      <x:c r="I189" s="15"/>
      <x:c r="J189" s="15"/>
      <x:c r="K189" s="15"/>
    </x:row>
    <x:row r="190" ht="20" customHeight="1">
      <x:c r="A190" s="15"/>
      <x:c r="B190" s="122"/>
      <x:c r="C190" s="15"/>
      <x:c r="D190" s="15"/>
      <x:c r="E190" s="15"/>
      <x:c r="F190" s="28"/>
      <x:c r="G190" s="15"/>
      <x:c r="H190" s="15"/>
      <x:c r="I190" s="15"/>
      <x:c r="J190" s="15"/>
      <x:c r="K190" s="15"/>
    </x:row>
    <x:row r="191" ht="20" customHeight="1">
      <x:c r="A191" s="15"/>
      <x:c r="B191" s="122"/>
      <x:c r="C191" s="15"/>
      <x:c r="D191" s="15"/>
      <x:c r="E191" s="15"/>
      <x:c r="F191" s="28"/>
      <x:c r="G191" s="15"/>
      <x:c r="H191" s="15"/>
      <x:c r="I191" s="15"/>
      <x:c r="J191" s="15"/>
      <x:c r="K191" s="15"/>
    </x:row>
    <x:row r="192" ht="20" customHeight="1">
      <x:c r="A192" s="15"/>
      <x:c r="B192" s="122"/>
      <x:c r="C192" s="15"/>
      <x:c r="D192" s="15"/>
      <x:c r="E192" s="15"/>
      <x:c r="F192" s="28"/>
      <x:c r="G192" s="15"/>
      <x:c r="H192" s="15"/>
      <x:c r="I192" s="15"/>
      <x:c r="J192" s="15"/>
      <x:c r="K192" s="15"/>
    </x:row>
    <x:row r="193" ht="20" customHeight="1">
      <x:c r="A193" s="15"/>
      <x:c r="B193" s="122"/>
      <x:c r="C193" s="15"/>
      <x:c r="D193" s="15"/>
      <x:c r="E193" s="15"/>
      <x:c r="F193" s="28"/>
      <x:c r="G193" s="15"/>
      <x:c r="H193" s="15"/>
      <x:c r="I193" s="15"/>
      <x:c r="J193" s="15"/>
      <x:c r="K193" s="15"/>
    </x:row>
    <x:row r="194" ht="20" customHeight="1">
      <x:c r="A194" s="15"/>
      <x:c r="B194" s="122"/>
      <x:c r="C194" s="15"/>
      <x:c r="D194" s="15"/>
      <x:c r="E194" s="15"/>
      <x:c r="F194" s="28"/>
      <x:c r="G194" s="15"/>
      <x:c r="H194" s="15"/>
      <x:c r="I194" s="15"/>
      <x:c r="J194" s="15"/>
      <x:c r="K194" s="15"/>
    </x:row>
    <x:row r="195" ht="20" customHeight="1">
      <x:c r="A195" s="15"/>
      <x:c r="B195" s="122"/>
      <x:c r="C195" s="15"/>
      <x:c r="D195" s="15"/>
      <x:c r="E195" s="15"/>
      <x:c r="F195" s="28"/>
      <x:c r="G195" s="15"/>
      <x:c r="H195" s="15"/>
      <x:c r="I195" s="15"/>
      <x:c r="J195" s="15"/>
      <x:c r="K195" s="15"/>
    </x:row>
    <x:row r="196" ht="20" customHeight="1">
      <x:c r="A196" s="15"/>
      <x:c r="B196" s="122"/>
      <x:c r="C196" s="15"/>
      <x:c r="D196" s="15"/>
      <x:c r="E196" s="15"/>
      <x:c r="F196" s="28"/>
      <x:c r="G196" s="15"/>
      <x:c r="H196" s="15"/>
      <x:c r="I196" s="15"/>
      <x:c r="J196" s="15"/>
      <x:c r="K196" s="15"/>
    </x:row>
    <x:row r="197" ht="20" customHeight="1">
      <x:c r="A197" s="15"/>
      <x:c r="B197" s="122"/>
      <x:c r="C197" s="15"/>
      <x:c r="D197" s="15"/>
      <x:c r="E197" s="15"/>
      <x:c r="F197" s="28"/>
      <x:c r="G197" s="15"/>
      <x:c r="H197" s="15"/>
      <x:c r="I197" s="15"/>
      <x:c r="J197" s="15"/>
      <x:c r="K197" s="15"/>
    </x:row>
    <x:row r="198" ht="20" customHeight="1">
      <x:c r="A198" s="15"/>
      <x:c r="B198" s="122"/>
      <x:c r="C198" s="15"/>
      <x:c r="D198" s="15"/>
      <x:c r="E198" s="15"/>
      <x:c r="F198" s="28"/>
      <x:c r="G198" s="15"/>
      <x:c r="H198" s="15"/>
      <x:c r="I198" s="15"/>
      <x:c r="J198" s="15"/>
      <x:c r="K198" s="15"/>
    </x:row>
    <x:row r="199" ht="20" customHeight="1">
      <x:c r="A199" s="15"/>
      <x:c r="B199" s="122"/>
      <x:c r="C199" s="15"/>
      <x:c r="D199" s="15"/>
      <x:c r="E199" s="15"/>
      <x:c r="F199" s="28"/>
      <x:c r="G199" s="15"/>
      <x:c r="H199" s="15"/>
      <x:c r="I199" s="15"/>
      <x:c r="J199" s="15"/>
      <x:c r="K199" s="15"/>
    </x:row>
    <x:row r="200" ht="20" customHeight="1">
      <x:c r="A200" s="15"/>
      <x:c r="B200" s="122"/>
      <x:c r="C200" s="15"/>
      <x:c r="D200" s="15"/>
      <x:c r="E200" s="15"/>
      <x:c r="F200" s="28"/>
      <x:c r="G200" s="15"/>
      <x:c r="H200" s="15"/>
      <x:c r="I200" s="15"/>
      <x:c r="J200" s="15"/>
      <x:c r="K200" s="15"/>
    </x:row>
    <x:row r="201" ht="20" customHeight="1">
      <x:c r="A201" s="15"/>
      <x:c r="B201" s="122"/>
      <x:c r="C201" s="15"/>
      <x:c r="D201" s="15"/>
      <x:c r="E201" s="15"/>
      <x:c r="F201" s="28"/>
      <x:c r="G201" s="15"/>
      <x:c r="H201" s="15"/>
      <x:c r="I201" s="15"/>
      <x:c r="J201" s="15"/>
      <x:c r="K201" s="15"/>
    </x:row>
  </x:sheetData>
  <x:dataValidations count="2">
    <x:dataValidation type="list" sqref="D2:D201">
      <x:formula1>"Daily Report,Production Log,Timesheet,Equipment Log,Material Log,Safety Report,Proof Asset,Closeout Package,Unknown"</x:formula1>
    </x:dataValidation>
    <x:dataValidation type="list" sqref="I2:I201">
      <x:formula1>"Received,Routed,Held,Rejected,Archived"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607bf942ad407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2" hidden="0" customWidth="1"/>
    <x:col min="7" max="7" width="14" hidden="0" customWidth="1"/>
    <x:col min="8" max="8" width="12" hidden="0" customWidth="1"/>
    <x:col min="9" max="9" width="12" hidden="0" customWidth="1"/>
    <x:col min="10" max="10" width="22" hidden="0" customWidth="1"/>
    <x:col min="11" max="11" width="2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4" hidden="0" customWidth="1"/>
    <x:col min="17" max="17" width="10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2" hidden="0" customWidth="1"/>
    <x:col min="23" max="23" width="16" hidden="0" customWidth="1"/>
    <x:col min="24" max="24" width="18" hidden="0" customWidth="1"/>
    <x:col min="25" max="25" width="12" hidden="0" customWidth="1"/>
    <x:col min="26" max="26" width="46" hidden="0" customWidth="1"/>
    <x:col min="27" max="27" width="16" hidden="0" customWidth="1"/>
    <x:col min="28" max="28" width="44" hidden="0" customWidth="1"/>
  </x:cols>
  <x:sheetData>
    <x:row r="1" ht="30" customHeight="1">
      <x:c r="A1" s="128" t="str">
        <x:v>SubmissionID</x:v>
      </x:c>
      <x:c r="B1" s="128" t="str">
        <x:v>SubmittedAt</x:v>
      </x:c>
      <x:c r="C1" s="128" t="str">
        <x:v>WorkDate</x:v>
      </x:c>
      <x:c r="D1" s="128" t="str">
        <x:v>ProjectID</x:v>
      </x:c>
      <x:c r="E1" s="128" t="str">
        <x:v>JobID</x:v>
      </x:c>
      <x:c r="F1" s="128" t="str">
        <x:v>CrewID</x:v>
      </x:c>
      <x:c r="G1" s="128" t="str">
        <x:v>Foreman</x:v>
      </x:c>
      <x:c r="H1" s="128" t="str">
        <x:v>Shift</x:v>
      </x:c>
      <x:c r="I1" s="128" t="str">
        <x:v>Weather</x:v>
      </x:c>
      <x:c r="J1" s="128" t="str">
        <x:v>GPS_Start</x:v>
      </x:c>
      <x:c r="K1" s="128" t="str">
        <x:v>GPS_End</x:v>
      </x:c>
      <x:c r="L1" s="128" t="str">
        <x:v>StartTime</x:v>
      </x:c>
      <x:c r="M1" s="128" t="str">
        <x:v>EndTime</x:v>
      </x:c>
      <x:c r="N1" s="128" t="str">
        <x:v>WorkHours</x:v>
      </x:c>
      <x:c r="O1" s="128" t="str">
        <x:v>LaborHours</x:v>
      </x:c>
      <x:c r="P1" s="128" t="str">
        <x:v>ProductionQty</x:v>
      </x:c>
      <x:c r="Q1" s="128" t="str">
        <x:v>Unit</x:v>
      </x:c>
      <x:c r="R1" s="128" t="str">
        <x:v>PhotosRequired</x:v>
      </x:c>
      <x:c r="S1" s="128" t="str">
        <x:v>PhotosUploaded</x:v>
      </x:c>
      <x:c r="T1" s="128" t="str">
        <x:v>RedlineRequired</x:v>
      </x:c>
      <x:c r="U1" s="128" t="str">
        <x:v>RedlineUploaded</x:v>
      </x:c>
      <x:c r="V1" s="128" t="str">
        <x:v>SafetyIssue</x:v>
      </x:c>
      <x:c r="W1" s="128" t="str">
        <x:v>CustomerSignoff</x:v>
      </x:c>
      <x:c r="X1" s="128" t="str">
        <x:v>OfficeStatus</x:v>
      </x:c>
      <x:c r="Y1" s="128" t="str">
        <x:v>ProofScore</x:v>
      </x:c>
      <x:c r="Z1" s="128" t="str">
        <x:v>ValidationIssues</x:v>
      </x:c>
      <x:c r="AA1" s="128" t="str">
        <x:v>ReadyForRollup</x:v>
      </x:c>
      <x:c r="AB1" s="128" t="str">
        <x:v>Notes</x:v>
      </x:c>
    </x:row>
    <x:row r="2" ht="20" customHeight="1">
      <x:c r="A2" s="15" t="str">
        <x:v>SUB-0001</x:v>
      </x:c>
      <x:c r="B2" s="122" t="n">
        <x:v>46204.75347222222</x:v>
      </x:c>
      <x:c r="C2" s="28" t="n">
        <x:v>46204</x:v>
      </x:c>
      <x:c r="D2" s="15" t="str">
        <x:v>PRJ-1001</x:v>
      </x:c>
      <x:c r="E2" s="15" t="str">
        <x:v>JOB-1001</x:v>
      </x:c>
      <x:c r="F2" s="15" t="str">
        <x:v>CRW-A</x:v>
      </x:c>
      <x:c r="G2" s="15" t="str">
        <x:v>EMP-001</x:v>
      </x:c>
      <x:c r="H2" s="15" t="str">
        <x:v>Day</x:v>
      </x:c>
      <x:c r="I2" s="15" t="str">
        <x:v>Clear</x:v>
      </x:c>
      <x:c r="J2" s="15" t="str">
        <x:v>40.0123,-75.1122</x:v>
      </x:c>
      <x:c r="K2" s="15" t="str">
        <x:v>40.0455,-75.1199</x:v>
      </x:c>
      <x:c r="L2" s="134" t="n">
        <x:v>0.2916666666666667</x:v>
      </x:c>
      <x:c r="M2" s="134" t="n">
        <x:v>0.6458333333333334</x:v>
      </x:c>
      <x:c r="N2" s="136" t="n">
        <x:f>IF(OR(L2="",M2=""),"",MAX(0,(M2-L2)*24))</x:f>
        <x:v>8.5</x:v>
      </x:c>
      <x:c r="O2" s="136" t="n">
        <x:v>24</x:v>
      </x:c>
      <x:c r="P2" s="138" t="n">
        <x:v>1250</x:v>
      </x:c>
      <x:c r="Q2" s="15" t="str">
        <x:v>lf</x:v>
      </x:c>
      <x:c r="R2" s="15" t="str">
        <x:v>Yes</x:v>
      </x:c>
      <x:c r="S2" s="15" t="n">
        <x:v>6</x:v>
      </x:c>
      <x:c r="T2" s="15" t="str">
        <x:v>Yes</x:v>
      </x:c>
      <x:c r="U2" s="15" t="str">
        <x:v>Yes</x:v>
      </x:c>
      <x:c r="V2" s="15" t="str">
        <x:v>No</x:v>
      </x:c>
      <x:c r="W2" s="15" t="str">
        <x:v>Yes</x:v>
      </x:c>
      <x:c r="X2" s="15" t="str">
        <x:v>Approved</x:v>
      </x:c>
      <x:c r="Y2" s="140" t="n">
        <x:f>IF(COUNTA(C2:M2,O2:X2)=0,"",ROUND((IF(OR(R2&lt;&gt;"Yes",S2&gt;0),1,0)+IF(OR(T2&lt;&gt;"Yes",U2="Yes"),1,0)+IF(W2="Yes",1,0)+IF(X2="Approved",1,0))/4,2))</x:f>
        <x:v>1</x:v>
      </x:c>
      <x:c r="Z2" s="15" t="str">
        <x:f>IF(COUNTA(C2:M2,O2:X2)=0,"",TEXTJOIN("; ",TRUE,IF(C2="","Missing work date",""),IF(D2="","Missing project",""),IF(F2="","Missing crew",""),IF(O2="","Missing labor hours",""),IF(P2="","Missing production qty",""),IF(AND(R2="Yes",OR(S2="",S2&lt;=0)),"Missing photo proof",""),IF(AND(T2="Yes",U2&lt;&gt;"Yes"),"Missing redline",""),IF(V2="Yes","Safety follow-up",""),IF(W2&lt;&gt;"Yes","Missing customer signoff",""),IF(X2&lt;&gt;"Approved","Office not approved",""),IF(N2&lt;=0,"Bad shift hours","")))</x:f>
      </x:c>
      <x:c r="AA2" s="15" t="str">
        <x:f>IF(COUNTA(C2:M2,O2:X2)=0,"",IF(Z2="","Yes","No"))</x:f>
        <x:v>Yes</x:v>
      </x:c>
      <x:c r="AB2" s="15" t="str">
        <x:v>Mainline fiber complete</x:v>
      </x:c>
    </x:row>
    <x:row r="3" ht="20" customHeight="1">
      <x:c r="A3" s="15" t="str">
        <x:v>SUB-0002</x:v>
      </x:c>
      <x:c r="B3" s="122" t="n">
        <x:v>46204.76388888889</x:v>
      </x:c>
      <x:c r="C3" s="28" t="n">
        <x:v>46204</x:v>
      </x:c>
      <x:c r="D3" s="15" t="str">
        <x:v>PRJ-1001</x:v>
      </x:c>
      <x:c r="E3" s="15" t="str">
        <x:v>JOB-1002</x:v>
      </x:c>
      <x:c r="F3" s="15" t="str">
        <x:v>CRW-B</x:v>
      </x:c>
      <x:c r="G3" s="15" t="str">
        <x:v>EMP-003</x:v>
      </x:c>
      <x:c r="H3" s="15" t="str">
        <x:v>Day</x:v>
      </x:c>
      <x:c r="I3" s="15" t="str">
        <x:v>Clear</x:v>
      </x:c>
      <x:c r="J3" s="15" t="str">
        <x:v>40.0551,-75.1201</x:v>
      </x:c>
      <x:c r="K3" s="15" t="str">
        <x:v>40.0788,-75.1320</x:v>
      </x:c>
      <x:c r="L3" s="134" t="n">
        <x:v>0.3125</x:v>
      </x:c>
      <x:c r="M3" s="134" t="n">
        <x:v>0.6666666666666666</x:v>
      </x:c>
      <x:c r="N3" s="136" t="n">
        <x:f>IF(OR(L3="",M3=""),"",MAX(0,(M3-L3)*24))</x:f>
        <x:v>8.5</x:v>
      </x:c>
      <x:c r="O3" s="136" t="n">
        <x:v>18</x:v>
      </x:c>
      <x:c r="P3" s="138" t="n">
        <x:v>320</x:v>
      </x:c>
      <x:c r="Q3" s="15" t="str">
        <x:v>lf</x:v>
      </x:c>
      <x:c r="R3" s="15" t="str">
        <x:v>Yes</x:v>
      </x:c>
      <x:c r="S3" s="15" t="n">
        <x:v>3</x:v>
      </x:c>
      <x:c r="T3" s="15" t="str">
        <x:v>Yes</x:v>
      </x:c>
      <x:c r="U3" s="15" t="str">
        <x:v>No</x:v>
      </x:c>
      <x:c r="V3" s="15" t="str">
        <x:v>No</x:v>
      </x:c>
      <x:c r="W3" s="15" t="str">
        <x:v>No</x:v>
      </x:c>
      <x:c r="X3" s="15" t="str">
        <x:v>In Review</x:v>
      </x:c>
      <x:c r="Y3" s="140" t="n">
        <x:f>IF(COUNTA(C3:M3,O3:X3)=0,"",ROUND((IF(OR(R3&lt;&gt;"Yes",S3&gt;0),1,0)+IF(OR(T3&lt;&gt;"Yes",U3="Yes"),1,0)+IF(W3="Yes",1,0)+IF(X3="Approved",1,0))/4,2))</x:f>
        <x:v>0.25</x:v>
      </x:c>
      <x:c r="Z3" s="15" t="str">
        <x:f>IF(COUNTA(C3:M3,O3:X3)=0,"",TEXTJOIN("; ",TRUE,IF(C3="","Missing work date",""),IF(D3="","Missing project",""),IF(F3="","Missing crew",""),IF(O3="","Missing labor hours",""),IF(P3="","Missing production qty",""),IF(AND(R3="Yes",OR(S3="",S3&lt;=0)),"Missing photo proof",""),IF(AND(T3="Yes",U3&lt;&gt;"Yes"),"Missing redline",""),IF(V3="Yes","Safety follow-up",""),IF(W3&lt;&gt;"Yes","Missing customer signoff",""),IF(X3&lt;&gt;"Approved","Office not approved",""),IF(N3&lt;=0,"Bad shift hours","")))</x:f>
        <x:v>Missing redline; Missing customer signoff; Office not approved</x:v>
      </x:c>
      <x:c r="AA3" s="15" t="str">
        <x:f>IF(COUNTA(C3:M3,O3:X3)=0,"",IF(Z3="","Yes","No"))</x:f>
        <x:v>No</x:v>
      </x:c>
      <x:c r="AB3" s="15" t="str">
        <x:v>Bore footage, missing redline</x:v>
      </x:c>
    </x:row>
    <x:row r="4" ht="20" customHeight="1">
      <x:c r="A4" s="15" t="str">
        <x:v>SUB-0003</x:v>
      </x:c>
      <x:c r="B4" s="122" t="n">
        <x:v>46204.739583333336</x:v>
      </x:c>
      <x:c r="C4" s="28" t="n">
        <x:v>46204</x:v>
      </x:c>
      <x:c r="D4" s="15" t="str">
        <x:v>PRJ-1002</x:v>
      </x:c>
      <x:c r="E4" s="15" t="str">
        <x:v>JOB-2001</x:v>
      </x:c>
      <x:c r="F4" s="15" t="str">
        <x:v>CRW-C</x:v>
      </x:c>
      <x:c r="G4" s="15" t="str">
        <x:v>EMP-004</x:v>
      </x:c>
      <x:c r="H4" s="15" t="str">
        <x:v>Day</x:v>
      </x:c>
      <x:c r="I4" s="15" t="str">
        <x:v>Cloudy</x:v>
      </x:c>
      <x:c r="J4" s="15" t="str">
        <x:v>39.9500,-74.8201</x:v>
      </x:c>
      <x:c r="K4" s="15" t="str">
        <x:v>39.9600,-74.8301</x:v>
      </x:c>
      <x:c r="L4" s="134" t="n">
        <x:v>0.3333333333333333</x:v>
      </x:c>
      <x:c r="M4" s="134" t="n">
        <x:v>0.625</x:v>
      </x:c>
      <x:c r="N4" s="136" t="n">
        <x:f>IF(OR(L4="",M4=""),"",MAX(0,(M4-L4)*24))</x:f>
        <x:v>7</x:v>
      </x:c>
      <x:c r="O4" s="136" t="n">
        <x:v>12</x:v>
      </x:c>
      <x:c r="P4" s="138" t="n">
        <x:v>4</x:v>
      </x:c>
      <x:c r="Q4" s="15" t="str">
        <x:v>each</x:v>
      </x:c>
      <x:c r="R4" s="15" t="str">
        <x:v>Yes</x:v>
      </x:c>
      <x:c r="S4" s="15" t="n">
        <x:v>5</x:v>
      </x:c>
      <x:c r="T4" s="15" t="str">
        <x:v>No</x:v>
      </x:c>
      <x:c r="U4" s="15" t="str">
        <x:v>No</x:v>
      </x:c>
      <x:c r="V4" s="15" t="str">
        <x:v>Yes</x:v>
      </x:c>
      <x:c r="W4" s="15" t="str">
        <x:v>Yes</x:v>
      </x:c>
      <x:c r="X4" s="15" t="str">
        <x:v>Needs Field Correction</x:v>
      </x:c>
      <x:c r="Y4" s="140" t="n">
        <x:f>IF(COUNTA(C4:M4,O4:X4)=0,"",ROUND((IF(OR(R4&lt;&gt;"Yes",S4&gt;0),1,0)+IF(OR(T4&lt;&gt;"Yes",U4="Yes"),1,0)+IF(W4="Yes",1,0)+IF(X4="Approved",1,0))/4,2))</x:f>
        <x:v>0.75</x:v>
      </x:c>
      <x:c r="Z4" s="15" t="str">
        <x:f>IF(COUNTA(C4:M4,O4:X4)=0,"",TEXTJOIN("; ",TRUE,IF(C4="","Missing work date",""),IF(D4="","Missing project",""),IF(F4="","Missing crew",""),IF(O4="","Missing labor hours",""),IF(P4="","Missing production qty",""),IF(AND(R4="Yes",OR(S4="",S4&lt;=0)),"Missing photo proof",""),IF(AND(T4="Yes",U4&lt;&gt;"Yes"),"Missing redline",""),IF(V4="Yes","Safety follow-up",""),IF(W4&lt;&gt;"Yes","Missing customer signoff",""),IF(X4&lt;&gt;"Approved","Office not approved",""),IF(N4&lt;=0,"Bad shift hours","")))</x:f>
        <x:v>Safety follow-up; Office not approved</x:v>
      </x:c>
      <x:c r="AA4" s="15" t="str">
        <x:f>IF(COUNTA(C4:M4,O4:X4)=0,"",IF(Z4="","Yes","No"))</x:f>
        <x:v>No</x:v>
      </x:c>
      <x:c r="AB4" s="15" t="str">
        <x:v>Damage photo needs review</x:v>
      </x:c>
    </x:row>
    <x:row r="5" ht="20" customHeight="1">
      <x:c r="A5" s="15" t="str">
        <x:v>SUB-0004</x:v>
      </x:c>
      <x:c r="B5" s="122" t="n">
        <x:v>46205.74652777778</x:v>
      </x:c>
      <x:c r="C5" s="28" t="n">
        <x:v>46205</x:v>
      </x:c>
      <x:c r="D5" s="15" t="str">
        <x:v>PRJ-1001</x:v>
      </x:c>
      <x:c r="E5" s="15" t="str">
        <x:v>JOB-1001</x:v>
      </x:c>
      <x:c r="F5" s="15" t="str">
        <x:v>CRW-A</x:v>
      </x:c>
      <x:c r="G5" s="15" t="str">
        <x:v>EMP-001</x:v>
      </x:c>
      <x:c r="H5" s="15" t="str">
        <x:v>Day</x:v>
      </x:c>
      <x:c r="I5" s="15" t="str">
        <x:v>Heat</x:v>
      </x:c>
      <x:c r="J5" s="15" t="str">
        <x:v>40.0123,-75.1122</x:v>
      </x:c>
      <x:c r="K5" s="15" t="str">
        <x:v>40.0499,-75.1210</x:v>
      </x:c>
      <x:c r="L5" s="134" t="n">
        <x:v>0.2916666666666667</x:v>
      </x:c>
      <x:c r="M5" s="134" t="n">
        <x:v>0.6666666666666666</x:v>
      </x:c>
      <x:c r="N5" s="136" t="n">
        <x:f>IF(OR(L5="",M5=""),"",MAX(0,(M5-L5)*24))</x:f>
        <x:v>8.999999999999998</x:v>
      </x:c>
      <x:c r="O5" s="136" t="n">
        <x:v>25</x:v>
      </x:c>
      <x:c r="P5" s="138" t="n">
        <x:v>1400</x:v>
      </x:c>
      <x:c r="Q5" s="15" t="str">
        <x:v>lf</x:v>
      </x:c>
      <x:c r="R5" s="15" t="str">
        <x:v>Yes</x:v>
      </x:c>
      <x:c r="S5" s="15" t="n">
        <x:v>8</x:v>
      </x:c>
      <x:c r="T5" s="15" t="str">
        <x:v>Yes</x:v>
      </x:c>
      <x:c r="U5" s="15" t="str">
        <x:v>Yes</x:v>
      </x:c>
      <x:c r="V5" s="15" t="str">
        <x:v>No</x:v>
      </x:c>
      <x:c r="W5" s="15" t="str">
        <x:v>Yes</x:v>
      </x:c>
      <x:c r="X5" s="15" t="str">
        <x:v>Approved</x:v>
      </x:c>
      <x:c r="Y5" s="140" t="n">
        <x:f>IF(COUNTA(C5:M5,O5:X5)=0,"",ROUND((IF(OR(R5&lt;&gt;"Yes",S5&gt;0),1,0)+IF(OR(T5&lt;&gt;"Yes",U5="Yes"),1,0)+IF(W5="Yes",1,0)+IF(X5="Approved",1,0))/4,2))</x:f>
        <x:v>1</x:v>
      </x:c>
      <x:c r="Z5" s="15" t="str">
        <x:f>IF(COUNTA(C5:M5,O5:X5)=0,"",TEXTJOIN("; ",TRUE,IF(C5="","Missing work date",""),IF(D5="","Missing project",""),IF(F5="","Missing crew",""),IF(O5="","Missing labor hours",""),IF(P5="","Missing production qty",""),IF(AND(R5="Yes",OR(S5="",S5&lt;=0)),"Missing photo proof",""),IF(AND(T5="Yes",U5&lt;&gt;"Yes"),"Missing redline",""),IF(V5="Yes","Safety follow-up",""),IF(W5&lt;&gt;"Yes","Missing customer signoff",""),IF(X5&lt;&gt;"Approved","Office not approved",""),IF(N5&lt;=0,"Bad shift hours","")))</x:f>
      </x:c>
      <x:c r="AA5" s="15" t="str">
        <x:f>IF(COUNTA(C5:M5,O5:X5)=0,"",IF(Z5="","Yes","No"))</x:f>
        <x:v>Yes</x:v>
      </x:c>
      <x:c r="AB5" s="15" t="str">
        <x:v>Second day complete</x:v>
      </x:c>
    </x:row>
    <x:row r="6" ht="20" customHeight="1">
      <x:c r="A6" s="15"/>
      <x:c r="B6" s="122"/>
      <x:c r="C6" s="28"/>
      <x:c r="D6" s="15"/>
      <x:c r="E6" s="15"/>
      <x:c r="F6" s="15"/>
      <x:c r="G6" s="15"/>
      <x:c r="H6" s="15"/>
      <x:c r="I6" s="15"/>
      <x:c r="J6" s="15"/>
      <x:c r="K6" s="15"/>
      <x:c r="L6" s="134"/>
      <x:c r="M6" s="134"/>
      <x:c r="N6" s="136" t="str">
        <x:f>IF(OR(L6="",M6=""),"",MAX(0,(M6-L6)*24))</x:f>
      </x:c>
      <x:c r="O6" s="136"/>
      <x:c r="P6" s="138"/>
      <x:c r="Q6" s="15"/>
      <x:c r="R6" s="15"/>
      <x:c r="S6" s="15"/>
      <x:c r="T6" s="15"/>
      <x:c r="U6" s="15"/>
      <x:c r="V6" s="15"/>
      <x:c r="W6" s="15"/>
      <x:c r="X6" s="15"/>
      <x:c r="Y6" s="140" t="str">
        <x:f>IF(COUNTA(C6:M6,O6:X6)=0,"",ROUND((IF(OR(R6&lt;&gt;"Yes",S6&gt;0),1,0)+IF(OR(T6&lt;&gt;"Yes",U6="Yes"),1,0)+IF(W6="Yes",1,0)+IF(X6="Approved",1,0))/4,2))</x:f>
      </x:c>
      <x:c r="Z6" s="15" t="str">
        <x:f>IF(COUNTA(C6:M6,O6:X6)=0,"",TEXTJOIN("; ",TRUE,IF(C6="","Missing work date",""),IF(D6="","Missing project",""),IF(F6="","Missing crew",""),IF(O6="","Missing labor hours",""),IF(P6="","Missing production qty",""),IF(AND(R6="Yes",OR(S6="",S6&lt;=0)),"Missing photo proof",""),IF(AND(T6="Yes",U6&lt;&gt;"Yes"),"Missing redline",""),IF(V6="Yes","Safety follow-up",""),IF(W6&lt;&gt;"Yes","Missing customer signoff",""),IF(X6&lt;&gt;"Approved","Office not approved",""),IF(N6&lt;=0,"Bad shift hours","")))</x:f>
      </x:c>
      <x:c r="AA6" s="15" t="str">
        <x:f>IF(COUNTA(C6:M6,O6:X6)=0,"",IF(Z6="","Yes","No"))</x:f>
      </x:c>
      <x:c r="AB6" s="15"/>
    </x:row>
    <x:row r="7" ht="20" customHeight="1">
      <x:c r="A7" s="15"/>
      <x:c r="B7" s="122"/>
      <x:c r="C7" s="28"/>
      <x:c r="D7" s="15"/>
      <x:c r="E7" s="15"/>
      <x:c r="F7" s="15"/>
      <x:c r="G7" s="15"/>
      <x:c r="H7" s="15"/>
      <x:c r="I7" s="15"/>
      <x:c r="J7" s="15"/>
      <x:c r="K7" s="15"/>
      <x:c r="L7" s="134"/>
      <x:c r="M7" s="134"/>
      <x:c r="N7" s="136" t="str">
        <x:f>IF(OR(L7="",M7=""),"",MAX(0,(M7-L7)*24))</x:f>
      </x:c>
      <x:c r="O7" s="136"/>
      <x:c r="P7" s="138"/>
      <x:c r="Q7" s="15"/>
      <x:c r="R7" s="15"/>
      <x:c r="S7" s="15"/>
      <x:c r="T7" s="15"/>
      <x:c r="U7" s="15"/>
      <x:c r="V7" s="15"/>
      <x:c r="W7" s="15"/>
      <x:c r="X7" s="15"/>
      <x:c r="Y7" s="140" t="str">
        <x:f>IF(COUNTA(C7:M7,O7:X7)=0,"",ROUND((IF(OR(R7&lt;&gt;"Yes",S7&gt;0),1,0)+IF(OR(T7&lt;&gt;"Yes",U7="Yes"),1,0)+IF(W7="Yes",1,0)+IF(X7="Approved",1,0))/4,2))</x:f>
      </x:c>
      <x:c r="Z7" s="15" t="str">
        <x:f>IF(COUNTA(C7:M7,O7:X7)=0,"",TEXTJOIN("; ",TRUE,IF(C7="","Missing work date",""),IF(D7="","Missing project",""),IF(F7="","Missing crew",""),IF(O7="","Missing labor hours",""),IF(P7="","Missing production qty",""),IF(AND(R7="Yes",OR(S7="",S7&lt;=0)),"Missing photo proof",""),IF(AND(T7="Yes",U7&lt;&gt;"Yes"),"Missing redline",""),IF(V7="Yes","Safety follow-up",""),IF(W7&lt;&gt;"Yes","Missing customer signoff",""),IF(X7&lt;&gt;"Approved","Office not approved",""),IF(N7&lt;=0,"Bad shift hours","")))</x:f>
      </x:c>
      <x:c r="AA7" s="15" t="str">
        <x:f>IF(COUNTA(C7:M7,O7:X7)=0,"",IF(Z7="","Yes","No"))</x:f>
      </x:c>
      <x:c r="AB7" s="15"/>
    </x:row>
    <x:row r="8" ht="20" customHeight="1">
      <x:c r="A8" s="15"/>
      <x:c r="B8" s="122"/>
      <x:c r="C8" s="28"/>
      <x:c r="D8" s="15"/>
      <x:c r="E8" s="15"/>
      <x:c r="F8" s="15"/>
      <x:c r="G8" s="15"/>
      <x:c r="H8" s="15"/>
      <x:c r="I8" s="15"/>
      <x:c r="J8" s="15"/>
      <x:c r="K8" s="15"/>
      <x:c r="L8" s="134"/>
      <x:c r="M8" s="134"/>
      <x:c r="N8" s="136" t="str">
        <x:f>IF(OR(L8="",M8=""),"",MAX(0,(M8-L8)*24))</x:f>
      </x:c>
      <x:c r="O8" s="136"/>
      <x:c r="P8" s="138"/>
      <x:c r="Q8" s="15"/>
      <x:c r="R8" s="15"/>
      <x:c r="S8" s="15"/>
      <x:c r="T8" s="15"/>
      <x:c r="U8" s="15"/>
      <x:c r="V8" s="15"/>
      <x:c r="W8" s="15"/>
      <x:c r="X8" s="15"/>
      <x:c r="Y8" s="140" t="str">
        <x:f>IF(COUNTA(C8:M8,O8:X8)=0,"",ROUND((IF(OR(R8&lt;&gt;"Yes",S8&gt;0),1,0)+IF(OR(T8&lt;&gt;"Yes",U8="Yes"),1,0)+IF(W8="Yes",1,0)+IF(X8="Approved",1,0))/4,2))</x:f>
      </x:c>
      <x:c r="Z8" s="15" t="str">
        <x:f>IF(COUNTA(C8:M8,O8:X8)=0,"",TEXTJOIN("; ",TRUE,IF(C8="","Missing work date",""),IF(D8="","Missing project",""),IF(F8="","Missing crew",""),IF(O8="","Missing labor hours",""),IF(P8="","Missing production qty",""),IF(AND(R8="Yes",OR(S8="",S8&lt;=0)),"Missing photo proof",""),IF(AND(T8="Yes",U8&lt;&gt;"Yes"),"Missing redline",""),IF(V8="Yes","Safety follow-up",""),IF(W8&lt;&gt;"Yes","Missing customer signoff",""),IF(X8&lt;&gt;"Approved","Office not approved",""),IF(N8&lt;=0,"Bad shift hours","")))</x:f>
      </x:c>
      <x:c r="AA8" s="15" t="str">
        <x:f>IF(COUNTA(C8:M8,O8:X8)=0,"",IF(Z8="","Yes","No"))</x:f>
      </x:c>
      <x:c r="AB8" s="15"/>
    </x:row>
    <x:row r="9" ht="20" customHeight="1">
      <x:c r="A9" s="15"/>
      <x:c r="B9" s="122"/>
      <x:c r="C9" s="28"/>
      <x:c r="D9" s="15"/>
      <x:c r="E9" s="15"/>
      <x:c r="F9" s="15"/>
      <x:c r="G9" s="15"/>
      <x:c r="H9" s="15"/>
      <x:c r="I9" s="15"/>
      <x:c r="J9" s="15"/>
      <x:c r="K9" s="15"/>
      <x:c r="L9" s="134"/>
      <x:c r="M9" s="134"/>
      <x:c r="N9" s="136" t="str">
        <x:f>IF(OR(L9="",M9=""),"",MAX(0,(M9-L9)*24))</x:f>
      </x:c>
      <x:c r="O9" s="136"/>
      <x:c r="P9" s="138"/>
      <x:c r="Q9" s="15"/>
      <x:c r="R9" s="15"/>
      <x:c r="S9" s="15"/>
      <x:c r="T9" s="15"/>
      <x:c r="U9" s="15"/>
      <x:c r="V9" s="15"/>
      <x:c r="W9" s="15"/>
      <x:c r="X9" s="15"/>
      <x:c r="Y9" s="140" t="str">
        <x:f>IF(COUNTA(C9:M9,O9:X9)=0,"",ROUND((IF(OR(R9&lt;&gt;"Yes",S9&gt;0),1,0)+IF(OR(T9&lt;&gt;"Yes",U9="Yes"),1,0)+IF(W9="Yes",1,0)+IF(X9="Approved",1,0))/4,2))</x:f>
      </x:c>
      <x:c r="Z9" s="15" t="str">
        <x:f>IF(COUNTA(C9:M9,O9:X9)=0,"",TEXTJOIN("; ",TRUE,IF(C9="","Missing work date",""),IF(D9="","Missing project",""),IF(F9="","Missing crew",""),IF(O9="","Missing labor hours",""),IF(P9="","Missing production qty",""),IF(AND(R9="Yes",OR(S9="",S9&lt;=0)),"Missing photo proof",""),IF(AND(T9="Yes",U9&lt;&gt;"Yes"),"Missing redline",""),IF(V9="Yes","Safety follow-up",""),IF(W9&lt;&gt;"Yes","Missing customer signoff",""),IF(X9&lt;&gt;"Approved","Office not approved",""),IF(N9&lt;=0,"Bad shift hours","")))</x:f>
      </x:c>
      <x:c r="AA9" s="15" t="str">
        <x:f>IF(COUNTA(C9:M9,O9:X9)=0,"",IF(Z9="","Yes","No"))</x:f>
      </x:c>
      <x:c r="AB9" s="15"/>
    </x:row>
    <x:row r="10" ht="20" customHeight="1">
      <x:c r="A10" s="15"/>
      <x:c r="B10" s="122"/>
      <x:c r="C10" s="28"/>
      <x:c r="D10" s="15"/>
      <x:c r="E10" s="15"/>
      <x:c r="F10" s="15"/>
      <x:c r="G10" s="15"/>
      <x:c r="H10" s="15"/>
      <x:c r="I10" s="15"/>
      <x:c r="J10" s="15"/>
      <x:c r="K10" s="15"/>
      <x:c r="L10" s="134"/>
      <x:c r="M10" s="134"/>
      <x:c r="N10" s="136" t="str">
        <x:f>IF(OR(L10="",M10=""),"",MAX(0,(M10-L10)*24))</x:f>
      </x:c>
      <x:c r="O10" s="136"/>
      <x:c r="P10" s="138"/>
      <x:c r="Q10" s="15"/>
      <x:c r="R10" s="15"/>
      <x:c r="S10" s="15"/>
      <x:c r="T10" s="15"/>
      <x:c r="U10" s="15"/>
      <x:c r="V10" s="15"/>
      <x:c r="W10" s="15"/>
      <x:c r="X10" s="15"/>
      <x:c r="Y10" s="140" t="str">
        <x:f>IF(COUNTA(C10:M10,O10:X10)=0,"",ROUND((IF(OR(R10&lt;&gt;"Yes",S10&gt;0),1,0)+IF(OR(T10&lt;&gt;"Yes",U10="Yes"),1,0)+IF(W10="Yes",1,0)+IF(X10="Approved",1,0))/4,2))</x:f>
      </x:c>
      <x:c r="Z10" s="15" t="str">
        <x:f>IF(COUNTA(C10:M10,O10:X10)=0,"",TEXTJOIN("; ",TRUE,IF(C10="","Missing work date",""),IF(D10="","Missing project",""),IF(F10="","Missing crew",""),IF(O10="","Missing labor hours",""),IF(P10="","Missing production qty",""),IF(AND(R10="Yes",OR(S10="",S10&lt;=0)),"Missing photo proof",""),IF(AND(T10="Yes",U10&lt;&gt;"Yes"),"Missing redline",""),IF(V10="Yes","Safety follow-up",""),IF(W10&lt;&gt;"Yes","Missing customer signoff",""),IF(X10&lt;&gt;"Approved","Office not approved",""),IF(N10&lt;=0,"Bad shift hours","")))</x:f>
      </x:c>
      <x:c r="AA10" s="15" t="str">
        <x:f>IF(COUNTA(C10:M10,O10:X10)=0,"",IF(Z10="","Yes","No"))</x:f>
      </x:c>
      <x:c r="AB10" s="15"/>
    </x:row>
    <x:row r="11" ht="20" customHeight="1">
      <x:c r="A11" s="15"/>
      <x:c r="B11" s="122"/>
      <x:c r="C11" s="28"/>
      <x:c r="D11" s="15"/>
      <x:c r="E11" s="15"/>
      <x:c r="F11" s="15"/>
      <x:c r="G11" s="15"/>
      <x:c r="H11" s="15"/>
      <x:c r="I11" s="15"/>
      <x:c r="J11" s="15"/>
      <x:c r="K11" s="15"/>
      <x:c r="L11" s="134"/>
      <x:c r="M11" s="134"/>
      <x:c r="N11" s="136" t="str">
        <x:f>IF(OR(L11="",M11=""),"",MAX(0,(M11-L11)*24))</x:f>
      </x:c>
      <x:c r="O11" s="136"/>
      <x:c r="P11" s="138"/>
      <x:c r="Q11" s="15"/>
      <x:c r="R11" s="15"/>
      <x:c r="S11" s="15"/>
      <x:c r="T11" s="15"/>
      <x:c r="U11" s="15"/>
      <x:c r="V11" s="15"/>
      <x:c r="W11" s="15"/>
      <x:c r="X11" s="15"/>
      <x:c r="Y11" s="140" t="str">
        <x:f>IF(COUNTA(C11:M11,O11:X11)=0,"",ROUND((IF(OR(R11&lt;&gt;"Yes",S11&gt;0),1,0)+IF(OR(T11&lt;&gt;"Yes",U11="Yes"),1,0)+IF(W11="Yes",1,0)+IF(X11="Approved",1,0))/4,2))</x:f>
      </x:c>
      <x:c r="Z11" s="15" t="str">
        <x:f>IF(COUNTA(C11:M11,O11:X11)=0,"",TEXTJOIN("; ",TRUE,IF(C11="","Missing work date",""),IF(D11="","Missing project",""),IF(F11="","Missing crew",""),IF(O11="","Missing labor hours",""),IF(P11="","Missing production qty",""),IF(AND(R11="Yes",OR(S11="",S11&lt;=0)),"Missing photo proof",""),IF(AND(T11="Yes",U11&lt;&gt;"Yes"),"Missing redline",""),IF(V11="Yes","Safety follow-up",""),IF(W11&lt;&gt;"Yes","Missing customer signoff",""),IF(X11&lt;&gt;"Approved","Office not approved",""),IF(N11&lt;=0,"Bad shift hours","")))</x:f>
      </x:c>
      <x:c r="AA11" s="15" t="str">
        <x:f>IF(COUNTA(C11:M11,O11:X11)=0,"",IF(Z11="","Yes","No"))</x:f>
      </x:c>
      <x:c r="AB11" s="15"/>
    </x:row>
    <x:row r="12" ht="20" customHeight="1">
      <x:c r="A12" s="15"/>
      <x:c r="B12" s="122"/>
      <x:c r="C12" s="28"/>
      <x:c r="D12" s="15"/>
      <x:c r="E12" s="15"/>
      <x:c r="F12" s="15"/>
      <x:c r="G12" s="15"/>
      <x:c r="H12" s="15"/>
      <x:c r="I12" s="15"/>
      <x:c r="J12" s="15"/>
      <x:c r="K12" s="15"/>
      <x:c r="L12" s="134"/>
      <x:c r="M12" s="134"/>
      <x:c r="N12" s="136" t="str">
        <x:f>IF(OR(L12="",M12=""),"",MAX(0,(M12-L12)*24))</x:f>
      </x:c>
      <x:c r="O12" s="136"/>
      <x:c r="P12" s="138"/>
      <x:c r="Q12" s="15"/>
      <x:c r="R12" s="15"/>
      <x:c r="S12" s="15"/>
      <x:c r="T12" s="15"/>
      <x:c r="U12" s="15"/>
      <x:c r="V12" s="15"/>
      <x:c r="W12" s="15"/>
      <x:c r="X12" s="15"/>
      <x:c r="Y12" s="140" t="str">
        <x:f>IF(COUNTA(C12:M12,O12:X12)=0,"",ROUND((IF(OR(R12&lt;&gt;"Yes",S12&gt;0),1,0)+IF(OR(T12&lt;&gt;"Yes",U12="Yes"),1,0)+IF(W12="Yes",1,0)+IF(X12="Approved",1,0))/4,2))</x:f>
      </x:c>
      <x:c r="Z12" s="15" t="str">
        <x:f>IF(COUNTA(C12:M12,O12:X12)=0,"",TEXTJOIN("; ",TRUE,IF(C12="","Missing work date",""),IF(D12="","Missing project",""),IF(F12="","Missing crew",""),IF(O12="","Missing labor hours",""),IF(P12="","Missing production qty",""),IF(AND(R12="Yes",OR(S12="",S12&lt;=0)),"Missing photo proof",""),IF(AND(T12="Yes",U12&lt;&gt;"Yes"),"Missing redline",""),IF(V12="Yes","Safety follow-up",""),IF(W12&lt;&gt;"Yes","Missing customer signoff",""),IF(X12&lt;&gt;"Approved","Office not approved",""),IF(N12&lt;=0,"Bad shift hours","")))</x:f>
      </x:c>
      <x:c r="AA12" s="15" t="str">
        <x:f>IF(COUNTA(C12:M12,O12:X12)=0,"",IF(Z12="","Yes","No"))</x:f>
      </x:c>
      <x:c r="AB12" s="15"/>
    </x:row>
    <x:row r="13" ht="20" customHeight="1">
      <x:c r="A13" s="15"/>
      <x:c r="B13" s="122"/>
      <x:c r="C13" s="28"/>
      <x:c r="D13" s="15"/>
      <x:c r="E13" s="15"/>
      <x:c r="F13" s="15"/>
      <x:c r="G13" s="15"/>
      <x:c r="H13" s="15"/>
      <x:c r="I13" s="15"/>
      <x:c r="J13" s="15"/>
      <x:c r="K13" s="15"/>
      <x:c r="L13" s="134"/>
      <x:c r="M13" s="134"/>
      <x:c r="N13" s="136" t="str">
        <x:f>IF(OR(L13="",M13=""),"",MAX(0,(M13-L13)*24))</x:f>
      </x:c>
      <x:c r="O13" s="136"/>
      <x:c r="P13" s="138"/>
      <x:c r="Q13" s="15"/>
      <x:c r="R13" s="15"/>
      <x:c r="S13" s="15"/>
      <x:c r="T13" s="15"/>
      <x:c r="U13" s="15"/>
      <x:c r="V13" s="15"/>
      <x:c r="W13" s="15"/>
      <x:c r="X13" s="15"/>
      <x:c r="Y13" s="140" t="str">
        <x:f>IF(COUNTA(C13:M13,O13:X13)=0,"",ROUND((IF(OR(R13&lt;&gt;"Yes",S13&gt;0),1,0)+IF(OR(T13&lt;&gt;"Yes",U13="Yes"),1,0)+IF(W13="Yes",1,0)+IF(X13="Approved",1,0))/4,2))</x:f>
      </x:c>
      <x:c r="Z13" s="15" t="str">
        <x:f>IF(COUNTA(C13:M13,O13:X13)=0,"",TEXTJOIN("; ",TRUE,IF(C13="","Missing work date",""),IF(D13="","Missing project",""),IF(F13="","Missing crew",""),IF(O13="","Missing labor hours",""),IF(P13="","Missing production qty",""),IF(AND(R13="Yes",OR(S13="",S13&lt;=0)),"Missing photo proof",""),IF(AND(T13="Yes",U13&lt;&gt;"Yes"),"Missing redline",""),IF(V13="Yes","Safety follow-up",""),IF(W13&lt;&gt;"Yes","Missing customer signoff",""),IF(X13&lt;&gt;"Approved","Office not approved",""),IF(N13&lt;=0,"Bad shift hours","")))</x:f>
      </x:c>
      <x:c r="AA13" s="15" t="str">
        <x:f>IF(COUNTA(C13:M13,O13:X13)=0,"",IF(Z13="","Yes","No"))</x:f>
      </x:c>
      <x:c r="AB13" s="15"/>
    </x:row>
    <x:row r="14" ht="20" customHeight="1">
      <x:c r="A14" s="15"/>
      <x:c r="B14" s="122"/>
      <x:c r="C14" s="28"/>
      <x:c r="D14" s="15"/>
      <x:c r="E14" s="15"/>
      <x:c r="F14" s="15"/>
      <x:c r="G14" s="15"/>
      <x:c r="H14" s="15"/>
      <x:c r="I14" s="15"/>
      <x:c r="J14" s="15"/>
      <x:c r="K14" s="15"/>
      <x:c r="L14" s="134"/>
      <x:c r="M14" s="134"/>
      <x:c r="N14" s="136" t="str">
        <x:f>IF(OR(L14="",M14=""),"",MAX(0,(M14-L14)*24))</x:f>
      </x:c>
      <x:c r="O14" s="136"/>
      <x:c r="P14" s="138"/>
      <x:c r="Q14" s="15"/>
      <x:c r="R14" s="15"/>
      <x:c r="S14" s="15"/>
      <x:c r="T14" s="15"/>
      <x:c r="U14" s="15"/>
      <x:c r="V14" s="15"/>
      <x:c r="W14" s="15"/>
      <x:c r="X14" s="15"/>
      <x:c r="Y14" s="140" t="str">
        <x:f>IF(COUNTA(C14:M14,O14:X14)=0,"",ROUND((IF(OR(R14&lt;&gt;"Yes",S14&gt;0),1,0)+IF(OR(T14&lt;&gt;"Yes",U14="Yes"),1,0)+IF(W14="Yes",1,0)+IF(X14="Approved",1,0))/4,2))</x:f>
      </x:c>
      <x:c r="Z14" s="15" t="str">
        <x:f>IF(COUNTA(C14:M14,O14:X14)=0,"",TEXTJOIN("; ",TRUE,IF(C14="","Missing work date",""),IF(D14="","Missing project",""),IF(F14="","Missing crew",""),IF(O14="","Missing labor hours",""),IF(P14="","Missing production qty",""),IF(AND(R14="Yes",OR(S14="",S14&lt;=0)),"Missing photo proof",""),IF(AND(T14="Yes",U14&lt;&gt;"Yes"),"Missing redline",""),IF(V14="Yes","Safety follow-up",""),IF(W14&lt;&gt;"Yes","Missing customer signoff",""),IF(X14&lt;&gt;"Approved","Office not approved",""),IF(N14&lt;=0,"Bad shift hours","")))</x:f>
      </x:c>
      <x:c r="AA14" s="15" t="str">
        <x:f>IF(COUNTA(C14:M14,O14:X14)=0,"",IF(Z14="","Yes","No"))</x:f>
      </x:c>
      <x:c r="AB14" s="15"/>
    </x:row>
    <x:row r="15" ht="20" customHeight="1">
      <x:c r="A15" s="15"/>
      <x:c r="B15" s="122"/>
      <x:c r="C15" s="28"/>
      <x:c r="D15" s="15"/>
      <x:c r="E15" s="15"/>
      <x:c r="F15" s="15"/>
      <x:c r="G15" s="15"/>
      <x:c r="H15" s="15"/>
      <x:c r="I15" s="15"/>
      <x:c r="J15" s="15"/>
      <x:c r="K15" s="15"/>
      <x:c r="L15" s="134"/>
      <x:c r="M15" s="134"/>
      <x:c r="N15" s="136" t="str">
        <x:f>IF(OR(L15="",M15=""),"",MAX(0,(M15-L15)*24))</x:f>
      </x:c>
      <x:c r="O15" s="136"/>
      <x:c r="P15" s="138"/>
      <x:c r="Q15" s="15"/>
      <x:c r="R15" s="15"/>
      <x:c r="S15" s="15"/>
      <x:c r="T15" s="15"/>
      <x:c r="U15" s="15"/>
      <x:c r="V15" s="15"/>
      <x:c r="W15" s="15"/>
      <x:c r="X15" s="15"/>
      <x:c r="Y15" s="140" t="str">
        <x:f>IF(COUNTA(C15:M15,O15:X15)=0,"",ROUND((IF(OR(R15&lt;&gt;"Yes",S15&gt;0),1,0)+IF(OR(T15&lt;&gt;"Yes",U15="Yes"),1,0)+IF(W15="Yes",1,0)+IF(X15="Approved",1,0))/4,2))</x:f>
      </x:c>
      <x:c r="Z15" s="15" t="str">
        <x:f>IF(COUNTA(C15:M15,O15:X15)=0,"",TEXTJOIN("; ",TRUE,IF(C15="","Missing work date",""),IF(D15="","Missing project",""),IF(F15="","Missing crew",""),IF(O15="","Missing labor hours",""),IF(P15="","Missing production qty",""),IF(AND(R15="Yes",OR(S15="",S15&lt;=0)),"Missing photo proof",""),IF(AND(T15="Yes",U15&lt;&gt;"Yes"),"Missing redline",""),IF(V15="Yes","Safety follow-up",""),IF(W15&lt;&gt;"Yes","Missing customer signoff",""),IF(X15&lt;&gt;"Approved","Office not approved",""),IF(N15&lt;=0,"Bad shift hours","")))</x:f>
      </x:c>
      <x:c r="AA15" s="15" t="str">
        <x:f>IF(COUNTA(C15:M15,O15:X15)=0,"",IF(Z15="","Yes","No"))</x:f>
      </x:c>
      <x:c r="AB15" s="15"/>
    </x:row>
    <x:row r="16" ht="20" customHeight="1">
      <x:c r="A16" s="15"/>
      <x:c r="B16" s="122"/>
      <x:c r="C16" s="28"/>
      <x:c r="D16" s="15"/>
      <x:c r="E16" s="15"/>
      <x:c r="F16" s="15"/>
      <x:c r="G16" s="15"/>
      <x:c r="H16" s="15"/>
      <x:c r="I16" s="15"/>
      <x:c r="J16" s="15"/>
      <x:c r="K16" s="15"/>
      <x:c r="L16" s="134"/>
      <x:c r="M16" s="134"/>
      <x:c r="N16" s="136" t="str">
        <x:f>IF(OR(L16="",M16=""),"",MAX(0,(M16-L16)*24))</x:f>
      </x:c>
      <x:c r="O16" s="136"/>
      <x:c r="P16" s="138"/>
      <x:c r="Q16" s="15"/>
      <x:c r="R16" s="15"/>
      <x:c r="S16" s="15"/>
      <x:c r="T16" s="15"/>
      <x:c r="U16" s="15"/>
      <x:c r="V16" s="15"/>
      <x:c r="W16" s="15"/>
      <x:c r="X16" s="15"/>
      <x:c r="Y16" s="140" t="str">
        <x:f>IF(COUNTA(C16:M16,O16:X16)=0,"",ROUND((IF(OR(R16&lt;&gt;"Yes",S16&gt;0),1,0)+IF(OR(T16&lt;&gt;"Yes",U16="Yes"),1,0)+IF(W16="Yes",1,0)+IF(X16="Approved",1,0))/4,2))</x:f>
      </x:c>
      <x:c r="Z16" s="15" t="str">
        <x:f>IF(COUNTA(C16:M16,O16:X16)=0,"",TEXTJOIN("; ",TRUE,IF(C16="","Missing work date",""),IF(D16="","Missing project",""),IF(F16="","Missing crew",""),IF(O16="","Missing labor hours",""),IF(P16="","Missing production qty",""),IF(AND(R16="Yes",OR(S16="",S16&lt;=0)),"Missing photo proof",""),IF(AND(T16="Yes",U16&lt;&gt;"Yes"),"Missing redline",""),IF(V16="Yes","Safety follow-up",""),IF(W16&lt;&gt;"Yes","Missing customer signoff",""),IF(X16&lt;&gt;"Approved","Office not approved",""),IF(N16&lt;=0,"Bad shift hours","")))</x:f>
      </x:c>
      <x:c r="AA16" s="15" t="str">
        <x:f>IF(COUNTA(C16:M16,O16:X16)=0,"",IF(Z16="","Yes","No"))</x:f>
      </x:c>
      <x:c r="AB16" s="15"/>
    </x:row>
    <x:row r="17" ht="20" customHeight="1">
      <x:c r="A17" s="15"/>
      <x:c r="B17" s="122"/>
      <x:c r="C17" s="28"/>
      <x:c r="D17" s="15"/>
      <x:c r="E17" s="15"/>
      <x:c r="F17" s="15"/>
      <x:c r="G17" s="15"/>
      <x:c r="H17" s="15"/>
      <x:c r="I17" s="15"/>
      <x:c r="J17" s="15"/>
      <x:c r="K17" s="15"/>
      <x:c r="L17" s="134"/>
      <x:c r="M17" s="134"/>
      <x:c r="N17" s="136" t="str">
        <x:f>IF(OR(L17="",M17=""),"",MAX(0,(M17-L17)*24))</x:f>
      </x:c>
      <x:c r="O17" s="136"/>
      <x:c r="P17" s="138"/>
      <x:c r="Q17" s="15"/>
      <x:c r="R17" s="15"/>
      <x:c r="S17" s="15"/>
      <x:c r="T17" s="15"/>
      <x:c r="U17" s="15"/>
      <x:c r="V17" s="15"/>
      <x:c r="W17" s="15"/>
      <x:c r="X17" s="15"/>
      <x:c r="Y17" s="140" t="str">
        <x:f>IF(COUNTA(C17:M17,O17:X17)=0,"",ROUND((IF(OR(R17&lt;&gt;"Yes",S17&gt;0),1,0)+IF(OR(T17&lt;&gt;"Yes",U17="Yes"),1,0)+IF(W17="Yes",1,0)+IF(X17="Approved",1,0))/4,2))</x:f>
      </x:c>
      <x:c r="Z17" s="15" t="str">
        <x:f>IF(COUNTA(C17:M17,O17:X17)=0,"",TEXTJOIN("; ",TRUE,IF(C17="","Missing work date",""),IF(D17="","Missing project",""),IF(F17="","Missing crew",""),IF(O17="","Missing labor hours",""),IF(P17="","Missing production qty",""),IF(AND(R17="Yes",OR(S17="",S17&lt;=0)),"Missing photo proof",""),IF(AND(T17="Yes",U17&lt;&gt;"Yes"),"Missing redline",""),IF(V17="Yes","Safety follow-up",""),IF(W17&lt;&gt;"Yes","Missing customer signoff",""),IF(X17&lt;&gt;"Approved","Office not approved",""),IF(N17&lt;=0,"Bad shift hours","")))</x:f>
      </x:c>
      <x:c r="AA17" s="15" t="str">
        <x:f>IF(COUNTA(C17:M17,O17:X17)=0,"",IF(Z17="","Yes","No"))</x:f>
      </x:c>
      <x:c r="AB17" s="15"/>
    </x:row>
    <x:row r="18" ht="20" customHeight="1">
      <x:c r="A18" s="15"/>
      <x:c r="B18" s="122"/>
      <x:c r="C18" s="28"/>
      <x:c r="D18" s="15"/>
      <x:c r="E18" s="15"/>
      <x:c r="F18" s="15"/>
      <x:c r="G18" s="15"/>
      <x:c r="H18" s="15"/>
      <x:c r="I18" s="15"/>
      <x:c r="J18" s="15"/>
      <x:c r="K18" s="15"/>
      <x:c r="L18" s="134"/>
      <x:c r="M18" s="134"/>
      <x:c r="N18" s="136" t="str">
        <x:f>IF(OR(L18="",M18=""),"",MAX(0,(M18-L18)*24))</x:f>
      </x:c>
      <x:c r="O18" s="136"/>
      <x:c r="P18" s="138"/>
      <x:c r="Q18" s="15"/>
      <x:c r="R18" s="15"/>
      <x:c r="S18" s="15"/>
      <x:c r="T18" s="15"/>
      <x:c r="U18" s="15"/>
      <x:c r="V18" s="15"/>
      <x:c r="W18" s="15"/>
      <x:c r="X18" s="15"/>
      <x:c r="Y18" s="140" t="str">
        <x:f>IF(COUNTA(C18:M18,O18:X18)=0,"",ROUND((IF(OR(R18&lt;&gt;"Yes",S18&gt;0),1,0)+IF(OR(T18&lt;&gt;"Yes",U18="Yes"),1,0)+IF(W18="Yes",1,0)+IF(X18="Approved",1,0))/4,2))</x:f>
      </x:c>
      <x:c r="Z18" s="15" t="str">
        <x:f>IF(COUNTA(C18:M18,O18:X18)=0,"",TEXTJOIN("; ",TRUE,IF(C18="","Missing work date",""),IF(D18="","Missing project",""),IF(F18="","Missing crew",""),IF(O18="","Missing labor hours",""),IF(P18="","Missing production qty",""),IF(AND(R18="Yes",OR(S18="",S18&lt;=0)),"Missing photo proof",""),IF(AND(T18="Yes",U18&lt;&gt;"Yes"),"Missing redline",""),IF(V18="Yes","Safety follow-up",""),IF(W18&lt;&gt;"Yes","Missing customer signoff",""),IF(X18&lt;&gt;"Approved","Office not approved",""),IF(N18&lt;=0,"Bad shift hours","")))</x:f>
      </x:c>
      <x:c r="AA18" s="15" t="str">
        <x:f>IF(COUNTA(C18:M18,O18:X18)=0,"",IF(Z18="","Yes","No"))</x:f>
      </x:c>
      <x:c r="AB18" s="15"/>
    </x:row>
    <x:row r="19" ht="20" customHeight="1">
      <x:c r="A19" s="15"/>
      <x:c r="B19" s="122"/>
      <x:c r="C19" s="28"/>
      <x:c r="D19" s="15"/>
      <x:c r="E19" s="15"/>
      <x:c r="F19" s="15"/>
      <x:c r="G19" s="15"/>
      <x:c r="H19" s="15"/>
      <x:c r="I19" s="15"/>
      <x:c r="J19" s="15"/>
      <x:c r="K19" s="15"/>
      <x:c r="L19" s="134"/>
      <x:c r="M19" s="134"/>
      <x:c r="N19" s="136" t="str">
        <x:f>IF(OR(L19="",M19=""),"",MAX(0,(M19-L19)*24))</x:f>
      </x:c>
      <x:c r="O19" s="136"/>
      <x:c r="P19" s="138"/>
      <x:c r="Q19" s="15"/>
      <x:c r="R19" s="15"/>
      <x:c r="S19" s="15"/>
      <x:c r="T19" s="15"/>
      <x:c r="U19" s="15"/>
      <x:c r="V19" s="15"/>
      <x:c r="W19" s="15"/>
      <x:c r="X19" s="15"/>
      <x:c r="Y19" s="140" t="str">
        <x:f>IF(COUNTA(C19:M19,O19:X19)=0,"",ROUND((IF(OR(R19&lt;&gt;"Yes",S19&gt;0),1,0)+IF(OR(T19&lt;&gt;"Yes",U19="Yes"),1,0)+IF(W19="Yes",1,0)+IF(X19="Approved",1,0))/4,2))</x:f>
      </x:c>
      <x:c r="Z19" s="15" t="str">
        <x:f>IF(COUNTA(C19:M19,O19:X19)=0,"",TEXTJOIN("; ",TRUE,IF(C19="","Missing work date",""),IF(D19="","Missing project",""),IF(F19="","Missing crew",""),IF(O19="","Missing labor hours",""),IF(P19="","Missing production qty",""),IF(AND(R19="Yes",OR(S19="",S19&lt;=0)),"Missing photo proof",""),IF(AND(T19="Yes",U19&lt;&gt;"Yes"),"Missing redline",""),IF(V19="Yes","Safety follow-up",""),IF(W19&lt;&gt;"Yes","Missing customer signoff",""),IF(X19&lt;&gt;"Approved","Office not approved",""),IF(N19&lt;=0,"Bad shift hours","")))</x:f>
      </x:c>
      <x:c r="AA19" s="15" t="str">
        <x:f>IF(COUNTA(C19:M19,O19:X19)=0,"",IF(Z19="","Yes","No"))</x:f>
      </x:c>
      <x:c r="AB19" s="15"/>
    </x:row>
    <x:row r="20" ht="20" customHeight="1">
      <x:c r="A20" s="15"/>
      <x:c r="B20" s="122"/>
      <x:c r="C20" s="28"/>
      <x:c r="D20" s="15"/>
      <x:c r="E20" s="15"/>
      <x:c r="F20" s="15"/>
      <x:c r="G20" s="15"/>
      <x:c r="H20" s="15"/>
      <x:c r="I20" s="15"/>
      <x:c r="J20" s="15"/>
      <x:c r="K20" s="15"/>
      <x:c r="L20" s="134"/>
      <x:c r="M20" s="134"/>
      <x:c r="N20" s="136" t="str">
        <x:f>IF(OR(L20="",M20=""),"",MAX(0,(M20-L20)*24))</x:f>
      </x:c>
      <x:c r="O20" s="136"/>
      <x:c r="P20" s="138"/>
      <x:c r="Q20" s="15"/>
      <x:c r="R20" s="15"/>
      <x:c r="S20" s="15"/>
      <x:c r="T20" s="15"/>
      <x:c r="U20" s="15"/>
      <x:c r="V20" s="15"/>
      <x:c r="W20" s="15"/>
      <x:c r="X20" s="15"/>
      <x:c r="Y20" s="140" t="str">
        <x:f>IF(COUNTA(C20:M20,O20:X20)=0,"",ROUND((IF(OR(R20&lt;&gt;"Yes",S20&gt;0),1,0)+IF(OR(T20&lt;&gt;"Yes",U20="Yes"),1,0)+IF(W20="Yes",1,0)+IF(X20="Approved",1,0))/4,2))</x:f>
      </x:c>
      <x:c r="Z20" s="15" t="str">
        <x:f>IF(COUNTA(C20:M20,O20:X20)=0,"",TEXTJOIN("; ",TRUE,IF(C20="","Missing work date",""),IF(D20="","Missing project",""),IF(F20="","Missing crew",""),IF(O20="","Missing labor hours",""),IF(P20="","Missing production qty",""),IF(AND(R20="Yes",OR(S20="",S20&lt;=0)),"Missing photo proof",""),IF(AND(T20="Yes",U20&lt;&gt;"Yes"),"Missing redline",""),IF(V20="Yes","Safety follow-up",""),IF(W20&lt;&gt;"Yes","Missing customer signoff",""),IF(X20&lt;&gt;"Approved","Office not approved",""),IF(N20&lt;=0,"Bad shift hours","")))</x:f>
      </x:c>
      <x:c r="AA20" s="15" t="str">
        <x:f>IF(COUNTA(C20:M20,O20:X20)=0,"",IF(Z20="","Yes","No"))</x:f>
      </x:c>
      <x:c r="AB20" s="15"/>
    </x:row>
    <x:row r="21" ht="20" customHeight="1">
      <x:c r="A21" s="15"/>
      <x:c r="B21" s="122"/>
      <x:c r="C21" s="28"/>
      <x:c r="D21" s="15"/>
      <x:c r="E21" s="15"/>
      <x:c r="F21" s="15"/>
      <x:c r="G21" s="15"/>
      <x:c r="H21" s="15"/>
      <x:c r="I21" s="15"/>
      <x:c r="J21" s="15"/>
      <x:c r="K21" s="15"/>
      <x:c r="L21" s="134"/>
      <x:c r="M21" s="134"/>
      <x:c r="N21" s="136" t="str">
        <x:f>IF(OR(L21="",M21=""),"",MAX(0,(M21-L21)*24))</x:f>
      </x:c>
      <x:c r="O21" s="136"/>
      <x:c r="P21" s="138"/>
      <x:c r="Q21" s="15"/>
      <x:c r="R21" s="15"/>
      <x:c r="S21" s="15"/>
      <x:c r="T21" s="15"/>
      <x:c r="U21" s="15"/>
      <x:c r="V21" s="15"/>
      <x:c r="W21" s="15"/>
      <x:c r="X21" s="15"/>
      <x:c r="Y21" s="140" t="str">
        <x:f>IF(COUNTA(C21:M21,O21:X21)=0,"",ROUND((IF(OR(R21&lt;&gt;"Yes",S21&gt;0),1,0)+IF(OR(T21&lt;&gt;"Yes",U21="Yes"),1,0)+IF(W21="Yes",1,0)+IF(X21="Approved",1,0))/4,2))</x:f>
      </x:c>
      <x:c r="Z21" s="15" t="str">
        <x:f>IF(COUNTA(C21:M21,O21:X21)=0,"",TEXTJOIN("; ",TRUE,IF(C21="","Missing work date",""),IF(D21="","Missing project",""),IF(F21="","Missing crew",""),IF(O21="","Missing labor hours",""),IF(P21="","Missing production qty",""),IF(AND(R21="Yes",OR(S21="",S21&lt;=0)),"Missing photo proof",""),IF(AND(T21="Yes",U21&lt;&gt;"Yes"),"Missing redline",""),IF(V21="Yes","Safety follow-up",""),IF(W21&lt;&gt;"Yes","Missing customer signoff",""),IF(X21&lt;&gt;"Approved","Office not approved",""),IF(N21&lt;=0,"Bad shift hours","")))</x:f>
      </x:c>
      <x:c r="AA21" s="15" t="str">
        <x:f>IF(COUNTA(C21:M21,O21:X21)=0,"",IF(Z21="","Yes","No"))</x:f>
      </x:c>
      <x:c r="AB21" s="15"/>
    </x:row>
    <x:row r="22" ht="20" customHeight="1">
      <x:c r="A22" s="15"/>
      <x:c r="B22" s="122"/>
      <x:c r="C22" s="28"/>
      <x:c r="D22" s="15"/>
      <x:c r="E22" s="15"/>
      <x:c r="F22" s="15"/>
      <x:c r="G22" s="15"/>
      <x:c r="H22" s="15"/>
      <x:c r="I22" s="15"/>
      <x:c r="J22" s="15"/>
      <x:c r="K22" s="15"/>
      <x:c r="L22" s="134"/>
      <x:c r="M22" s="134"/>
      <x:c r="N22" s="136" t="str">
        <x:f>IF(OR(L22="",M22=""),"",MAX(0,(M22-L22)*24))</x:f>
      </x:c>
      <x:c r="O22" s="136"/>
      <x:c r="P22" s="138"/>
      <x:c r="Q22" s="15"/>
      <x:c r="R22" s="15"/>
      <x:c r="S22" s="15"/>
      <x:c r="T22" s="15"/>
      <x:c r="U22" s="15"/>
      <x:c r="V22" s="15"/>
      <x:c r="W22" s="15"/>
      <x:c r="X22" s="15"/>
      <x:c r="Y22" s="140" t="str">
        <x:f>IF(COUNTA(C22:M22,O22:X22)=0,"",ROUND((IF(OR(R22&lt;&gt;"Yes",S22&gt;0),1,0)+IF(OR(T22&lt;&gt;"Yes",U22="Yes"),1,0)+IF(W22="Yes",1,0)+IF(X22="Approved",1,0))/4,2))</x:f>
      </x:c>
      <x:c r="Z22" s="15" t="str">
        <x:f>IF(COUNTA(C22:M22,O22:X22)=0,"",TEXTJOIN("; ",TRUE,IF(C22="","Missing work date",""),IF(D22="","Missing project",""),IF(F22="","Missing crew",""),IF(O22="","Missing labor hours",""),IF(P22="","Missing production qty",""),IF(AND(R22="Yes",OR(S22="",S22&lt;=0)),"Missing photo proof",""),IF(AND(T22="Yes",U22&lt;&gt;"Yes"),"Missing redline",""),IF(V22="Yes","Safety follow-up",""),IF(W22&lt;&gt;"Yes","Missing customer signoff",""),IF(X22&lt;&gt;"Approved","Office not approved",""),IF(N22&lt;=0,"Bad shift hours","")))</x:f>
      </x:c>
      <x:c r="AA22" s="15" t="str">
        <x:f>IF(COUNTA(C22:M22,O22:X22)=0,"",IF(Z22="","Yes","No"))</x:f>
      </x:c>
      <x:c r="AB22" s="15"/>
    </x:row>
    <x:row r="23" ht="20" customHeight="1">
      <x:c r="A23" s="15"/>
      <x:c r="B23" s="122"/>
      <x:c r="C23" s="28"/>
      <x:c r="D23" s="15"/>
      <x:c r="E23" s="15"/>
      <x:c r="F23" s="15"/>
      <x:c r="G23" s="15"/>
      <x:c r="H23" s="15"/>
      <x:c r="I23" s="15"/>
      <x:c r="J23" s="15"/>
      <x:c r="K23" s="15"/>
      <x:c r="L23" s="134"/>
      <x:c r="M23" s="134"/>
      <x:c r="N23" s="136" t="str">
        <x:f>IF(OR(L23="",M23=""),"",MAX(0,(M23-L23)*24))</x:f>
      </x:c>
      <x:c r="O23" s="136"/>
      <x:c r="P23" s="138"/>
      <x:c r="Q23" s="15"/>
      <x:c r="R23" s="15"/>
      <x:c r="S23" s="15"/>
      <x:c r="T23" s="15"/>
      <x:c r="U23" s="15"/>
      <x:c r="V23" s="15"/>
      <x:c r="W23" s="15"/>
      <x:c r="X23" s="15"/>
      <x:c r="Y23" s="140" t="str">
        <x:f>IF(COUNTA(C23:M23,O23:X23)=0,"",ROUND((IF(OR(R23&lt;&gt;"Yes",S23&gt;0),1,0)+IF(OR(T23&lt;&gt;"Yes",U23="Yes"),1,0)+IF(W23="Yes",1,0)+IF(X23="Approved",1,0))/4,2))</x:f>
      </x:c>
      <x:c r="Z23" s="15" t="str">
        <x:f>IF(COUNTA(C23:M23,O23:X23)=0,"",TEXTJOIN("; ",TRUE,IF(C23="","Missing work date",""),IF(D23="","Missing project",""),IF(F23="","Missing crew",""),IF(O23="","Missing labor hours",""),IF(P23="","Missing production qty",""),IF(AND(R23="Yes",OR(S23="",S23&lt;=0)),"Missing photo proof",""),IF(AND(T23="Yes",U23&lt;&gt;"Yes"),"Missing redline",""),IF(V23="Yes","Safety follow-up",""),IF(W23&lt;&gt;"Yes","Missing customer signoff",""),IF(X23&lt;&gt;"Approved","Office not approved",""),IF(N23&lt;=0,"Bad shift hours","")))</x:f>
      </x:c>
      <x:c r="AA23" s="15" t="str">
        <x:f>IF(COUNTA(C23:M23,O23:X23)=0,"",IF(Z23="","Yes","No"))</x:f>
      </x:c>
      <x:c r="AB23" s="15"/>
    </x:row>
    <x:row r="24" ht="20" customHeight="1">
      <x:c r="A24" s="15"/>
      <x:c r="B24" s="122"/>
      <x:c r="C24" s="28"/>
      <x:c r="D24" s="15"/>
      <x:c r="E24" s="15"/>
      <x:c r="F24" s="15"/>
      <x:c r="G24" s="15"/>
      <x:c r="H24" s="15"/>
      <x:c r="I24" s="15"/>
      <x:c r="J24" s="15"/>
      <x:c r="K24" s="15"/>
      <x:c r="L24" s="134"/>
      <x:c r="M24" s="134"/>
      <x:c r="N24" s="136" t="str">
        <x:f>IF(OR(L24="",M24=""),"",MAX(0,(M24-L24)*24))</x:f>
      </x:c>
      <x:c r="O24" s="136"/>
      <x:c r="P24" s="138"/>
      <x:c r="Q24" s="15"/>
      <x:c r="R24" s="15"/>
      <x:c r="S24" s="15"/>
      <x:c r="T24" s="15"/>
      <x:c r="U24" s="15"/>
      <x:c r="V24" s="15"/>
      <x:c r="W24" s="15"/>
      <x:c r="X24" s="15"/>
      <x:c r="Y24" s="140" t="str">
        <x:f>IF(COUNTA(C24:M24,O24:X24)=0,"",ROUND((IF(OR(R24&lt;&gt;"Yes",S24&gt;0),1,0)+IF(OR(T24&lt;&gt;"Yes",U24="Yes"),1,0)+IF(W24="Yes",1,0)+IF(X24="Approved",1,0))/4,2))</x:f>
      </x:c>
      <x:c r="Z24" s="15" t="str">
        <x:f>IF(COUNTA(C24:M24,O24:X24)=0,"",TEXTJOIN("; ",TRUE,IF(C24="","Missing work date",""),IF(D24="","Missing project",""),IF(F24="","Missing crew",""),IF(O24="","Missing labor hours",""),IF(P24="","Missing production qty",""),IF(AND(R24="Yes",OR(S24="",S24&lt;=0)),"Missing photo proof",""),IF(AND(T24="Yes",U24&lt;&gt;"Yes"),"Missing redline",""),IF(V24="Yes","Safety follow-up",""),IF(W24&lt;&gt;"Yes","Missing customer signoff",""),IF(X24&lt;&gt;"Approved","Office not approved",""),IF(N24&lt;=0,"Bad shift hours","")))</x:f>
      </x:c>
      <x:c r="AA24" s="15" t="str">
        <x:f>IF(COUNTA(C24:M24,O24:X24)=0,"",IF(Z24="","Yes","No"))</x:f>
      </x:c>
      <x:c r="AB24" s="15"/>
    </x:row>
    <x:row r="25" ht="20" customHeight="1">
      <x:c r="A25" s="15"/>
      <x:c r="B25" s="122"/>
      <x:c r="C25" s="28"/>
      <x:c r="D25" s="15"/>
      <x:c r="E25" s="15"/>
      <x:c r="F25" s="15"/>
      <x:c r="G25" s="15"/>
      <x:c r="H25" s="15"/>
      <x:c r="I25" s="15"/>
      <x:c r="J25" s="15"/>
      <x:c r="K25" s="15"/>
      <x:c r="L25" s="134"/>
      <x:c r="M25" s="134"/>
      <x:c r="N25" s="136" t="str">
        <x:f>IF(OR(L25="",M25=""),"",MAX(0,(M25-L25)*24))</x:f>
      </x:c>
      <x:c r="O25" s="136"/>
      <x:c r="P25" s="138"/>
      <x:c r="Q25" s="15"/>
      <x:c r="R25" s="15"/>
      <x:c r="S25" s="15"/>
      <x:c r="T25" s="15"/>
      <x:c r="U25" s="15"/>
      <x:c r="V25" s="15"/>
      <x:c r="W25" s="15"/>
      <x:c r="X25" s="15"/>
      <x:c r="Y25" s="140" t="str">
        <x:f>IF(COUNTA(C25:M25,O25:X25)=0,"",ROUND((IF(OR(R25&lt;&gt;"Yes",S25&gt;0),1,0)+IF(OR(T25&lt;&gt;"Yes",U25="Yes"),1,0)+IF(W25="Yes",1,0)+IF(X25="Approved",1,0))/4,2))</x:f>
      </x:c>
      <x:c r="Z25" s="15" t="str">
        <x:f>IF(COUNTA(C25:M25,O25:X25)=0,"",TEXTJOIN("; ",TRUE,IF(C25="","Missing work date",""),IF(D25="","Missing project",""),IF(F25="","Missing crew",""),IF(O25="","Missing labor hours",""),IF(P25="","Missing production qty",""),IF(AND(R25="Yes",OR(S25="",S25&lt;=0)),"Missing photo proof",""),IF(AND(T25="Yes",U25&lt;&gt;"Yes"),"Missing redline",""),IF(V25="Yes","Safety follow-up",""),IF(W25&lt;&gt;"Yes","Missing customer signoff",""),IF(X25&lt;&gt;"Approved","Office not approved",""),IF(N25&lt;=0,"Bad shift hours","")))</x:f>
      </x:c>
      <x:c r="AA25" s="15" t="str">
        <x:f>IF(COUNTA(C25:M25,O25:X25)=0,"",IF(Z25="","Yes","No"))</x:f>
      </x:c>
      <x:c r="AB25" s="15"/>
    </x:row>
    <x:row r="26" ht="20" customHeight="1">
      <x:c r="A26" s="15"/>
      <x:c r="B26" s="122"/>
      <x:c r="C26" s="28"/>
      <x:c r="D26" s="15"/>
      <x:c r="E26" s="15"/>
      <x:c r="F26" s="15"/>
      <x:c r="G26" s="15"/>
      <x:c r="H26" s="15"/>
      <x:c r="I26" s="15"/>
      <x:c r="J26" s="15"/>
      <x:c r="K26" s="15"/>
      <x:c r="L26" s="134"/>
      <x:c r="M26" s="134"/>
      <x:c r="N26" s="136" t="str">
        <x:f>IF(OR(L26="",M26=""),"",MAX(0,(M26-L26)*24))</x:f>
      </x:c>
      <x:c r="O26" s="136"/>
      <x:c r="P26" s="138"/>
      <x:c r="Q26" s="15"/>
      <x:c r="R26" s="15"/>
      <x:c r="S26" s="15"/>
      <x:c r="T26" s="15"/>
      <x:c r="U26" s="15"/>
      <x:c r="V26" s="15"/>
      <x:c r="W26" s="15"/>
      <x:c r="X26" s="15"/>
      <x:c r="Y26" s="140" t="str">
        <x:f>IF(COUNTA(C26:M26,O26:X26)=0,"",ROUND((IF(OR(R26&lt;&gt;"Yes",S26&gt;0),1,0)+IF(OR(T26&lt;&gt;"Yes",U26="Yes"),1,0)+IF(W26="Yes",1,0)+IF(X26="Approved",1,0))/4,2))</x:f>
      </x:c>
      <x:c r="Z26" s="15" t="str">
        <x:f>IF(COUNTA(C26:M26,O26:X26)=0,"",TEXTJOIN("; ",TRUE,IF(C26="","Missing work date",""),IF(D26="","Missing project",""),IF(F26="","Missing crew",""),IF(O26="","Missing labor hours",""),IF(P26="","Missing production qty",""),IF(AND(R26="Yes",OR(S26="",S26&lt;=0)),"Missing photo proof",""),IF(AND(T26="Yes",U26&lt;&gt;"Yes"),"Missing redline",""),IF(V26="Yes","Safety follow-up",""),IF(W26&lt;&gt;"Yes","Missing customer signoff",""),IF(X26&lt;&gt;"Approved","Office not approved",""),IF(N26&lt;=0,"Bad shift hours","")))</x:f>
      </x:c>
      <x:c r="AA26" s="15" t="str">
        <x:f>IF(COUNTA(C26:M26,O26:X26)=0,"",IF(Z26="","Yes","No"))</x:f>
      </x:c>
      <x:c r="AB26" s="15"/>
    </x:row>
    <x:row r="27" ht="20" customHeight="1">
      <x:c r="A27" s="15"/>
      <x:c r="B27" s="122"/>
      <x:c r="C27" s="28"/>
      <x:c r="D27" s="15"/>
      <x:c r="E27" s="15"/>
      <x:c r="F27" s="15"/>
      <x:c r="G27" s="15"/>
      <x:c r="H27" s="15"/>
      <x:c r="I27" s="15"/>
      <x:c r="J27" s="15"/>
      <x:c r="K27" s="15"/>
      <x:c r="L27" s="134"/>
      <x:c r="M27" s="134"/>
      <x:c r="N27" s="136" t="str">
        <x:f>IF(OR(L27="",M27=""),"",MAX(0,(M27-L27)*24))</x:f>
      </x:c>
      <x:c r="O27" s="136"/>
      <x:c r="P27" s="138"/>
      <x:c r="Q27" s="15"/>
      <x:c r="R27" s="15"/>
      <x:c r="S27" s="15"/>
      <x:c r="T27" s="15"/>
      <x:c r="U27" s="15"/>
      <x:c r="V27" s="15"/>
      <x:c r="W27" s="15"/>
      <x:c r="X27" s="15"/>
      <x:c r="Y27" s="140" t="str">
        <x:f>IF(COUNTA(C27:M27,O27:X27)=0,"",ROUND((IF(OR(R27&lt;&gt;"Yes",S27&gt;0),1,0)+IF(OR(T27&lt;&gt;"Yes",U27="Yes"),1,0)+IF(W27="Yes",1,0)+IF(X27="Approved",1,0))/4,2))</x:f>
      </x:c>
      <x:c r="Z27" s="15" t="str">
        <x:f>IF(COUNTA(C27:M27,O27:X27)=0,"",TEXTJOIN("; ",TRUE,IF(C27="","Missing work date",""),IF(D27="","Missing project",""),IF(F27="","Missing crew",""),IF(O27="","Missing labor hours",""),IF(P27="","Missing production qty",""),IF(AND(R27="Yes",OR(S27="",S27&lt;=0)),"Missing photo proof",""),IF(AND(T27="Yes",U27&lt;&gt;"Yes"),"Missing redline",""),IF(V27="Yes","Safety follow-up",""),IF(W27&lt;&gt;"Yes","Missing customer signoff",""),IF(X27&lt;&gt;"Approved","Office not approved",""),IF(N27&lt;=0,"Bad shift hours","")))</x:f>
      </x:c>
      <x:c r="AA27" s="15" t="str">
        <x:f>IF(COUNTA(C27:M27,O27:X27)=0,"",IF(Z27="","Yes","No"))</x:f>
      </x:c>
      <x:c r="AB27" s="15"/>
    </x:row>
    <x:row r="28" ht="20" customHeight="1">
      <x:c r="A28" s="15"/>
      <x:c r="B28" s="122"/>
      <x:c r="C28" s="28"/>
      <x:c r="D28" s="15"/>
      <x:c r="E28" s="15"/>
      <x:c r="F28" s="15"/>
      <x:c r="G28" s="15"/>
      <x:c r="H28" s="15"/>
      <x:c r="I28" s="15"/>
      <x:c r="J28" s="15"/>
      <x:c r="K28" s="15"/>
      <x:c r="L28" s="134"/>
      <x:c r="M28" s="134"/>
      <x:c r="N28" s="136" t="str">
        <x:f>IF(OR(L28="",M28=""),"",MAX(0,(M28-L28)*24))</x:f>
      </x:c>
      <x:c r="O28" s="136"/>
      <x:c r="P28" s="138"/>
      <x:c r="Q28" s="15"/>
      <x:c r="R28" s="15"/>
      <x:c r="S28" s="15"/>
      <x:c r="T28" s="15"/>
      <x:c r="U28" s="15"/>
      <x:c r="V28" s="15"/>
      <x:c r="W28" s="15"/>
      <x:c r="X28" s="15"/>
      <x:c r="Y28" s="140" t="str">
        <x:f>IF(COUNTA(C28:M28,O28:X28)=0,"",ROUND((IF(OR(R28&lt;&gt;"Yes",S28&gt;0),1,0)+IF(OR(T28&lt;&gt;"Yes",U28="Yes"),1,0)+IF(W28="Yes",1,0)+IF(X28="Approved",1,0))/4,2))</x:f>
      </x:c>
      <x:c r="Z28" s="15" t="str">
        <x:f>IF(COUNTA(C28:M28,O28:X28)=0,"",TEXTJOIN("; ",TRUE,IF(C28="","Missing work date",""),IF(D28="","Missing project",""),IF(F28="","Missing crew",""),IF(O28="","Missing labor hours",""),IF(P28="","Missing production qty",""),IF(AND(R28="Yes",OR(S28="",S28&lt;=0)),"Missing photo proof",""),IF(AND(T28="Yes",U28&lt;&gt;"Yes"),"Missing redline",""),IF(V28="Yes","Safety follow-up",""),IF(W28&lt;&gt;"Yes","Missing customer signoff",""),IF(X28&lt;&gt;"Approved","Office not approved",""),IF(N28&lt;=0,"Bad shift hours","")))</x:f>
      </x:c>
      <x:c r="AA28" s="15" t="str">
        <x:f>IF(COUNTA(C28:M28,O28:X28)=0,"",IF(Z28="","Yes","No"))</x:f>
      </x:c>
      <x:c r="AB28" s="15"/>
    </x:row>
    <x:row r="29" ht="20" customHeight="1">
      <x:c r="A29" s="15"/>
      <x:c r="B29" s="122"/>
      <x:c r="C29" s="28"/>
      <x:c r="D29" s="15"/>
      <x:c r="E29" s="15"/>
      <x:c r="F29" s="15"/>
      <x:c r="G29" s="15"/>
      <x:c r="H29" s="15"/>
      <x:c r="I29" s="15"/>
      <x:c r="J29" s="15"/>
      <x:c r="K29" s="15"/>
      <x:c r="L29" s="134"/>
      <x:c r="M29" s="134"/>
      <x:c r="N29" s="136" t="str">
        <x:f>IF(OR(L29="",M29=""),"",MAX(0,(M29-L29)*24))</x:f>
      </x:c>
      <x:c r="O29" s="136"/>
      <x:c r="P29" s="138"/>
      <x:c r="Q29" s="15"/>
      <x:c r="R29" s="15"/>
      <x:c r="S29" s="15"/>
      <x:c r="T29" s="15"/>
      <x:c r="U29" s="15"/>
      <x:c r="V29" s="15"/>
      <x:c r="W29" s="15"/>
      <x:c r="X29" s="15"/>
      <x:c r="Y29" s="140" t="str">
        <x:f>IF(COUNTA(C29:M29,O29:X29)=0,"",ROUND((IF(OR(R29&lt;&gt;"Yes",S29&gt;0),1,0)+IF(OR(T29&lt;&gt;"Yes",U29="Yes"),1,0)+IF(W29="Yes",1,0)+IF(X29="Approved",1,0))/4,2))</x:f>
      </x:c>
      <x:c r="Z29" s="15" t="str">
        <x:f>IF(COUNTA(C29:M29,O29:X29)=0,"",TEXTJOIN("; ",TRUE,IF(C29="","Missing work date",""),IF(D29="","Missing project",""),IF(F29="","Missing crew",""),IF(O29="","Missing labor hours",""),IF(P29="","Missing production qty",""),IF(AND(R29="Yes",OR(S29="",S29&lt;=0)),"Missing photo proof",""),IF(AND(T29="Yes",U29&lt;&gt;"Yes"),"Missing redline",""),IF(V29="Yes","Safety follow-up",""),IF(W29&lt;&gt;"Yes","Missing customer signoff",""),IF(X29&lt;&gt;"Approved","Office not approved",""),IF(N29&lt;=0,"Bad shift hours","")))</x:f>
      </x:c>
      <x:c r="AA29" s="15" t="str">
        <x:f>IF(COUNTA(C29:M29,O29:X29)=0,"",IF(Z29="","Yes","No"))</x:f>
      </x:c>
      <x:c r="AB29" s="15"/>
    </x:row>
    <x:row r="30" ht="20" customHeight="1">
      <x:c r="A30" s="15"/>
      <x:c r="B30" s="122"/>
      <x:c r="C30" s="28"/>
      <x:c r="D30" s="15"/>
      <x:c r="E30" s="15"/>
      <x:c r="F30" s="15"/>
      <x:c r="G30" s="15"/>
      <x:c r="H30" s="15"/>
      <x:c r="I30" s="15"/>
      <x:c r="J30" s="15"/>
      <x:c r="K30" s="15"/>
      <x:c r="L30" s="134"/>
      <x:c r="M30" s="134"/>
      <x:c r="N30" s="136" t="str">
        <x:f>IF(OR(L30="",M30=""),"",MAX(0,(M30-L30)*24))</x:f>
      </x:c>
      <x:c r="O30" s="136"/>
      <x:c r="P30" s="138"/>
      <x:c r="Q30" s="15"/>
      <x:c r="R30" s="15"/>
      <x:c r="S30" s="15"/>
      <x:c r="T30" s="15"/>
      <x:c r="U30" s="15"/>
      <x:c r="V30" s="15"/>
      <x:c r="W30" s="15"/>
      <x:c r="X30" s="15"/>
      <x:c r="Y30" s="140" t="str">
        <x:f>IF(COUNTA(C30:M30,O30:X30)=0,"",ROUND((IF(OR(R30&lt;&gt;"Yes",S30&gt;0),1,0)+IF(OR(T30&lt;&gt;"Yes",U30="Yes"),1,0)+IF(W30="Yes",1,0)+IF(X30="Approved",1,0))/4,2))</x:f>
      </x:c>
      <x:c r="Z30" s="15" t="str">
        <x:f>IF(COUNTA(C30:M30,O30:X30)=0,"",TEXTJOIN("; ",TRUE,IF(C30="","Missing work date",""),IF(D30="","Missing project",""),IF(F30="","Missing crew",""),IF(O30="","Missing labor hours",""),IF(P30="","Missing production qty",""),IF(AND(R30="Yes",OR(S30="",S30&lt;=0)),"Missing photo proof",""),IF(AND(T30="Yes",U30&lt;&gt;"Yes"),"Missing redline",""),IF(V30="Yes","Safety follow-up",""),IF(W30&lt;&gt;"Yes","Missing customer signoff",""),IF(X30&lt;&gt;"Approved","Office not approved",""),IF(N30&lt;=0,"Bad shift hours","")))</x:f>
      </x:c>
      <x:c r="AA30" s="15" t="str">
        <x:f>IF(COUNTA(C30:M30,O30:X30)=0,"",IF(Z30="","Yes","No"))</x:f>
      </x:c>
      <x:c r="AB30" s="15"/>
    </x:row>
    <x:row r="31" ht="20" customHeight="1">
      <x:c r="A31" s="15"/>
      <x:c r="B31" s="122"/>
      <x:c r="C31" s="28"/>
      <x:c r="D31" s="15"/>
      <x:c r="E31" s="15"/>
      <x:c r="F31" s="15"/>
      <x:c r="G31" s="15"/>
      <x:c r="H31" s="15"/>
      <x:c r="I31" s="15"/>
      <x:c r="J31" s="15"/>
      <x:c r="K31" s="15"/>
      <x:c r="L31" s="134"/>
      <x:c r="M31" s="134"/>
      <x:c r="N31" s="136" t="str">
        <x:f>IF(OR(L31="",M31=""),"",MAX(0,(M31-L31)*24))</x:f>
      </x:c>
      <x:c r="O31" s="136"/>
      <x:c r="P31" s="138"/>
      <x:c r="Q31" s="15"/>
      <x:c r="R31" s="15"/>
      <x:c r="S31" s="15"/>
      <x:c r="T31" s="15"/>
      <x:c r="U31" s="15"/>
      <x:c r="V31" s="15"/>
      <x:c r="W31" s="15"/>
      <x:c r="X31" s="15"/>
      <x:c r="Y31" s="140" t="str">
        <x:f>IF(COUNTA(C31:M31,O31:X31)=0,"",ROUND((IF(OR(R31&lt;&gt;"Yes",S31&gt;0),1,0)+IF(OR(T31&lt;&gt;"Yes",U31="Yes"),1,0)+IF(W31="Yes",1,0)+IF(X31="Approved",1,0))/4,2))</x:f>
      </x:c>
      <x:c r="Z31" s="15" t="str">
        <x:f>IF(COUNTA(C31:M31,O31:X31)=0,"",TEXTJOIN("; ",TRUE,IF(C31="","Missing work date",""),IF(D31="","Missing project",""),IF(F31="","Missing crew",""),IF(O31="","Missing labor hours",""),IF(P31="","Missing production qty",""),IF(AND(R31="Yes",OR(S31="",S31&lt;=0)),"Missing photo proof",""),IF(AND(T31="Yes",U31&lt;&gt;"Yes"),"Missing redline",""),IF(V31="Yes","Safety follow-up",""),IF(W31&lt;&gt;"Yes","Missing customer signoff",""),IF(X31&lt;&gt;"Approved","Office not approved",""),IF(N31&lt;=0,"Bad shift hours","")))</x:f>
      </x:c>
      <x:c r="AA31" s="15" t="str">
        <x:f>IF(COUNTA(C31:M31,O31:X31)=0,"",IF(Z31="","Yes","No"))</x:f>
      </x:c>
      <x:c r="AB31" s="15"/>
    </x:row>
    <x:row r="32" ht="20" customHeight="1">
      <x:c r="A32" s="15"/>
      <x:c r="B32" s="122"/>
      <x:c r="C32" s="28"/>
      <x:c r="D32" s="15"/>
      <x:c r="E32" s="15"/>
      <x:c r="F32" s="15"/>
      <x:c r="G32" s="15"/>
      <x:c r="H32" s="15"/>
      <x:c r="I32" s="15"/>
      <x:c r="J32" s="15"/>
      <x:c r="K32" s="15"/>
      <x:c r="L32" s="134"/>
      <x:c r="M32" s="134"/>
      <x:c r="N32" s="136" t="str">
        <x:f>IF(OR(L32="",M32=""),"",MAX(0,(M32-L32)*24))</x:f>
      </x:c>
      <x:c r="O32" s="136"/>
      <x:c r="P32" s="138"/>
      <x:c r="Q32" s="15"/>
      <x:c r="R32" s="15"/>
      <x:c r="S32" s="15"/>
      <x:c r="T32" s="15"/>
      <x:c r="U32" s="15"/>
      <x:c r="V32" s="15"/>
      <x:c r="W32" s="15"/>
      <x:c r="X32" s="15"/>
      <x:c r="Y32" s="140" t="str">
        <x:f>IF(COUNTA(C32:M32,O32:X32)=0,"",ROUND((IF(OR(R32&lt;&gt;"Yes",S32&gt;0),1,0)+IF(OR(T32&lt;&gt;"Yes",U32="Yes"),1,0)+IF(W32="Yes",1,0)+IF(X32="Approved",1,0))/4,2))</x:f>
      </x:c>
      <x:c r="Z32" s="15" t="str">
        <x:f>IF(COUNTA(C32:M32,O32:X32)=0,"",TEXTJOIN("; ",TRUE,IF(C32="","Missing work date",""),IF(D32="","Missing project",""),IF(F32="","Missing crew",""),IF(O32="","Missing labor hours",""),IF(P32="","Missing production qty",""),IF(AND(R32="Yes",OR(S32="",S32&lt;=0)),"Missing photo proof",""),IF(AND(T32="Yes",U32&lt;&gt;"Yes"),"Missing redline",""),IF(V32="Yes","Safety follow-up",""),IF(W32&lt;&gt;"Yes","Missing customer signoff",""),IF(X32&lt;&gt;"Approved","Office not approved",""),IF(N32&lt;=0,"Bad shift hours","")))</x:f>
      </x:c>
      <x:c r="AA32" s="15" t="str">
        <x:f>IF(COUNTA(C32:M32,O32:X32)=0,"",IF(Z32="","Yes","No"))</x:f>
      </x:c>
      <x:c r="AB32" s="15"/>
    </x:row>
    <x:row r="33" ht="20" customHeight="1">
      <x:c r="A33" s="15"/>
      <x:c r="B33" s="122"/>
      <x:c r="C33" s="28"/>
      <x:c r="D33" s="15"/>
      <x:c r="E33" s="15"/>
      <x:c r="F33" s="15"/>
      <x:c r="G33" s="15"/>
      <x:c r="H33" s="15"/>
      <x:c r="I33" s="15"/>
      <x:c r="J33" s="15"/>
      <x:c r="K33" s="15"/>
      <x:c r="L33" s="134"/>
      <x:c r="M33" s="134"/>
      <x:c r="N33" s="136" t="str">
        <x:f>IF(OR(L33="",M33=""),"",MAX(0,(M33-L33)*24))</x:f>
      </x:c>
      <x:c r="O33" s="136"/>
      <x:c r="P33" s="138"/>
      <x:c r="Q33" s="15"/>
      <x:c r="R33" s="15"/>
      <x:c r="S33" s="15"/>
      <x:c r="T33" s="15"/>
      <x:c r="U33" s="15"/>
      <x:c r="V33" s="15"/>
      <x:c r="W33" s="15"/>
      <x:c r="X33" s="15"/>
      <x:c r="Y33" s="140" t="str">
        <x:f>IF(COUNTA(C33:M33,O33:X33)=0,"",ROUND((IF(OR(R33&lt;&gt;"Yes",S33&gt;0),1,0)+IF(OR(T33&lt;&gt;"Yes",U33="Yes"),1,0)+IF(W33="Yes",1,0)+IF(X33="Approved",1,0))/4,2))</x:f>
      </x:c>
      <x:c r="Z33" s="15" t="str">
        <x:f>IF(COUNTA(C33:M33,O33:X33)=0,"",TEXTJOIN("; ",TRUE,IF(C33="","Missing work date",""),IF(D33="","Missing project",""),IF(F33="","Missing crew",""),IF(O33="","Missing labor hours",""),IF(P33="","Missing production qty",""),IF(AND(R33="Yes",OR(S33="",S33&lt;=0)),"Missing photo proof",""),IF(AND(T33="Yes",U33&lt;&gt;"Yes"),"Missing redline",""),IF(V33="Yes","Safety follow-up",""),IF(W33&lt;&gt;"Yes","Missing customer signoff",""),IF(X33&lt;&gt;"Approved","Office not approved",""),IF(N33&lt;=0,"Bad shift hours","")))</x:f>
      </x:c>
      <x:c r="AA33" s="15" t="str">
        <x:f>IF(COUNTA(C33:M33,O33:X33)=0,"",IF(Z33="","Yes","No"))</x:f>
      </x:c>
      <x:c r="AB33" s="15"/>
    </x:row>
    <x:row r="34" ht="20" customHeight="1">
      <x:c r="A34" s="15"/>
      <x:c r="B34" s="122"/>
      <x:c r="C34" s="28"/>
      <x:c r="D34" s="15"/>
      <x:c r="E34" s="15"/>
      <x:c r="F34" s="15"/>
      <x:c r="G34" s="15"/>
      <x:c r="H34" s="15"/>
      <x:c r="I34" s="15"/>
      <x:c r="J34" s="15"/>
      <x:c r="K34" s="15"/>
      <x:c r="L34" s="134"/>
      <x:c r="M34" s="134"/>
      <x:c r="N34" s="136" t="str">
        <x:f>IF(OR(L34="",M34=""),"",MAX(0,(M34-L34)*24))</x:f>
      </x:c>
      <x:c r="O34" s="136"/>
      <x:c r="P34" s="138"/>
      <x:c r="Q34" s="15"/>
      <x:c r="R34" s="15"/>
      <x:c r="S34" s="15"/>
      <x:c r="T34" s="15"/>
      <x:c r="U34" s="15"/>
      <x:c r="V34" s="15"/>
      <x:c r="W34" s="15"/>
      <x:c r="X34" s="15"/>
      <x:c r="Y34" s="140" t="str">
        <x:f>IF(COUNTA(C34:M34,O34:X34)=0,"",ROUND((IF(OR(R34&lt;&gt;"Yes",S34&gt;0),1,0)+IF(OR(T34&lt;&gt;"Yes",U34="Yes"),1,0)+IF(W34="Yes",1,0)+IF(X34="Approved",1,0))/4,2))</x:f>
      </x:c>
      <x:c r="Z34" s="15" t="str">
        <x:f>IF(COUNTA(C34:M34,O34:X34)=0,"",TEXTJOIN("; ",TRUE,IF(C34="","Missing work date",""),IF(D34="","Missing project",""),IF(F34="","Missing crew",""),IF(O34="","Missing labor hours",""),IF(P34="","Missing production qty",""),IF(AND(R34="Yes",OR(S34="",S34&lt;=0)),"Missing photo proof",""),IF(AND(T34="Yes",U34&lt;&gt;"Yes"),"Missing redline",""),IF(V34="Yes","Safety follow-up",""),IF(W34&lt;&gt;"Yes","Missing customer signoff",""),IF(X34&lt;&gt;"Approved","Office not approved",""),IF(N34&lt;=0,"Bad shift hours","")))</x:f>
      </x:c>
      <x:c r="AA34" s="15" t="str">
        <x:f>IF(COUNTA(C34:M34,O34:X34)=0,"",IF(Z34="","Yes","No"))</x:f>
      </x:c>
      <x:c r="AB34" s="15"/>
    </x:row>
    <x:row r="35" ht="20" customHeight="1">
      <x:c r="A35" s="15"/>
      <x:c r="B35" s="122"/>
      <x:c r="C35" s="28"/>
      <x:c r="D35" s="15"/>
      <x:c r="E35" s="15"/>
      <x:c r="F35" s="15"/>
      <x:c r="G35" s="15"/>
      <x:c r="H35" s="15"/>
      <x:c r="I35" s="15"/>
      <x:c r="J35" s="15"/>
      <x:c r="K35" s="15"/>
      <x:c r="L35" s="134"/>
      <x:c r="M35" s="134"/>
      <x:c r="N35" s="136" t="str">
        <x:f>IF(OR(L35="",M35=""),"",MAX(0,(M35-L35)*24))</x:f>
      </x:c>
      <x:c r="O35" s="136"/>
      <x:c r="P35" s="138"/>
      <x:c r="Q35" s="15"/>
      <x:c r="R35" s="15"/>
      <x:c r="S35" s="15"/>
      <x:c r="T35" s="15"/>
      <x:c r="U35" s="15"/>
      <x:c r="V35" s="15"/>
      <x:c r="W35" s="15"/>
      <x:c r="X35" s="15"/>
      <x:c r="Y35" s="140" t="str">
        <x:f>IF(COUNTA(C35:M35,O35:X35)=0,"",ROUND((IF(OR(R35&lt;&gt;"Yes",S35&gt;0),1,0)+IF(OR(T35&lt;&gt;"Yes",U35="Yes"),1,0)+IF(W35="Yes",1,0)+IF(X35="Approved",1,0))/4,2))</x:f>
      </x:c>
      <x:c r="Z35" s="15" t="str">
        <x:f>IF(COUNTA(C35:M35,O35:X35)=0,"",TEXTJOIN("; ",TRUE,IF(C35="","Missing work date",""),IF(D35="","Missing project",""),IF(F35="","Missing crew",""),IF(O35="","Missing labor hours",""),IF(P35="","Missing production qty",""),IF(AND(R35="Yes",OR(S35="",S35&lt;=0)),"Missing photo proof",""),IF(AND(T35="Yes",U35&lt;&gt;"Yes"),"Missing redline",""),IF(V35="Yes","Safety follow-up",""),IF(W35&lt;&gt;"Yes","Missing customer signoff",""),IF(X35&lt;&gt;"Approved","Office not approved",""),IF(N35&lt;=0,"Bad shift hours","")))</x:f>
      </x:c>
      <x:c r="AA35" s="15" t="str">
        <x:f>IF(COUNTA(C35:M35,O35:X35)=0,"",IF(Z35="","Yes","No"))</x:f>
      </x:c>
      <x:c r="AB35" s="15"/>
    </x:row>
    <x:row r="36" ht="20" customHeight="1">
      <x:c r="A36" s="15"/>
      <x:c r="B36" s="122"/>
      <x:c r="C36" s="28"/>
      <x:c r="D36" s="15"/>
      <x:c r="E36" s="15"/>
      <x:c r="F36" s="15"/>
      <x:c r="G36" s="15"/>
      <x:c r="H36" s="15"/>
      <x:c r="I36" s="15"/>
      <x:c r="J36" s="15"/>
      <x:c r="K36" s="15"/>
      <x:c r="L36" s="134"/>
      <x:c r="M36" s="134"/>
      <x:c r="N36" s="136" t="str">
        <x:f>IF(OR(L36="",M36=""),"",MAX(0,(M36-L36)*24))</x:f>
      </x:c>
      <x:c r="O36" s="136"/>
      <x:c r="P36" s="138"/>
      <x:c r="Q36" s="15"/>
      <x:c r="R36" s="15"/>
      <x:c r="S36" s="15"/>
      <x:c r="T36" s="15"/>
      <x:c r="U36" s="15"/>
      <x:c r="V36" s="15"/>
      <x:c r="W36" s="15"/>
      <x:c r="X36" s="15"/>
      <x:c r="Y36" s="140" t="str">
        <x:f>IF(COUNTA(C36:M36,O36:X36)=0,"",ROUND((IF(OR(R36&lt;&gt;"Yes",S36&gt;0),1,0)+IF(OR(T36&lt;&gt;"Yes",U36="Yes"),1,0)+IF(W36="Yes",1,0)+IF(X36="Approved",1,0))/4,2))</x:f>
      </x:c>
      <x:c r="Z36" s="15" t="str">
        <x:f>IF(COUNTA(C36:M36,O36:X36)=0,"",TEXTJOIN("; ",TRUE,IF(C36="","Missing work date",""),IF(D36="","Missing project",""),IF(F36="","Missing crew",""),IF(O36="","Missing labor hours",""),IF(P36="","Missing production qty",""),IF(AND(R36="Yes",OR(S36="",S36&lt;=0)),"Missing photo proof",""),IF(AND(T36="Yes",U36&lt;&gt;"Yes"),"Missing redline",""),IF(V36="Yes","Safety follow-up",""),IF(W36&lt;&gt;"Yes","Missing customer signoff",""),IF(X36&lt;&gt;"Approved","Office not approved",""),IF(N36&lt;=0,"Bad shift hours","")))</x:f>
      </x:c>
      <x:c r="AA36" s="15" t="str">
        <x:f>IF(COUNTA(C36:M36,O36:X36)=0,"",IF(Z36="","Yes","No"))</x:f>
      </x:c>
      <x:c r="AB36" s="15"/>
    </x:row>
    <x:row r="37" ht="20" customHeight="1">
      <x:c r="A37" s="15"/>
      <x:c r="B37" s="122"/>
      <x:c r="C37" s="28"/>
      <x:c r="D37" s="15"/>
      <x:c r="E37" s="15"/>
      <x:c r="F37" s="15"/>
      <x:c r="G37" s="15"/>
      <x:c r="H37" s="15"/>
      <x:c r="I37" s="15"/>
      <x:c r="J37" s="15"/>
      <x:c r="K37" s="15"/>
      <x:c r="L37" s="134"/>
      <x:c r="M37" s="134"/>
      <x:c r="N37" s="136" t="str">
        <x:f>IF(OR(L37="",M37=""),"",MAX(0,(M37-L37)*24))</x:f>
      </x:c>
      <x:c r="O37" s="136"/>
      <x:c r="P37" s="138"/>
      <x:c r="Q37" s="15"/>
      <x:c r="R37" s="15"/>
      <x:c r="S37" s="15"/>
      <x:c r="T37" s="15"/>
      <x:c r="U37" s="15"/>
      <x:c r="V37" s="15"/>
      <x:c r="W37" s="15"/>
      <x:c r="X37" s="15"/>
      <x:c r="Y37" s="140" t="str">
        <x:f>IF(COUNTA(C37:M37,O37:X37)=0,"",ROUND((IF(OR(R37&lt;&gt;"Yes",S37&gt;0),1,0)+IF(OR(T37&lt;&gt;"Yes",U37="Yes"),1,0)+IF(W37="Yes",1,0)+IF(X37="Approved",1,0))/4,2))</x:f>
      </x:c>
      <x:c r="Z37" s="15" t="str">
        <x:f>IF(COUNTA(C37:M37,O37:X37)=0,"",TEXTJOIN("; ",TRUE,IF(C37="","Missing work date",""),IF(D37="","Missing project",""),IF(F37="","Missing crew",""),IF(O37="","Missing labor hours",""),IF(P37="","Missing production qty",""),IF(AND(R37="Yes",OR(S37="",S37&lt;=0)),"Missing photo proof",""),IF(AND(T37="Yes",U37&lt;&gt;"Yes"),"Missing redline",""),IF(V37="Yes","Safety follow-up",""),IF(W37&lt;&gt;"Yes","Missing customer signoff",""),IF(X37&lt;&gt;"Approved","Office not approved",""),IF(N37&lt;=0,"Bad shift hours","")))</x:f>
      </x:c>
      <x:c r="AA37" s="15" t="str">
        <x:f>IF(COUNTA(C37:M37,O37:X37)=0,"",IF(Z37="","Yes","No"))</x:f>
      </x:c>
      <x:c r="AB37" s="15"/>
    </x:row>
    <x:row r="38" ht="20" customHeight="1">
      <x:c r="A38" s="15"/>
      <x:c r="B38" s="122"/>
      <x:c r="C38" s="28"/>
      <x:c r="D38" s="15"/>
      <x:c r="E38" s="15"/>
      <x:c r="F38" s="15"/>
      <x:c r="G38" s="15"/>
      <x:c r="H38" s="15"/>
      <x:c r="I38" s="15"/>
      <x:c r="J38" s="15"/>
      <x:c r="K38" s="15"/>
      <x:c r="L38" s="134"/>
      <x:c r="M38" s="134"/>
      <x:c r="N38" s="136" t="str">
        <x:f>IF(OR(L38="",M38=""),"",MAX(0,(M38-L38)*24))</x:f>
      </x:c>
      <x:c r="O38" s="136"/>
      <x:c r="P38" s="138"/>
      <x:c r="Q38" s="15"/>
      <x:c r="R38" s="15"/>
      <x:c r="S38" s="15"/>
      <x:c r="T38" s="15"/>
      <x:c r="U38" s="15"/>
      <x:c r="V38" s="15"/>
      <x:c r="W38" s="15"/>
      <x:c r="X38" s="15"/>
      <x:c r="Y38" s="140" t="str">
        <x:f>IF(COUNTA(C38:M38,O38:X38)=0,"",ROUND((IF(OR(R38&lt;&gt;"Yes",S38&gt;0),1,0)+IF(OR(T38&lt;&gt;"Yes",U38="Yes"),1,0)+IF(W38="Yes",1,0)+IF(X38="Approved",1,0))/4,2))</x:f>
      </x:c>
      <x:c r="Z38" s="15" t="str">
        <x:f>IF(COUNTA(C38:M38,O38:X38)=0,"",TEXTJOIN("; ",TRUE,IF(C38="","Missing work date",""),IF(D38="","Missing project",""),IF(F38="","Missing crew",""),IF(O38="","Missing labor hours",""),IF(P38="","Missing production qty",""),IF(AND(R38="Yes",OR(S38="",S38&lt;=0)),"Missing photo proof",""),IF(AND(T38="Yes",U38&lt;&gt;"Yes"),"Missing redline",""),IF(V38="Yes","Safety follow-up",""),IF(W38&lt;&gt;"Yes","Missing customer signoff",""),IF(X38&lt;&gt;"Approved","Office not approved",""),IF(N38&lt;=0,"Bad shift hours","")))</x:f>
      </x:c>
      <x:c r="AA38" s="15" t="str">
        <x:f>IF(COUNTA(C38:M38,O38:X38)=0,"",IF(Z38="","Yes","No"))</x:f>
      </x:c>
      <x:c r="AB38" s="15"/>
    </x:row>
    <x:row r="39" ht="20" customHeight="1">
      <x:c r="A39" s="15"/>
      <x:c r="B39" s="122"/>
      <x:c r="C39" s="28"/>
      <x:c r="D39" s="15"/>
      <x:c r="E39" s="15"/>
      <x:c r="F39" s="15"/>
      <x:c r="G39" s="15"/>
      <x:c r="H39" s="15"/>
      <x:c r="I39" s="15"/>
      <x:c r="J39" s="15"/>
      <x:c r="K39" s="15"/>
      <x:c r="L39" s="134"/>
      <x:c r="M39" s="134"/>
      <x:c r="N39" s="136" t="str">
        <x:f>IF(OR(L39="",M39=""),"",MAX(0,(M39-L39)*24))</x:f>
      </x:c>
      <x:c r="O39" s="136"/>
      <x:c r="P39" s="138"/>
      <x:c r="Q39" s="15"/>
      <x:c r="R39" s="15"/>
      <x:c r="S39" s="15"/>
      <x:c r="T39" s="15"/>
      <x:c r="U39" s="15"/>
      <x:c r="V39" s="15"/>
      <x:c r="W39" s="15"/>
      <x:c r="X39" s="15"/>
      <x:c r="Y39" s="140" t="str">
        <x:f>IF(COUNTA(C39:M39,O39:X39)=0,"",ROUND((IF(OR(R39&lt;&gt;"Yes",S39&gt;0),1,0)+IF(OR(T39&lt;&gt;"Yes",U39="Yes"),1,0)+IF(W39="Yes",1,0)+IF(X39="Approved",1,0))/4,2))</x:f>
      </x:c>
      <x:c r="Z39" s="15" t="str">
        <x:f>IF(COUNTA(C39:M39,O39:X39)=0,"",TEXTJOIN("; ",TRUE,IF(C39="","Missing work date",""),IF(D39="","Missing project",""),IF(F39="","Missing crew",""),IF(O39="","Missing labor hours",""),IF(P39="","Missing production qty",""),IF(AND(R39="Yes",OR(S39="",S39&lt;=0)),"Missing photo proof",""),IF(AND(T39="Yes",U39&lt;&gt;"Yes"),"Missing redline",""),IF(V39="Yes","Safety follow-up",""),IF(W39&lt;&gt;"Yes","Missing customer signoff",""),IF(X39&lt;&gt;"Approved","Office not approved",""),IF(N39&lt;=0,"Bad shift hours","")))</x:f>
      </x:c>
      <x:c r="AA39" s="15" t="str">
        <x:f>IF(COUNTA(C39:M39,O39:X39)=0,"",IF(Z39="","Yes","No"))</x:f>
      </x:c>
      <x:c r="AB39" s="15"/>
    </x:row>
    <x:row r="40" ht="20" customHeight="1">
      <x:c r="A40" s="15"/>
      <x:c r="B40" s="122"/>
      <x:c r="C40" s="28"/>
      <x:c r="D40" s="15"/>
      <x:c r="E40" s="15"/>
      <x:c r="F40" s="15"/>
      <x:c r="G40" s="15"/>
      <x:c r="H40" s="15"/>
      <x:c r="I40" s="15"/>
      <x:c r="J40" s="15"/>
      <x:c r="K40" s="15"/>
      <x:c r="L40" s="134"/>
      <x:c r="M40" s="134"/>
      <x:c r="N40" s="136" t="str">
        <x:f>IF(OR(L40="",M40=""),"",MAX(0,(M40-L40)*24))</x:f>
      </x:c>
      <x:c r="O40" s="136"/>
      <x:c r="P40" s="138"/>
      <x:c r="Q40" s="15"/>
      <x:c r="R40" s="15"/>
      <x:c r="S40" s="15"/>
      <x:c r="T40" s="15"/>
      <x:c r="U40" s="15"/>
      <x:c r="V40" s="15"/>
      <x:c r="W40" s="15"/>
      <x:c r="X40" s="15"/>
      <x:c r="Y40" s="140" t="str">
        <x:f>IF(COUNTA(C40:M40,O40:X40)=0,"",ROUND((IF(OR(R40&lt;&gt;"Yes",S40&gt;0),1,0)+IF(OR(T40&lt;&gt;"Yes",U40="Yes"),1,0)+IF(W40="Yes",1,0)+IF(X40="Approved",1,0))/4,2))</x:f>
      </x:c>
      <x:c r="Z40" s="15" t="str">
        <x:f>IF(COUNTA(C40:M40,O40:X40)=0,"",TEXTJOIN("; ",TRUE,IF(C40="","Missing work date",""),IF(D40="","Missing project",""),IF(F40="","Missing crew",""),IF(O40="","Missing labor hours",""),IF(P40="","Missing production qty",""),IF(AND(R40="Yes",OR(S40="",S40&lt;=0)),"Missing photo proof",""),IF(AND(T40="Yes",U40&lt;&gt;"Yes"),"Missing redline",""),IF(V40="Yes","Safety follow-up",""),IF(W40&lt;&gt;"Yes","Missing customer signoff",""),IF(X40&lt;&gt;"Approved","Office not approved",""),IF(N40&lt;=0,"Bad shift hours","")))</x:f>
      </x:c>
      <x:c r="AA40" s="15" t="str">
        <x:f>IF(COUNTA(C40:M40,O40:X40)=0,"",IF(Z40="","Yes","No"))</x:f>
      </x:c>
      <x:c r="AB40" s="15"/>
    </x:row>
    <x:row r="41" ht="20" customHeight="1">
      <x:c r="A41" s="15"/>
      <x:c r="B41" s="122"/>
      <x:c r="C41" s="28"/>
      <x:c r="D41" s="15"/>
      <x:c r="E41" s="15"/>
      <x:c r="F41" s="15"/>
      <x:c r="G41" s="15"/>
      <x:c r="H41" s="15"/>
      <x:c r="I41" s="15"/>
      <x:c r="J41" s="15"/>
      <x:c r="K41" s="15"/>
      <x:c r="L41" s="134"/>
      <x:c r="M41" s="134"/>
      <x:c r="N41" s="136" t="str">
        <x:f>IF(OR(L41="",M41=""),"",MAX(0,(M41-L41)*24))</x:f>
      </x:c>
      <x:c r="O41" s="136"/>
      <x:c r="P41" s="138"/>
      <x:c r="Q41" s="15"/>
      <x:c r="R41" s="15"/>
      <x:c r="S41" s="15"/>
      <x:c r="T41" s="15"/>
      <x:c r="U41" s="15"/>
      <x:c r="V41" s="15"/>
      <x:c r="W41" s="15"/>
      <x:c r="X41" s="15"/>
      <x:c r="Y41" s="140" t="str">
        <x:f>IF(COUNTA(C41:M41,O41:X41)=0,"",ROUND((IF(OR(R41&lt;&gt;"Yes",S41&gt;0),1,0)+IF(OR(T41&lt;&gt;"Yes",U41="Yes"),1,0)+IF(W41="Yes",1,0)+IF(X41="Approved",1,0))/4,2))</x:f>
      </x:c>
      <x:c r="Z41" s="15" t="str">
        <x:f>IF(COUNTA(C41:M41,O41:X41)=0,"",TEXTJOIN("; ",TRUE,IF(C41="","Missing work date",""),IF(D41="","Missing project",""),IF(F41="","Missing crew",""),IF(O41="","Missing labor hours",""),IF(P41="","Missing production qty",""),IF(AND(R41="Yes",OR(S41="",S41&lt;=0)),"Missing photo proof",""),IF(AND(T41="Yes",U41&lt;&gt;"Yes"),"Missing redline",""),IF(V41="Yes","Safety follow-up",""),IF(W41&lt;&gt;"Yes","Missing customer signoff",""),IF(X41&lt;&gt;"Approved","Office not approved",""),IF(N41&lt;=0,"Bad shift hours","")))</x:f>
      </x:c>
      <x:c r="AA41" s="15" t="str">
        <x:f>IF(COUNTA(C41:M41,O41:X41)=0,"",IF(Z41="","Yes","No"))</x:f>
      </x:c>
      <x:c r="AB41" s="15"/>
    </x:row>
    <x:row r="42" ht="20" customHeight="1">
      <x:c r="A42" s="15"/>
      <x:c r="B42" s="122"/>
      <x:c r="C42" s="28"/>
      <x:c r="D42" s="15"/>
      <x:c r="E42" s="15"/>
      <x:c r="F42" s="15"/>
      <x:c r="G42" s="15"/>
      <x:c r="H42" s="15"/>
      <x:c r="I42" s="15"/>
      <x:c r="J42" s="15"/>
      <x:c r="K42" s="15"/>
      <x:c r="L42" s="134"/>
      <x:c r="M42" s="134"/>
      <x:c r="N42" s="136" t="str">
        <x:f>IF(OR(L42="",M42=""),"",MAX(0,(M42-L42)*24))</x:f>
      </x:c>
      <x:c r="O42" s="136"/>
      <x:c r="P42" s="138"/>
      <x:c r="Q42" s="15"/>
      <x:c r="R42" s="15"/>
      <x:c r="S42" s="15"/>
      <x:c r="T42" s="15"/>
      <x:c r="U42" s="15"/>
      <x:c r="V42" s="15"/>
      <x:c r="W42" s="15"/>
      <x:c r="X42" s="15"/>
      <x:c r="Y42" s="140" t="str">
        <x:f>IF(COUNTA(C42:M42,O42:X42)=0,"",ROUND((IF(OR(R42&lt;&gt;"Yes",S42&gt;0),1,0)+IF(OR(T42&lt;&gt;"Yes",U42="Yes"),1,0)+IF(W42="Yes",1,0)+IF(X42="Approved",1,0))/4,2))</x:f>
      </x:c>
      <x:c r="Z42" s="15" t="str">
        <x:f>IF(COUNTA(C42:M42,O42:X42)=0,"",TEXTJOIN("; ",TRUE,IF(C42="","Missing work date",""),IF(D42="","Missing project",""),IF(F42="","Missing crew",""),IF(O42="","Missing labor hours",""),IF(P42="","Missing production qty",""),IF(AND(R42="Yes",OR(S42="",S42&lt;=0)),"Missing photo proof",""),IF(AND(T42="Yes",U42&lt;&gt;"Yes"),"Missing redline",""),IF(V42="Yes","Safety follow-up",""),IF(W42&lt;&gt;"Yes","Missing customer signoff",""),IF(X42&lt;&gt;"Approved","Office not approved",""),IF(N42&lt;=0,"Bad shift hours","")))</x:f>
      </x:c>
      <x:c r="AA42" s="15" t="str">
        <x:f>IF(COUNTA(C42:M42,O42:X42)=0,"",IF(Z42="","Yes","No"))</x:f>
      </x:c>
      <x:c r="AB42" s="15"/>
    </x:row>
    <x:row r="43" ht="20" customHeight="1">
      <x:c r="A43" s="15"/>
      <x:c r="B43" s="122"/>
      <x:c r="C43" s="28"/>
      <x:c r="D43" s="15"/>
      <x:c r="E43" s="15"/>
      <x:c r="F43" s="15"/>
      <x:c r="G43" s="15"/>
      <x:c r="H43" s="15"/>
      <x:c r="I43" s="15"/>
      <x:c r="J43" s="15"/>
      <x:c r="K43" s="15"/>
      <x:c r="L43" s="134"/>
      <x:c r="M43" s="134"/>
      <x:c r="N43" s="136" t="str">
        <x:f>IF(OR(L43="",M43=""),"",MAX(0,(M43-L43)*24))</x:f>
      </x:c>
      <x:c r="O43" s="136"/>
      <x:c r="P43" s="138"/>
      <x:c r="Q43" s="15"/>
      <x:c r="R43" s="15"/>
      <x:c r="S43" s="15"/>
      <x:c r="T43" s="15"/>
      <x:c r="U43" s="15"/>
      <x:c r="V43" s="15"/>
      <x:c r="W43" s="15"/>
      <x:c r="X43" s="15"/>
      <x:c r="Y43" s="140" t="str">
        <x:f>IF(COUNTA(C43:M43,O43:X43)=0,"",ROUND((IF(OR(R43&lt;&gt;"Yes",S43&gt;0),1,0)+IF(OR(T43&lt;&gt;"Yes",U43="Yes"),1,0)+IF(W43="Yes",1,0)+IF(X43="Approved",1,0))/4,2))</x:f>
      </x:c>
      <x:c r="Z43" s="15" t="str">
        <x:f>IF(COUNTA(C43:M43,O43:X43)=0,"",TEXTJOIN("; ",TRUE,IF(C43="","Missing work date",""),IF(D43="","Missing project",""),IF(F43="","Missing crew",""),IF(O43="","Missing labor hours",""),IF(P43="","Missing production qty",""),IF(AND(R43="Yes",OR(S43="",S43&lt;=0)),"Missing photo proof",""),IF(AND(T43="Yes",U43&lt;&gt;"Yes"),"Missing redline",""),IF(V43="Yes","Safety follow-up",""),IF(W43&lt;&gt;"Yes","Missing customer signoff",""),IF(X43&lt;&gt;"Approved","Office not approved",""),IF(N43&lt;=0,"Bad shift hours","")))</x:f>
      </x:c>
      <x:c r="AA43" s="15" t="str">
        <x:f>IF(COUNTA(C43:M43,O43:X43)=0,"",IF(Z43="","Yes","No"))</x:f>
      </x:c>
      <x:c r="AB43" s="15"/>
    </x:row>
    <x:row r="44" ht="20" customHeight="1">
      <x:c r="A44" s="15"/>
      <x:c r="B44" s="122"/>
      <x:c r="C44" s="28"/>
      <x:c r="D44" s="15"/>
      <x:c r="E44" s="15"/>
      <x:c r="F44" s="15"/>
      <x:c r="G44" s="15"/>
      <x:c r="H44" s="15"/>
      <x:c r="I44" s="15"/>
      <x:c r="J44" s="15"/>
      <x:c r="K44" s="15"/>
      <x:c r="L44" s="134"/>
      <x:c r="M44" s="134"/>
      <x:c r="N44" s="136" t="str">
        <x:f>IF(OR(L44="",M44=""),"",MAX(0,(M44-L44)*24))</x:f>
      </x:c>
      <x:c r="O44" s="136"/>
      <x:c r="P44" s="138"/>
      <x:c r="Q44" s="15"/>
      <x:c r="R44" s="15"/>
      <x:c r="S44" s="15"/>
      <x:c r="T44" s="15"/>
      <x:c r="U44" s="15"/>
      <x:c r="V44" s="15"/>
      <x:c r="W44" s="15"/>
      <x:c r="X44" s="15"/>
      <x:c r="Y44" s="140" t="str">
        <x:f>IF(COUNTA(C44:M44,O44:X44)=0,"",ROUND((IF(OR(R44&lt;&gt;"Yes",S44&gt;0),1,0)+IF(OR(T44&lt;&gt;"Yes",U44="Yes"),1,0)+IF(W44="Yes",1,0)+IF(X44="Approved",1,0))/4,2))</x:f>
      </x:c>
      <x:c r="Z44" s="15" t="str">
        <x:f>IF(COUNTA(C44:M44,O44:X44)=0,"",TEXTJOIN("; ",TRUE,IF(C44="","Missing work date",""),IF(D44="","Missing project",""),IF(F44="","Missing crew",""),IF(O44="","Missing labor hours",""),IF(P44="","Missing production qty",""),IF(AND(R44="Yes",OR(S44="",S44&lt;=0)),"Missing photo proof",""),IF(AND(T44="Yes",U44&lt;&gt;"Yes"),"Missing redline",""),IF(V44="Yes","Safety follow-up",""),IF(W44&lt;&gt;"Yes","Missing customer signoff",""),IF(X44&lt;&gt;"Approved","Office not approved",""),IF(N44&lt;=0,"Bad shift hours","")))</x:f>
      </x:c>
      <x:c r="AA44" s="15" t="str">
        <x:f>IF(COUNTA(C44:M44,O44:X44)=0,"",IF(Z44="","Yes","No"))</x:f>
      </x:c>
      <x:c r="AB44" s="15"/>
    </x:row>
    <x:row r="45" ht="20" customHeight="1">
      <x:c r="A45" s="15"/>
      <x:c r="B45" s="122"/>
      <x:c r="C45" s="28"/>
      <x:c r="D45" s="15"/>
      <x:c r="E45" s="15"/>
      <x:c r="F45" s="15"/>
      <x:c r="G45" s="15"/>
      <x:c r="H45" s="15"/>
      <x:c r="I45" s="15"/>
      <x:c r="J45" s="15"/>
      <x:c r="K45" s="15"/>
      <x:c r="L45" s="134"/>
      <x:c r="M45" s="134"/>
      <x:c r="N45" s="136" t="str">
        <x:f>IF(OR(L45="",M45=""),"",MAX(0,(M45-L45)*24))</x:f>
      </x:c>
      <x:c r="O45" s="136"/>
      <x:c r="P45" s="138"/>
      <x:c r="Q45" s="15"/>
      <x:c r="R45" s="15"/>
      <x:c r="S45" s="15"/>
      <x:c r="T45" s="15"/>
      <x:c r="U45" s="15"/>
      <x:c r="V45" s="15"/>
      <x:c r="W45" s="15"/>
      <x:c r="X45" s="15"/>
      <x:c r="Y45" s="140" t="str">
        <x:f>IF(COUNTA(C45:M45,O45:X45)=0,"",ROUND((IF(OR(R45&lt;&gt;"Yes",S45&gt;0),1,0)+IF(OR(T45&lt;&gt;"Yes",U45="Yes"),1,0)+IF(W45="Yes",1,0)+IF(X45="Approved",1,0))/4,2))</x:f>
      </x:c>
      <x:c r="Z45" s="15" t="str">
        <x:f>IF(COUNTA(C45:M45,O45:X45)=0,"",TEXTJOIN("; ",TRUE,IF(C45="","Missing work date",""),IF(D45="","Missing project",""),IF(F45="","Missing crew",""),IF(O45="","Missing labor hours",""),IF(P45="","Missing production qty",""),IF(AND(R45="Yes",OR(S45="",S45&lt;=0)),"Missing photo proof",""),IF(AND(T45="Yes",U45&lt;&gt;"Yes"),"Missing redline",""),IF(V45="Yes","Safety follow-up",""),IF(W45&lt;&gt;"Yes","Missing customer signoff",""),IF(X45&lt;&gt;"Approved","Office not approved",""),IF(N45&lt;=0,"Bad shift hours","")))</x:f>
      </x:c>
      <x:c r="AA45" s="15" t="str">
        <x:f>IF(COUNTA(C45:M45,O45:X45)=0,"",IF(Z45="","Yes","No"))</x:f>
      </x:c>
      <x:c r="AB45" s="15"/>
    </x:row>
    <x:row r="46" ht="20" customHeight="1">
      <x:c r="A46" s="15"/>
      <x:c r="B46" s="122"/>
      <x:c r="C46" s="28"/>
      <x:c r="D46" s="15"/>
      <x:c r="E46" s="15"/>
      <x:c r="F46" s="15"/>
      <x:c r="G46" s="15"/>
      <x:c r="H46" s="15"/>
      <x:c r="I46" s="15"/>
      <x:c r="J46" s="15"/>
      <x:c r="K46" s="15"/>
      <x:c r="L46" s="134"/>
      <x:c r="M46" s="134"/>
      <x:c r="N46" s="136" t="str">
        <x:f>IF(OR(L46="",M46=""),"",MAX(0,(M46-L46)*24))</x:f>
      </x:c>
      <x:c r="O46" s="136"/>
      <x:c r="P46" s="138"/>
      <x:c r="Q46" s="15"/>
      <x:c r="R46" s="15"/>
      <x:c r="S46" s="15"/>
      <x:c r="T46" s="15"/>
      <x:c r="U46" s="15"/>
      <x:c r="V46" s="15"/>
      <x:c r="W46" s="15"/>
      <x:c r="X46" s="15"/>
      <x:c r="Y46" s="140" t="str">
        <x:f>IF(COUNTA(C46:M46,O46:X46)=0,"",ROUND((IF(OR(R46&lt;&gt;"Yes",S46&gt;0),1,0)+IF(OR(T46&lt;&gt;"Yes",U46="Yes"),1,0)+IF(W46="Yes",1,0)+IF(X46="Approved",1,0))/4,2))</x:f>
      </x:c>
      <x:c r="Z46" s="15" t="str">
        <x:f>IF(COUNTA(C46:M46,O46:X46)=0,"",TEXTJOIN("; ",TRUE,IF(C46="","Missing work date",""),IF(D46="","Missing project",""),IF(F46="","Missing crew",""),IF(O46="","Missing labor hours",""),IF(P46="","Missing production qty",""),IF(AND(R46="Yes",OR(S46="",S46&lt;=0)),"Missing photo proof",""),IF(AND(T46="Yes",U46&lt;&gt;"Yes"),"Missing redline",""),IF(V46="Yes","Safety follow-up",""),IF(W46&lt;&gt;"Yes","Missing customer signoff",""),IF(X46&lt;&gt;"Approved","Office not approved",""),IF(N46&lt;=0,"Bad shift hours","")))</x:f>
      </x:c>
      <x:c r="AA46" s="15" t="str">
        <x:f>IF(COUNTA(C46:M46,O46:X46)=0,"",IF(Z46="","Yes","No"))</x:f>
      </x:c>
      <x:c r="AB46" s="15"/>
    </x:row>
    <x:row r="47" ht="20" customHeight="1">
      <x:c r="A47" s="15"/>
      <x:c r="B47" s="122"/>
      <x:c r="C47" s="28"/>
      <x:c r="D47" s="15"/>
      <x:c r="E47" s="15"/>
      <x:c r="F47" s="15"/>
      <x:c r="G47" s="15"/>
      <x:c r="H47" s="15"/>
      <x:c r="I47" s="15"/>
      <x:c r="J47" s="15"/>
      <x:c r="K47" s="15"/>
      <x:c r="L47" s="134"/>
      <x:c r="M47" s="134"/>
      <x:c r="N47" s="136" t="str">
        <x:f>IF(OR(L47="",M47=""),"",MAX(0,(M47-L47)*24))</x:f>
      </x:c>
      <x:c r="O47" s="136"/>
      <x:c r="P47" s="138"/>
      <x:c r="Q47" s="15"/>
      <x:c r="R47" s="15"/>
      <x:c r="S47" s="15"/>
      <x:c r="T47" s="15"/>
      <x:c r="U47" s="15"/>
      <x:c r="V47" s="15"/>
      <x:c r="W47" s="15"/>
      <x:c r="X47" s="15"/>
      <x:c r="Y47" s="140" t="str">
        <x:f>IF(COUNTA(C47:M47,O47:X47)=0,"",ROUND((IF(OR(R47&lt;&gt;"Yes",S47&gt;0),1,0)+IF(OR(T47&lt;&gt;"Yes",U47="Yes"),1,0)+IF(W47="Yes",1,0)+IF(X47="Approved",1,0))/4,2))</x:f>
      </x:c>
      <x:c r="Z47" s="15" t="str">
        <x:f>IF(COUNTA(C47:M47,O47:X47)=0,"",TEXTJOIN("; ",TRUE,IF(C47="","Missing work date",""),IF(D47="","Missing project",""),IF(F47="","Missing crew",""),IF(O47="","Missing labor hours",""),IF(P47="","Missing production qty",""),IF(AND(R47="Yes",OR(S47="",S47&lt;=0)),"Missing photo proof",""),IF(AND(T47="Yes",U47&lt;&gt;"Yes"),"Missing redline",""),IF(V47="Yes","Safety follow-up",""),IF(W47&lt;&gt;"Yes","Missing customer signoff",""),IF(X47&lt;&gt;"Approved","Office not approved",""),IF(N47&lt;=0,"Bad shift hours","")))</x:f>
      </x:c>
      <x:c r="AA47" s="15" t="str">
        <x:f>IF(COUNTA(C47:M47,O47:X47)=0,"",IF(Z47="","Yes","No"))</x:f>
      </x:c>
      <x:c r="AB47" s="15"/>
    </x:row>
    <x:row r="48" ht="20" customHeight="1">
      <x:c r="A48" s="15"/>
      <x:c r="B48" s="122"/>
      <x:c r="C48" s="28"/>
      <x:c r="D48" s="15"/>
      <x:c r="E48" s="15"/>
      <x:c r="F48" s="15"/>
      <x:c r="G48" s="15"/>
      <x:c r="H48" s="15"/>
      <x:c r="I48" s="15"/>
      <x:c r="J48" s="15"/>
      <x:c r="K48" s="15"/>
      <x:c r="L48" s="134"/>
      <x:c r="M48" s="134"/>
      <x:c r="N48" s="136" t="str">
        <x:f>IF(OR(L48="",M48=""),"",MAX(0,(M48-L48)*24))</x:f>
      </x:c>
      <x:c r="O48" s="136"/>
      <x:c r="P48" s="138"/>
      <x:c r="Q48" s="15"/>
      <x:c r="R48" s="15"/>
      <x:c r="S48" s="15"/>
      <x:c r="T48" s="15"/>
      <x:c r="U48" s="15"/>
      <x:c r="V48" s="15"/>
      <x:c r="W48" s="15"/>
      <x:c r="X48" s="15"/>
      <x:c r="Y48" s="140" t="str">
        <x:f>IF(COUNTA(C48:M48,O48:X48)=0,"",ROUND((IF(OR(R48&lt;&gt;"Yes",S48&gt;0),1,0)+IF(OR(T48&lt;&gt;"Yes",U48="Yes"),1,0)+IF(W48="Yes",1,0)+IF(X48="Approved",1,0))/4,2))</x:f>
      </x:c>
      <x:c r="Z48" s="15" t="str">
        <x:f>IF(COUNTA(C48:M48,O48:X48)=0,"",TEXTJOIN("; ",TRUE,IF(C48="","Missing work date",""),IF(D48="","Missing project",""),IF(F48="","Missing crew",""),IF(O48="","Missing labor hours",""),IF(P48="","Missing production qty",""),IF(AND(R48="Yes",OR(S48="",S48&lt;=0)),"Missing photo proof",""),IF(AND(T48="Yes",U48&lt;&gt;"Yes"),"Missing redline",""),IF(V48="Yes","Safety follow-up",""),IF(W48&lt;&gt;"Yes","Missing customer signoff",""),IF(X48&lt;&gt;"Approved","Office not approved",""),IF(N48&lt;=0,"Bad shift hours","")))</x:f>
      </x:c>
      <x:c r="AA48" s="15" t="str">
        <x:f>IF(COUNTA(C48:M48,O48:X48)=0,"",IF(Z48="","Yes","No"))</x:f>
      </x:c>
      <x:c r="AB48" s="15"/>
    </x:row>
    <x:row r="49" ht="20" customHeight="1">
      <x:c r="A49" s="15"/>
      <x:c r="B49" s="122"/>
      <x:c r="C49" s="28"/>
      <x:c r="D49" s="15"/>
      <x:c r="E49" s="15"/>
      <x:c r="F49" s="15"/>
      <x:c r="G49" s="15"/>
      <x:c r="H49" s="15"/>
      <x:c r="I49" s="15"/>
      <x:c r="J49" s="15"/>
      <x:c r="K49" s="15"/>
      <x:c r="L49" s="134"/>
      <x:c r="M49" s="134"/>
      <x:c r="N49" s="136" t="str">
        <x:f>IF(OR(L49="",M49=""),"",MAX(0,(M49-L49)*24))</x:f>
      </x:c>
      <x:c r="O49" s="136"/>
      <x:c r="P49" s="138"/>
      <x:c r="Q49" s="15"/>
      <x:c r="R49" s="15"/>
      <x:c r="S49" s="15"/>
      <x:c r="T49" s="15"/>
      <x:c r="U49" s="15"/>
      <x:c r="V49" s="15"/>
      <x:c r="W49" s="15"/>
      <x:c r="X49" s="15"/>
      <x:c r="Y49" s="140" t="str">
        <x:f>IF(COUNTA(C49:M49,O49:X49)=0,"",ROUND((IF(OR(R49&lt;&gt;"Yes",S49&gt;0),1,0)+IF(OR(T49&lt;&gt;"Yes",U49="Yes"),1,0)+IF(W49="Yes",1,0)+IF(X49="Approved",1,0))/4,2))</x:f>
      </x:c>
      <x:c r="Z49" s="15" t="str">
        <x:f>IF(COUNTA(C49:M49,O49:X49)=0,"",TEXTJOIN("; ",TRUE,IF(C49="","Missing work date",""),IF(D49="","Missing project",""),IF(F49="","Missing crew",""),IF(O49="","Missing labor hours",""),IF(P49="","Missing production qty",""),IF(AND(R49="Yes",OR(S49="",S49&lt;=0)),"Missing photo proof",""),IF(AND(T49="Yes",U49&lt;&gt;"Yes"),"Missing redline",""),IF(V49="Yes","Safety follow-up",""),IF(W49&lt;&gt;"Yes","Missing customer signoff",""),IF(X49&lt;&gt;"Approved","Office not approved",""),IF(N49&lt;=0,"Bad shift hours","")))</x:f>
      </x:c>
      <x:c r="AA49" s="15" t="str">
        <x:f>IF(COUNTA(C49:M49,O49:X49)=0,"",IF(Z49="","Yes","No"))</x:f>
      </x:c>
      <x:c r="AB49" s="15"/>
    </x:row>
    <x:row r="50" ht="20" customHeight="1">
      <x:c r="A50" s="15"/>
      <x:c r="B50" s="122"/>
      <x:c r="C50" s="28"/>
      <x:c r="D50" s="15"/>
      <x:c r="E50" s="15"/>
      <x:c r="F50" s="15"/>
      <x:c r="G50" s="15"/>
      <x:c r="H50" s="15"/>
      <x:c r="I50" s="15"/>
      <x:c r="J50" s="15"/>
      <x:c r="K50" s="15"/>
      <x:c r="L50" s="134"/>
      <x:c r="M50" s="134"/>
      <x:c r="N50" s="136" t="str">
        <x:f>IF(OR(L50="",M50=""),"",MAX(0,(M50-L50)*24))</x:f>
      </x:c>
      <x:c r="O50" s="136"/>
      <x:c r="P50" s="138"/>
      <x:c r="Q50" s="15"/>
      <x:c r="R50" s="15"/>
      <x:c r="S50" s="15"/>
      <x:c r="T50" s="15"/>
      <x:c r="U50" s="15"/>
      <x:c r="V50" s="15"/>
      <x:c r="W50" s="15"/>
      <x:c r="X50" s="15"/>
      <x:c r="Y50" s="140" t="str">
        <x:f>IF(COUNTA(C50:M50,O50:X50)=0,"",ROUND((IF(OR(R50&lt;&gt;"Yes",S50&gt;0),1,0)+IF(OR(T50&lt;&gt;"Yes",U50="Yes"),1,0)+IF(W50="Yes",1,0)+IF(X50="Approved",1,0))/4,2))</x:f>
      </x:c>
      <x:c r="Z50" s="15" t="str">
        <x:f>IF(COUNTA(C50:M50,O50:X50)=0,"",TEXTJOIN("; ",TRUE,IF(C50="","Missing work date",""),IF(D50="","Missing project",""),IF(F50="","Missing crew",""),IF(O50="","Missing labor hours",""),IF(P50="","Missing production qty",""),IF(AND(R50="Yes",OR(S50="",S50&lt;=0)),"Missing photo proof",""),IF(AND(T50="Yes",U50&lt;&gt;"Yes"),"Missing redline",""),IF(V50="Yes","Safety follow-up",""),IF(W50&lt;&gt;"Yes","Missing customer signoff",""),IF(X50&lt;&gt;"Approved","Office not approved",""),IF(N50&lt;=0,"Bad shift hours","")))</x:f>
      </x:c>
      <x:c r="AA50" s="15" t="str">
        <x:f>IF(COUNTA(C50:M50,O50:X50)=0,"",IF(Z50="","Yes","No"))</x:f>
      </x:c>
      <x:c r="AB50" s="15"/>
    </x:row>
    <x:row r="51" ht="20" customHeight="1">
      <x:c r="A51" s="15"/>
      <x:c r="B51" s="122"/>
      <x:c r="C51" s="28"/>
      <x:c r="D51" s="15"/>
      <x:c r="E51" s="15"/>
      <x:c r="F51" s="15"/>
      <x:c r="G51" s="15"/>
      <x:c r="H51" s="15"/>
      <x:c r="I51" s="15"/>
      <x:c r="J51" s="15"/>
      <x:c r="K51" s="15"/>
      <x:c r="L51" s="134"/>
      <x:c r="M51" s="134"/>
      <x:c r="N51" s="136" t="str">
        <x:f>IF(OR(L51="",M51=""),"",MAX(0,(M51-L51)*24))</x:f>
      </x:c>
      <x:c r="O51" s="136"/>
      <x:c r="P51" s="138"/>
      <x:c r="Q51" s="15"/>
      <x:c r="R51" s="15"/>
      <x:c r="S51" s="15"/>
      <x:c r="T51" s="15"/>
      <x:c r="U51" s="15"/>
      <x:c r="V51" s="15"/>
      <x:c r="W51" s="15"/>
      <x:c r="X51" s="15"/>
      <x:c r="Y51" s="140" t="str">
        <x:f>IF(COUNTA(C51:M51,O51:X51)=0,"",ROUND((IF(OR(R51&lt;&gt;"Yes",S51&gt;0),1,0)+IF(OR(T51&lt;&gt;"Yes",U51="Yes"),1,0)+IF(W51="Yes",1,0)+IF(X51="Approved",1,0))/4,2))</x:f>
      </x:c>
      <x:c r="Z51" s="15" t="str">
        <x:f>IF(COUNTA(C51:M51,O51:X51)=0,"",TEXTJOIN("; ",TRUE,IF(C51="","Missing work date",""),IF(D51="","Missing project",""),IF(F51="","Missing crew",""),IF(O51="","Missing labor hours",""),IF(P51="","Missing production qty",""),IF(AND(R51="Yes",OR(S51="",S51&lt;=0)),"Missing photo proof",""),IF(AND(T51="Yes",U51&lt;&gt;"Yes"),"Missing redline",""),IF(V51="Yes","Safety follow-up",""),IF(W51&lt;&gt;"Yes","Missing customer signoff",""),IF(X51&lt;&gt;"Approved","Office not approved",""),IF(N51&lt;=0,"Bad shift hours","")))</x:f>
      </x:c>
      <x:c r="AA51" s="15" t="str">
        <x:f>IF(COUNTA(C51:M51,O51:X51)=0,"",IF(Z51="","Yes","No"))</x:f>
      </x:c>
      <x:c r="AB51" s="15"/>
    </x:row>
    <x:row r="52" ht="20" customHeight="1">
      <x:c r="A52" s="15"/>
      <x:c r="B52" s="122"/>
      <x:c r="C52" s="28"/>
      <x:c r="D52" s="15"/>
      <x:c r="E52" s="15"/>
      <x:c r="F52" s="15"/>
      <x:c r="G52" s="15"/>
      <x:c r="H52" s="15"/>
      <x:c r="I52" s="15"/>
      <x:c r="J52" s="15"/>
      <x:c r="K52" s="15"/>
      <x:c r="L52" s="134"/>
      <x:c r="M52" s="134"/>
      <x:c r="N52" s="136" t="str">
        <x:f>IF(OR(L52="",M52=""),"",MAX(0,(M52-L52)*24))</x:f>
      </x:c>
      <x:c r="O52" s="136"/>
      <x:c r="P52" s="138"/>
      <x:c r="Q52" s="15"/>
      <x:c r="R52" s="15"/>
      <x:c r="S52" s="15"/>
      <x:c r="T52" s="15"/>
      <x:c r="U52" s="15"/>
      <x:c r="V52" s="15"/>
      <x:c r="W52" s="15"/>
      <x:c r="X52" s="15"/>
      <x:c r="Y52" s="140" t="str">
        <x:f>IF(COUNTA(C52:M52,O52:X52)=0,"",ROUND((IF(OR(R52&lt;&gt;"Yes",S52&gt;0),1,0)+IF(OR(T52&lt;&gt;"Yes",U52="Yes"),1,0)+IF(W52="Yes",1,0)+IF(X52="Approved",1,0))/4,2))</x:f>
      </x:c>
      <x:c r="Z52" s="15" t="str">
        <x:f>IF(COUNTA(C52:M52,O52:X52)=0,"",TEXTJOIN("; ",TRUE,IF(C52="","Missing work date",""),IF(D52="","Missing project",""),IF(F52="","Missing crew",""),IF(O52="","Missing labor hours",""),IF(P52="","Missing production qty",""),IF(AND(R52="Yes",OR(S52="",S52&lt;=0)),"Missing photo proof",""),IF(AND(T52="Yes",U52&lt;&gt;"Yes"),"Missing redline",""),IF(V52="Yes","Safety follow-up",""),IF(W52&lt;&gt;"Yes","Missing customer signoff",""),IF(X52&lt;&gt;"Approved","Office not approved",""),IF(N52&lt;=0,"Bad shift hours","")))</x:f>
      </x:c>
      <x:c r="AA52" s="15" t="str">
        <x:f>IF(COUNTA(C52:M52,O52:X52)=0,"",IF(Z52="","Yes","No"))</x:f>
      </x:c>
      <x:c r="AB52" s="15"/>
    </x:row>
    <x:row r="53" ht="20" customHeight="1">
      <x:c r="A53" s="15"/>
      <x:c r="B53" s="122"/>
      <x:c r="C53" s="28"/>
      <x:c r="D53" s="15"/>
      <x:c r="E53" s="15"/>
      <x:c r="F53" s="15"/>
      <x:c r="G53" s="15"/>
      <x:c r="H53" s="15"/>
      <x:c r="I53" s="15"/>
      <x:c r="J53" s="15"/>
      <x:c r="K53" s="15"/>
      <x:c r="L53" s="134"/>
      <x:c r="M53" s="134"/>
      <x:c r="N53" s="136" t="str">
        <x:f>IF(OR(L53="",M53=""),"",MAX(0,(M53-L53)*24))</x:f>
      </x:c>
      <x:c r="O53" s="136"/>
      <x:c r="P53" s="138"/>
      <x:c r="Q53" s="15"/>
      <x:c r="R53" s="15"/>
      <x:c r="S53" s="15"/>
      <x:c r="T53" s="15"/>
      <x:c r="U53" s="15"/>
      <x:c r="V53" s="15"/>
      <x:c r="W53" s="15"/>
      <x:c r="X53" s="15"/>
      <x:c r="Y53" s="140" t="str">
        <x:f>IF(COUNTA(C53:M53,O53:X53)=0,"",ROUND((IF(OR(R53&lt;&gt;"Yes",S53&gt;0),1,0)+IF(OR(T53&lt;&gt;"Yes",U53="Yes"),1,0)+IF(W53="Yes",1,0)+IF(X53="Approved",1,0))/4,2))</x:f>
      </x:c>
      <x:c r="Z53" s="15" t="str">
        <x:f>IF(COUNTA(C53:M53,O53:X53)=0,"",TEXTJOIN("; ",TRUE,IF(C53="","Missing work date",""),IF(D53="","Missing project",""),IF(F53="","Missing crew",""),IF(O53="","Missing labor hours",""),IF(P53="","Missing production qty",""),IF(AND(R53="Yes",OR(S53="",S53&lt;=0)),"Missing photo proof",""),IF(AND(T53="Yes",U53&lt;&gt;"Yes"),"Missing redline",""),IF(V53="Yes","Safety follow-up",""),IF(W53&lt;&gt;"Yes","Missing customer signoff",""),IF(X53&lt;&gt;"Approved","Office not approved",""),IF(N53&lt;=0,"Bad shift hours","")))</x:f>
      </x:c>
      <x:c r="AA53" s="15" t="str">
        <x:f>IF(COUNTA(C53:M53,O53:X53)=0,"",IF(Z53="","Yes","No"))</x:f>
      </x:c>
      <x:c r="AB53" s="15"/>
    </x:row>
    <x:row r="54" ht="20" customHeight="1">
      <x:c r="A54" s="15"/>
      <x:c r="B54" s="122"/>
      <x:c r="C54" s="28"/>
      <x:c r="D54" s="15"/>
      <x:c r="E54" s="15"/>
      <x:c r="F54" s="15"/>
      <x:c r="G54" s="15"/>
      <x:c r="H54" s="15"/>
      <x:c r="I54" s="15"/>
      <x:c r="J54" s="15"/>
      <x:c r="K54" s="15"/>
      <x:c r="L54" s="134"/>
      <x:c r="M54" s="134"/>
      <x:c r="N54" s="136" t="str">
        <x:f>IF(OR(L54="",M54=""),"",MAX(0,(M54-L54)*24))</x:f>
      </x:c>
      <x:c r="O54" s="136"/>
      <x:c r="P54" s="138"/>
      <x:c r="Q54" s="15"/>
      <x:c r="R54" s="15"/>
      <x:c r="S54" s="15"/>
      <x:c r="T54" s="15"/>
      <x:c r="U54" s="15"/>
      <x:c r="V54" s="15"/>
      <x:c r="W54" s="15"/>
      <x:c r="X54" s="15"/>
      <x:c r="Y54" s="140" t="str">
        <x:f>IF(COUNTA(C54:M54,O54:X54)=0,"",ROUND((IF(OR(R54&lt;&gt;"Yes",S54&gt;0),1,0)+IF(OR(T54&lt;&gt;"Yes",U54="Yes"),1,0)+IF(W54="Yes",1,0)+IF(X54="Approved",1,0))/4,2))</x:f>
      </x:c>
      <x:c r="Z54" s="15" t="str">
        <x:f>IF(COUNTA(C54:M54,O54:X54)=0,"",TEXTJOIN("; ",TRUE,IF(C54="","Missing work date",""),IF(D54="","Missing project",""),IF(F54="","Missing crew",""),IF(O54="","Missing labor hours",""),IF(P54="","Missing production qty",""),IF(AND(R54="Yes",OR(S54="",S54&lt;=0)),"Missing photo proof",""),IF(AND(T54="Yes",U54&lt;&gt;"Yes"),"Missing redline",""),IF(V54="Yes","Safety follow-up",""),IF(W54&lt;&gt;"Yes","Missing customer signoff",""),IF(X54&lt;&gt;"Approved","Office not approved",""),IF(N54&lt;=0,"Bad shift hours","")))</x:f>
      </x:c>
      <x:c r="AA54" s="15" t="str">
        <x:f>IF(COUNTA(C54:M54,O54:X54)=0,"",IF(Z54="","Yes","No"))</x:f>
      </x:c>
      <x:c r="AB54" s="15"/>
    </x:row>
    <x:row r="55" ht="20" customHeight="1">
      <x:c r="A55" s="15"/>
      <x:c r="B55" s="122"/>
      <x:c r="C55" s="28"/>
      <x:c r="D55" s="15"/>
      <x:c r="E55" s="15"/>
      <x:c r="F55" s="15"/>
      <x:c r="G55" s="15"/>
      <x:c r="H55" s="15"/>
      <x:c r="I55" s="15"/>
      <x:c r="J55" s="15"/>
      <x:c r="K55" s="15"/>
      <x:c r="L55" s="134"/>
      <x:c r="M55" s="134"/>
      <x:c r="N55" s="136" t="str">
        <x:f>IF(OR(L55="",M55=""),"",MAX(0,(M55-L55)*24))</x:f>
      </x:c>
      <x:c r="O55" s="136"/>
      <x:c r="P55" s="138"/>
      <x:c r="Q55" s="15"/>
      <x:c r="R55" s="15"/>
      <x:c r="S55" s="15"/>
      <x:c r="T55" s="15"/>
      <x:c r="U55" s="15"/>
      <x:c r="V55" s="15"/>
      <x:c r="W55" s="15"/>
      <x:c r="X55" s="15"/>
      <x:c r="Y55" s="140" t="str">
        <x:f>IF(COUNTA(C55:M55,O55:X55)=0,"",ROUND((IF(OR(R55&lt;&gt;"Yes",S55&gt;0),1,0)+IF(OR(T55&lt;&gt;"Yes",U55="Yes"),1,0)+IF(W55="Yes",1,0)+IF(X55="Approved",1,0))/4,2))</x:f>
      </x:c>
      <x:c r="Z55" s="15" t="str">
        <x:f>IF(COUNTA(C55:M55,O55:X55)=0,"",TEXTJOIN("; ",TRUE,IF(C55="","Missing work date",""),IF(D55="","Missing project",""),IF(F55="","Missing crew",""),IF(O55="","Missing labor hours",""),IF(P55="","Missing production qty",""),IF(AND(R55="Yes",OR(S55="",S55&lt;=0)),"Missing photo proof",""),IF(AND(T55="Yes",U55&lt;&gt;"Yes"),"Missing redline",""),IF(V55="Yes","Safety follow-up",""),IF(W55&lt;&gt;"Yes","Missing customer signoff",""),IF(X55&lt;&gt;"Approved","Office not approved",""),IF(N55&lt;=0,"Bad shift hours","")))</x:f>
      </x:c>
      <x:c r="AA55" s="15" t="str">
        <x:f>IF(COUNTA(C55:M55,O55:X55)=0,"",IF(Z55="","Yes","No"))</x:f>
      </x:c>
      <x:c r="AB55" s="15"/>
    </x:row>
    <x:row r="56" ht="20" customHeight="1">
      <x:c r="A56" s="15"/>
      <x:c r="B56" s="122"/>
      <x:c r="C56" s="28"/>
      <x:c r="D56" s="15"/>
      <x:c r="E56" s="15"/>
      <x:c r="F56" s="15"/>
      <x:c r="G56" s="15"/>
      <x:c r="H56" s="15"/>
      <x:c r="I56" s="15"/>
      <x:c r="J56" s="15"/>
      <x:c r="K56" s="15"/>
      <x:c r="L56" s="134"/>
      <x:c r="M56" s="134"/>
      <x:c r="N56" s="136" t="str">
        <x:f>IF(OR(L56="",M56=""),"",MAX(0,(M56-L56)*24))</x:f>
      </x:c>
      <x:c r="O56" s="136"/>
      <x:c r="P56" s="138"/>
      <x:c r="Q56" s="15"/>
      <x:c r="R56" s="15"/>
      <x:c r="S56" s="15"/>
      <x:c r="T56" s="15"/>
      <x:c r="U56" s="15"/>
      <x:c r="V56" s="15"/>
      <x:c r="W56" s="15"/>
      <x:c r="X56" s="15"/>
      <x:c r="Y56" s="140" t="str">
        <x:f>IF(COUNTA(C56:M56,O56:X56)=0,"",ROUND((IF(OR(R56&lt;&gt;"Yes",S56&gt;0),1,0)+IF(OR(T56&lt;&gt;"Yes",U56="Yes"),1,0)+IF(W56="Yes",1,0)+IF(X56="Approved",1,0))/4,2))</x:f>
      </x:c>
      <x:c r="Z56" s="15" t="str">
        <x:f>IF(COUNTA(C56:M56,O56:X56)=0,"",TEXTJOIN("; ",TRUE,IF(C56="","Missing work date",""),IF(D56="","Missing project",""),IF(F56="","Missing crew",""),IF(O56="","Missing labor hours",""),IF(P56="","Missing production qty",""),IF(AND(R56="Yes",OR(S56="",S56&lt;=0)),"Missing photo proof",""),IF(AND(T56="Yes",U56&lt;&gt;"Yes"),"Missing redline",""),IF(V56="Yes","Safety follow-up",""),IF(W56&lt;&gt;"Yes","Missing customer signoff",""),IF(X56&lt;&gt;"Approved","Office not approved",""),IF(N56&lt;=0,"Bad shift hours","")))</x:f>
      </x:c>
      <x:c r="AA56" s="15" t="str">
        <x:f>IF(COUNTA(C56:M56,O56:X56)=0,"",IF(Z56="","Yes","No"))</x:f>
      </x:c>
      <x:c r="AB56" s="15"/>
    </x:row>
    <x:row r="57" ht="20" customHeight="1">
      <x:c r="A57" s="15"/>
      <x:c r="B57" s="122"/>
      <x:c r="C57" s="28"/>
      <x:c r="D57" s="15"/>
      <x:c r="E57" s="15"/>
      <x:c r="F57" s="15"/>
      <x:c r="G57" s="15"/>
      <x:c r="H57" s="15"/>
      <x:c r="I57" s="15"/>
      <x:c r="J57" s="15"/>
      <x:c r="K57" s="15"/>
      <x:c r="L57" s="134"/>
      <x:c r="M57" s="134"/>
      <x:c r="N57" s="136" t="str">
        <x:f>IF(OR(L57="",M57=""),"",MAX(0,(M57-L57)*24))</x:f>
      </x:c>
      <x:c r="O57" s="136"/>
      <x:c r="P57" s="138"/>
      <x:c r="Q57" s="15"/>
      <x:c r="R57" s="15"/>
      <x:c r="S57" s="15"/>
      <x:c r="T57" s="15"/>
      <x:c r="U57" s="15"/>
      <x:c r="V57" s="15"/>
      <x:c r="W57" s="15"/>
      <x:c r="X57" s="15"/>
      <x:c r="Y57" s="140" t="str">
        <x:f>IF(COUNTA(C57:M57,O57:X57)=0,"",ROUND((IF(OR(R57&lt;&gt;"Yes",S57&gt;0),1,0)+IF(OR(T57&lt;&gt;"Yes",U57="Yes"),1,0)+IF(W57="Yes",1,0)+IF(X57="Approved",1,0))/4,2))</x:f>
      </x:c>
      <x:c r="Z57" s="15" t="str">
        <x:f>IF(COUNTA(C57:M57,O57:X57)=0,"",TEXTJOIN("; ",TRUE,IF(C57="","Missing work date",""),IF(D57="","Missing project",""),IF(F57="","Missing crew",""),IF(O57="","Missing labor hours",""),IF(P57="","Missing production qty",""),IF(AND(R57="Yes",OR(S57="",S57&lt;=0)),"Missing photo proof",""),IF(AND(T57="Yes",U57&lt;&gt;"Yes"),"Missing redline",""),IF(V57="Yes","Safety follow-up",""),IF(W57&lt;&gt;"Yes","Missing customer signoff",""),IF(X57&lt;&gt;"Approved","Office not approved",""),IF(N57&lt;=0,"Bad shift hours","")))</x:f>
      </x:c>
      <x:c r="AA57" s="15" t="str">
        <x:f>IF(COUNTA(C57:M57,O57:X57)=0,"",IF(Z57="","Yes","No"))</x:f>
      </x:c>
      <x:c r="AB57" s="15"/>
    </x:row>
    <x:row r="58" ht="20" customHeight="1">
      <x:c r="A58" s="15"/>
      <x:c r="B58" s="122"/>
      <x:c r="C58" s="28"/>
      <x:c r="D58" s="15"/>
      <x:c r="E58" s="15"/>
      <x:c r="F58" s="15"/>
      <x:c r="G58" s="15"/>
      <x:c r="H58" s="15"/>
      <x:c r="I58" s="15"/>
      <x:c r="J58" s="15"/>
      <x:c r="K58" s="15"/>
      <x:c r="L58" s="134"/>
      <x:c r="M58" s="134"/>
      <x:c r="N58" s="136" t="str">
        <x:f>IF(OR(L58="",M58=""),"",MAX(0,(M58-L58)*24))</x:f>
      </x:c>
      <x:c r="O58" s="136"/>
      <x:c r="P58" s="138"/>
      <x:c r="Q58" s="15"/>
      <x:c r="R58" s="15"/>
      <x:c r="S58" s="15"/>
      <x:c r="T58" s="15"/>
      <x:c r="U58" s="15"/>
      <x:c r="V58" s="15"/>
      <x:c r="W58" s="15"/>
      <x:c r="X58" s="15"/>
      <x:c r="Y58" s="140" t="str">
        <x:f>IF(COUNTA(C58:M58,O58:X58)=0,"",ROUND((IF(OR(R58&lt;&gt;"Yes",S58&gt;0),1,0)+IF(OR(T58&lt;&gt;"Yes",U58="Yes"),1,0)+IF(W58="Yes",1,0)+IF(X58="Approved",1,0))/4,2))</x:f>
      </x:c>
      <x:c r="Z58" s="15" t="str">
        <x:f>IF(COUNTA(C58:M58,O58:X58)=0,"",TEXTJOIN("; ",TRUE,IF(C58="","Missing work date",""),IF(D58="","Missing project",""),IF(F58="","Missing crew",""),IF(O58="","Missing labor hours",""),IF(P58="","Missing production qty",""),IF(AND(R58="Yes",OR(S58="",S58&lt;=0)),"Missing photo proof",""),IF(AND(T58="Yes",U58&lt;&gt;"Yes"),"Missing redline",""),IF(V58="Yes","Safety follow-up",""),IF(W58&lt;&gt;"Yes","Missing customer signoff",""),IF(X58&lt;&gt;"Approved","Office not approved",""),IF(N58&lt;=0,"Bad shift hours","")))</x:f>
      </x:c>
      <x:c r="AA58" s="15" t="str">
        <x:f>IF(COUNTA(C58:M58,O58:X58)=0,"",IF(Z58="","Yes","No"))</x:f>
      </x:c>
      <x:c r="AB58" s="15"/>
    </x:row>
    <x:row r="59" ht="20" customHeight="1">
      <x:c r="A59" s="15"/>
      <x:c r="B59" s="122"/>
      <x:c r="C59" s="28"/>
      <x:c r="D59" s="15"/>
      <x:c r="E59" s="15"/>
      <x:c r="F59" s="15"/>
      <x:c r="G59" s="15"/>
      <x:c r="H59" s="15"/>
      <x:c r="I59" s="15"/>
      <x:c r="J59" s="15"/>
      <x:c r="K59" s="15"/>
      <x:c r="L59" s="134"/>
      <x:c r="M59" s="134"/>
      <x:c r="N59" s="136" t="str">
        <x:f>IF(OR(L59="",M59=""),"",MAX(0,(M59-L59)*24))</x:f>
      </x:c>
      <x:c r="O59" s="136"/>
      <x:c r="P59" s="138"/>
      <x:c r="Q59" s="15"/>
      <x:c r="R59" s="15"/>
      <x:c r="S59" s="15"/>
      <x:c r="T59" s="15"/>
      <x:c r="U59" s="15"/>
      <x:c r="V59" s="15"/>
      <x:c r="W59" s="15"/>
      <x:c r="X59" s="15"/>
      <x:c r="Y59" s="140" t="str">
        <x:f>IF(COUNTA(C59:M59,O59:X59)=0,"",ROUND((IF(OR(R59&lt;&gt;"Yes",S59&gt;0),1,0)+IF(OR(T59&lt;&gt;"Yes",U59="Yes"),1,0)+IF(W59="Yes",1,0)+IF(X59="Approved",1,0))/4,2))</x:f>
      </x:c>
      <x:c r="Z59" s="15" t="str">
        <x:f>IF(COUNTA(C59:M59,O59:X59)=0,"",TEXTJOIN("; ",TRUE,IF(C59="","Missing work date",""),IF(D59="","Missing project",""),IF(F59="","Missing crew",""),IF(O59="","Missing labor hours",""),IF(P59="","Missing production qty",""),IF(AND(R59="Yes",OR(S59="",S59&lt;=0)),"Missing photo proof",""),IF(AND(T59="Yes",U59&lt;&gt;"Yes"),"Missing redline",""),IF(V59="Yes","Safety follow-up",""),IF(W59&lt;&gt;"Yes","Missing customer signoff",""),IF(X59&lt;&gt;"Approved","Office not approved",""),IF(N59&lt;=0,"Bad shift hours","")))</x:f>
      </x:c>
      <x:c r="AA59" s="15" t="str">
        <x:f>IF(COUNTA(C59:M59,O59:X59)=0,"",IF(Z59="","Yes","No"))</x:f>
      </x:c>
      <x:c r="AB59" s="15"/>
    </x:row>
    <x:row r="60" ht="20" customHeight="1">
      <x:c r="A60" s="15"/>
      <x:c r="B60" s="122"/>
      <x:c r="C60" s="28"/>
      <x:c r="D60" s="15"/>
      <x:c r="E60" s="15"/>
      <x:c r="F60" s="15"/>
      <x:c r="G60" s="15"/>
      <x:c r="H60" s="15"/>
      <x:c r="I60" s="15"/>
      <x:c r="J60" s="15"/>
      <x:c r="K60" s="15"/>
      <x:c r="L60" s="134"/>
      <x:c r="M60" s="134"/>
      <x:c r="N60" s="136" t="str">
        <x:f>IF(OR(L60="",M60=""),"",MAX(0,(M60-L60)*24))</x:f>
      </x:c>
      <x:c r="O60" s="136"/>
      <x:c r="P60" s="138"/>
      <x:c r="Q60" s="15"/>
      <x:c r="R60" s="15"/>
      <x:c r="S60" s="15"/>
      <x:c r="T60" s="15"/>
      <x:c r="U60" s="15"/>
      <x:c r="V60" s="15"/>
      <x:c r="W60" s="15"/>
      <x:c r="X60" s="15"/>
      <x:c r="Y60" s="140" t="str">
        <x:f>IF(COUNTA(C60:M60,O60:X60)=0,"",ROUND((IF(OR(R60&lt;&gt;"Yes",S60&gt;0),1,0)+IF(OR(T60&lt;&gt;"Yes",U60="Yes"),1,0)+IF(W60="Yes",1,0)+IF(X60="Approved",1,0))/4,2))</x:f>
      </x:c>
      <x:c r="Z60" s="15" t="str">
        <x:f>IF(COUNTA(C60:M60,O60:X60)=0,"",TEXTJOIN("; ",TRUE,IF(C60="","Missing work date",""),IF(D60="","Missing project",""),IF(F60="","Missing crew",""),IF(O60="","Missing labor hours",""),IF(P60="","Missing production qty",""),IF(AND(R60="Yes",OR(S60="",S60&lt;=0)),"Missing photo proof",""),IF(AND(T60="Yes",U60&lt;&gt;"Yes"),"Missing redline",""),IF(V60="Yes","Safety follow-up",""),IF(W60&lt;&gt;"Yes","Missing customer signoff",""),IF(X60&lt;&gt;"Approved","Office not approved",""),IF(N60&lt;=0,"Bad shift hours","")))</x:f>
      </x:c>
      <x:c r="AA60" s="15" t="str">
        <x:f>IF(COUNTA(C60:M60,O60:X60)=0,"",IF(Z60="","Yes","No"))</x:f>
      </x:c>
      <x:c r="AB60" s="15"/>
    </x:row>
    <x:row r="61" ht="20" customHeight="1">
      <x:c r="A61" s="15"/>
      <x:c r="B61" s="122"/>
      <x:c r="C61" s="28"/>
      <x:c r="D61" s="15"/>
      <x:c r="E61" s="15"/>
      <x:c r="F61" s="15"/>
      <x:c r="G61" s="15"/>
      <x:c r="H61" s="15"/>
      <x:c r="I61" s="15"/>
      <x:c r="J61" s="15"/>
      <x:c r="K61" s="15"/>
      <x:c r="L61" s="134"/>
      <x:c r="M61" s="134"/>
      <x:c r="N61" s="136" t="str">
        <x:f>IF(OR(L61="",M61=""),"",MAX(0,(M61-L61)*24))</x:f>
      </x:c>
      <x:c r="O61" s="136"/>
      <x:c r="P61" s="138"/>
      <x:c r="Q61" s="15"/>
      <x:c r="R61" s="15"/>
      <x:c r="S61" s="15"/>
      <x:c r="T61" s="15"/>
      <x:c r="U61" s="15"/>
      <x:c r="V61" s="15"/>
      <x:c r="W61" s="15"/>
      <x:c r="X61" s="15"/>
      <x:c r="Y61" s="140" t="str">
        <x:f>IF(COUNTA(C61:M61,O61:X61)=0,"",ROUND((IF(OR(R61&lt;&gt;"Yes",S61&gt;0),1,0)+IF(OR(T61&lt;&gt;"Yes",U61="Yes"),1,0)+IF(W61="Yes",1,0)+IF(X61="Approved",1,0))/4,2))</x:f>
      </x:c>
      <x:c r="Z61" s="15" t="str">
        <x:f>IF(COUNTA(C61:M61,O61:X61)=0,"",TEXTJOIN("; ",TRUE,IF(C61="","Missing work date",""),IF(D61="","Missing project",""),IF(F61="","Missing crew",""),IF(O61="","Missing labor hours",""),IF(P61="","Missing production qty",""),IF(AND(R61="Yes",OR(S61="",S61&lt;=0)),"Missing photo proof",""),IF(AND(T61="Yes",U61&lt;&gt;"Yes"),"Missing redline",""),IF(V61="Yes","Safety follow-up",""),IF(W61&lt;&gt;"Yes","Missing customer signoff",""),IF(X61&lt;&gt;"Approved","Office not approved",""),IF(N61&lt;=0,"Bad shift hours","")))</x:f>
      </x:c>
      <x:c r="AA61" s="15" t="str">
        <x:f>IF(COUNTA(C61:M61,O61:X61)=0,"",IF(Z61="","Yes","No"))</x:f>
      </x:c>
      <x:c r="AB61" s="15"/>
    </x:row>
    <x:row r="62" ht="20" customHeight="1">
      <x:c r="A62" s="15"/>
      <x:c r="B62" s="122"/>
      <x:c r="C62" s="28"/>
      <x:c r="D62" s="15"/>
      <x:c r="E62" s="15"/>
      <x:c r="F62" s="15"/>
      <x:c r="G62" s="15"/>
      <x:c r="H62" s="15"/>
      <x:c r="I62" s="15"/>
      <x:c r="J62" s="15"/>
      <x:c r="K62" s="15"/>
      <x:c r="L62" s="134"/>
      <x:c r="M62" s="134"/>
      <x:c r="N62" s="136" t="str">
        <x:f>IF(OR(L62="",M62=""),"",MAX(0,(M62-L62)*24))</x:f>
      </x:c>
      <x:c r="O62" s="136"/>
      <x:c r="P62" s="138"/>
      <x:c r="Q62" s="15"/>
      <x:c r="R62" s="15"/>
      <x:c r="S62" s="15"/>
      <x:c r="T62" s="15"/>
      <x:c r="U62" s="15"/>
      <x:c r="V62" s="15"/>
      <x:c r="W62" s="15"/>
      <x:c r="X62" s="15"/>
      <x:c r="Y62" s="140" t="str">
        <x:f>IF(COUNTA(C62:M62,O62:X62)=0,"",ROUND((IF(OR(R62&lt;&gt;"Yes",S62&gt;0),1,0)+IF(OR(T62&lt;&gt;"Yes",U62="Yes"),1,0)+IF(W62="Yes",1,0)+IF(X62="Approved",1,0))/4,2))</x:f>
      </x:c>
      <x:c r="Z62" s="15" t="str">
        <x:f>IF(COUNTA(C62:M62,O62:X62)=0,"",TEXTJOIN("; ",TRUE,IF(C62="","Missing work date",""),IF(D62="","Missing project",""),IF(F62="","Missing crew",""),IF(O62="","Missing labor hours",""),IF(P62="","Missing production qty",""),IF(AND(R62="Yes",OR(S62="",S62&lt;=0)),"Missing photo proof",""),IF(AND(T62="Yes",U62&lt;&gt;"Yes"),"Missing redline",""),IF(V62="Yes","Safety follow-up",""),IF(W62&lt;&gt;"Yes","Missing customer signoff",""),IF(X62&lt;&gt;"Approved","Office not approved",""),IF(N62&lt;=0,"Bad shift hours","")))</x:f>
      </x:c>
      <x:c r="AA62" s="15" t="str">
        <x:f>IF(COUNTA(C62:M62,O62:X62)=0,"",IF(Z62="","Yes","No"))</x:f>
      </x:c>
      <x:c r="AB62" s="15"/>
    </x:row>
    <x:row r="63" ht="20" customHeight="1">
      <x:c r="A63" s="15"/>
      <x:c r="B63" s="122"/>
      <x:c r="C63" s="28"/>
      <x:c r="D63" s="15"/>
      <x:c r="E63" s="15"/>
      <x:c r="F63" s="15"/>
      <x:c r="G63" s="15"/>
      <x:c r="H63" s="15"/>
      <x:c r="I63" s="15"/>
      <x:c r="J63" s="15"/>
      <x:c r="K63" s="15"/>
      <x:c r="L63" s="134"/>
      <x:c r="M63" s="134"/>
      <x:c r="N63" s="136" t="str">
        <x:f>IF(OR(L63="",M63=""),"",MAX(0,(M63-L63)*24))</x:f>
      </x:c>
      <x:c r="O63" s="136"/>
      <x:c r="P63" s="138"/>
      <x:c r="Q63" s="15"/>
      <x:c r="R63" s="15"/>
      <x:c r="S63" s="15"/>
      <x:c r="T63" s="15"/>
      <x:c r="U63" s="15"/>
      <x:c r="V63" s="15"/>
      <x:c r="W63" s="15"/>
      <x:c r="X63" s="15"/>
      <x:c r="Y63" s="140" t="str">
        <x:f>IF(COUNTA(C63:M63,O63:X63)=0,"",ROUND((IF(OR(R63&lt;&gt;"Yes",S63&gt;0),1,0)+IF(OR(T63&lt;&gt;"Yes",U63="Yes"),1,0)+IF(W63="Yes",1,0)+IF(X63="Approved",1,0))/4,2))</x:f>
      </x:c>
      <x:c r="Z63" s="15" t="str">
        <x:f>IF(COUNTA(C63:M63,O63:X63)=0,"",TEXTJOIN("; ",TRUE,IF(C63="","Missing work date",""),IF(D63="","Missing project",""),IF(F63="","Missing crew",""),IF(O63="","Missing labor hours",""),IF(P63="","Missing production qty",""),IF(AND(R63="Yes",OR(S63="",S63&lt;=0)),"Missing photo proof",""),IF(AND(T63="Yes",U63&lt;&gt;"Yes"),"Missing redline",""),IF(V63="Yes","Safety follow-up",""),IF(W63&lt;&gt;"Yes","Missing customer signoff",""),IF(X63&lt;&gt;"Approved","Office not approved",""),IF(N63&lt;=0,"Bad shift hours","")))</x:f>
      </x:c>
      <x:c r="AA63" s="15" t="str">
        <x:f>IF(COUNTA(C63:M63,O63:X63)=0,"",IF(Z63="","Yes","No"))</x:f>
      </x:c>
      <x:c r="AB63" s="15"/>
    </x:row>
    <x:row r="64" ht="20" customHeight="1">
      <x:c r="A64" s="15"/>
      <x:c r="B64" s="122"/>
      <x:c r="C64" s="28"/>
      <x:c r="D64" s="15"/>
      <x:c r="E64" s="15"/>
      <x:c r="F64" s="15"/>
      <x:c r="G64" s="15"/>
      <x:c r="H64" s="15"/>
      <x:c r="I64" s="15"/>
      <x:c r="J64" s="15"/>
      <x:c r="K64" s="15"/>
      <x:c r="L64" s="134"/>
      <x:c r="M64" s="134"/>
      <x:c r="N64" s="136" t="str">
        <x:f>IF(OR(L64="",M64=""),"",MAX(0,(M64-L64)*24))</x:f>
      </x:c>
      <x:c r="O64" s="136"/>
      <x:c r="P64" s="138"/>
      <x:c r="Q64" s="15"/>
      <x:c r="R64" s="15"/>
      <x:c r="S64" s="15"/>
      <x:c r="T64" s="15"/>
      <x:c r="U64" s="15"/>
      <x:c r="V64" s="15"/>
      <x:c r="W64" s="15"/>
      <x:c r="X64" s="15"/>
      <x:c r="Y64" s="140" t="str">
        <x:f>IF(COUNTA(C64:M64,O64:X64)=0,"",ROUND((IF(OR(R64&lt;&gt;"Yes",S64&gt;0),1,0)+IF(OR(T64&lt;&gt;"Yes",U64="Yes"),1,0)+IF(W64="Yes",1,0)+IF(X64="Approved",1,0))/4,2))</x:f>
      </x:c>
      <x:c r="Z64" s="15" t="str">
        <x:f>IF(COUNTA(C64:M64,O64:X64)=0,"",TEXTJOIN("; ",TRUE,IF(C64="","Missing work date",""),IF(D64="","Missing project",""),IF(F64="","Missing crew",""),IF(O64="","Missing labor hours",""),IF(P64="","Missing production qty",""),IF(AND(R64="Yes",OR(S64="",S64&lt;=0)),"Missing photo proof",""),IF(AND(T64="Yes",U64&lt;&gt;"Yes"),"Missing redline",""),IF(V64="Yes","Safety follow-up",""),IF(W64&lt;&gt;"Yes","Missing customer signoff",""),IF(X64&lt;&gt;"Approved","Office not approved",""),IF(N64&lt;=0,"Bad shift hours","")))</x:f>
      </x:c>
      <x:c r="AA64" s="15" t="str">
        <x:f>IF(COUNTA(C64:M64,O64:X64)=0,"",IF(Z64="","Yes","No"))</x:f>
      </x:c>
      <x:c r="AB64" s="15"/>
    </x:row>
    <x:row r="65" ht="20" customHeight="1">
      <x:c r="A65" s="15"/>
      <x:c r="B65" s="122"/>
      <x:c r="C65" s="28"/>
      <x:c r="D65" s="15"/>
      <x:c r="E65" s="15"/>
      <x:c r="F65" s="15"/>
      <x:c r="G65" s="15"/>
      <x:c r="H65" s="15"/>
      <x:c r="I65" s="15"/>
      <x:c r="J65" s="15"/>
      <x:c r="K65" s="15"/>
      <x:c r="L65" s="134"/>
      <x:c r="M65" s="134"/>
      <x:c r="N65" s="136" t="str">
        <x:f>IF(OR(L65="",M65=""),"",MAX(0,(M65-L65)*24))</x:f>
      </x:c>
      <x:c r="O65" s="136"/>
      <x:c r="P65" s="138"/>
      <x:c r="Q65" s="15"/>
      <x:c r="R65" s="15"/>
      <x:c r="S65" s="15"/>
      <x:c r="T65" s="15"/>
      <x:c r="U65" s="15"/>
      <x:c r="V65" s="15"/>
      <x:c r="W65" s="15"/>
      <x:c r="X65" s="15"/>
      <x:c r="Y65" s="140" t="str">
        <x:f>IF(COUNTA(C65:M65,O65:X65)=0,"",ROUND((IF(OR(R65&lt;&gt;"Yes",S65&gt;0),1,0)+IF(OR(T65&lt;&gt;"Yes",U65="Yes"),1,0)+IF(W65="Yes",1,0)+IF(X65="Approved",1,0))/4,2))</x:f>
      </x:c>
      <x:c r="Z65" s="15" t="str">
        <x:f>IF(COUNTA(C65:M65,O65:X65)=0,"",TEXTJOIN("; ",TRUE,IF(C65="","Missing work date",""),IF(D65="","Missing project",""),IF(F65="","Missing crew",""),IF(O65="","Missing labor hours",""),IF(P65="","Missing production qty",""),IF(AND(R65="Yes",OR(S65="",S65&lt;=0)),"Missing photo proof",""),IF(AND(T65="Yes",U65&lt;&gt;"Yes"),"Missing redline",""),IF(V65="Yes","Safety follow-up",""),IF(W65&lt;&gt;"Yes","Missing customer signoff",""),IF(X65&lt;&gt;"Approved","Office not approved",""),IF(N65&lt;=0,"Bad shift hours","")))</x:f>
      </x:c>
      <x:c r="AA65" s="15" t="str">
        <x:f>IF(COUNTA(C65:M65,O65:X65)=0,"",IF(Z65="","Yes","No"))</x:f>
      </x:c>
      <x:c r="AB65" s="15"/>
    </x:row>
    <x:row r="66" ht="20" customHeight="1">
      <x:c r="A66" s="15"/>
      <x:c r="B66" s="122"/>
      <x:c r="C66" s="28"/>
      <x:c r="D66" s="15"/>
      <x:c r="E66" s="15"/>
      <x:c r="F66" s="15"/>
      <x:c r="G66" s="15"/>
      <x:c r="H66" s="15"/>
      <x:c r="I66" s="15"/>
      <x:c r="J66" s="15"/>
      <x:c r="K66" s="15"/>
      <x:c r="L66" s="134"/>
      <x:c r="M66" s="134"/>
      <x:c r="N66" s="136" t="str">
        <x:f>IF(OR(L66="",M66=""),"",MAX(0,(M66-L66)*24))</x:f>
      </x:c>
      <x:c r="O66" s="136"/>
      <x:c r="P66" s="138"/>
      <x:c r="Q66" s="15"/>
      <x:c r="R66" s="15"/>
      <x:c r="S66" s="15"/>
      <x:c r="T66" s="15"/>
      <x:c r="U66" s="15"/>
      <x:c r="V66" s="15"/>
      <x:c r="W66" s="15"/>
      <x:c r="X66" s="15"/>
      <x:c r="Y66" s="140" t="str">
        <x:f>IF(COUNTA(C66:M66,O66:X66)=0,"",ROUND((IF(OR(R66&lt;&gt;"Yes",S66&gt;0),1,0)+IF(OR(T66&lt;&gt;"Yes",U66="Yes"),1,0)+IF(W66="Yes",1,0)+IF(X66="Approved",1,0))/4,2))</x:f>
      </x:c>
      <x:c r="Z66" s="15" t="str">
        <x:f>IF(COUNTA(C66:M66,O66:X66)=0,"",TEXTJOIN("; ",TRUE,IF(C66="","Missing work date",""),IF(D66="","Missing project",""),IF(F66="","Missing crew",""),IF(O66="","Missing labor hours",""),IF(P66="","Missing production qty",""),IF(AND(R66="Yes",OR(S66="",S66&lt;=0)),"Missing photo proof",""),IF(AND(T66="Yes",U66&lt;&gt;"Yes"),"Missing redline",""),IF(V66="Yes","Safety follow-up",""),IF(W66&lt;&gt;"Yes","Missing customer signoff",""),IF(X66&lt;&gt;"Approved","Office not approved",""),IF(N66&lt;=0,"Bad shift hours","")))</x:f>
      </x:c>
      <x:c r="AA66" s="15" t="str">
        <x:f>IF(COUNTA(C66:M66,O66:X66)=0,"",IF(Z66="","Yes","No"))</x:f>
      </x:c>
      <x:c r="AB66" s="15"/>
    </x:row>
    <x:row r="67" ht="20" customHeight="1">
      <x:c r="A67" s="15"/>
      <x:c r="B67" s="122"/>
      <x:c r="C67" s="28"/>
      <x:c r="D67" s="15"/>
      <x:c r="E67" s="15"/>
      <x:c r="F67" s="15"/>
      <x:c r="G67" s="15"/>
      <x:c r="H67" s="15"/>
      <x:c r="I67" s="15"/>
      <x:c r="J67" s="15"/>
      <x:c r="K67" s="15"/>
      <x:c r="L67" s="134"/>
      <x:c r="M67" s="134"/>
      <x:c r="N67" s="136" t="str">
        <x:f>IF(OR(L67="",M67=""),"",MAX(0,(M67-L67)*24))</x:f>
      </x:c>
      <x:c r="O67" s="136"/>
      <x:c r="P67" s="138"/>
      <x:c r="Q67" s="15"/>
      <x:c r="R67" s="15"/>
      <x:c r="S67" s="15"/>
      <x:c r="T67" s="15"/>
      <x:c r="U67" s="15"/>
      <x:c r="V67" s="15"/>
      <x:c r="W67" s="15"/>
      <x:c r="X67" s="15"/>
      <x:c r="Y67" s="140" t="str">
        <x:f>IF(COUNTA(C67:M67,O67:X67)=0,"",ROUND((IF(OR(R67&lt;&gt;"Yes",S67&gt;0),1,0)+IF(OR(T67&lt;&gt;"Yes",U67="Yes"),1,0)+IF(W67="Yes",1,0)+IF(X67="Approved",1,0))/4,2))</x:f>
      </x:c>
      <x:c r="Z67" s="15" t="str">
        <x:f>IF(COUNTA(C67:M67,O67:X67)=0,"",TEXTJOIN("; ",TRUE,IF(C67="","Missing work date",""),IF(D67="","Missing project",""),IF(F67="","Missing crew",""),IF(O67="","Missing labor hours",""),IF(P67="","Missing production qty",""),IF(AND(R67="Yes",OR(S67="",S67&lt;=0)),"Missing photo proof",""),IF(AND(T67="Yes",U67&lt;&gt;"Yes"),"Missing redline",""),IF(V67="Yes","Safety follow-up",""),IF(W67&lt;&gt;"Yes","Missing customer signoff",""),IF(X67&lt;&gt;"Approved","Office not approved",""),IF(N67&lt;=0,"Bad shift hours","")))</x:f>
      </x:c>
      <x:c r="AA67" s="15" t="str">
        <x:f>IF(COUNTA(C67:M67,O67:X67)=0,"",IF(Z67="","Yes","No"))</x:f>
      </x:c>
      <x:c r="AB67" s="15"/>
    </x:row>
    <x:row r="68" ht="20" customHeight="1">
      <x:c r="A68" s="15"/>
      <x:c r="B68" s="122"/>
      <x:c r="C68" s="28"/>
      <x:c r="D68" s="15"/>
      <x:c r="E68" s="15"/>
      <x:c r="F68" s="15"/>
      <x:c r="G68" s="15"/>
      <x:c r="H68" s="15"/>
      <x:c r="I68" s="15"/>
      <x:c r="J68" s="15"/>
      <x:c r="K68" s="15"/>
      <x:c r="L68" s="134"/>
      <x:c r="M68" s="134"/>
      <x:c r="N68" s="136" t="str">
        <x:f>IF(OR(L68="",M68=""),"",MAX(0,(M68-L68)*24))</x:f>
      </x:c>
      <x:c r="O68" s="136"/>
      <x:c r="P68" s="138"/>
      <x:c r="Q68" s="15"/>
      <x:c r="R68" s="15"/>
      <x:c r="S68" s="15"/>
      <x:c r="T68" s="15"/>
      <x:c r="U68" s="15"/>
      <x:c r="V68" s="15"/>
      <x:c r="W68" s="15"/>
      <x:c r="X68" s="15"/>
      <x:c r="Y68" s="140" t="str">
        <x:f>IF(COUNTA(C68:M68,O68:X68)=0,"",ROUND((IF(OR(R68&lt;&gt;"Yes",S68&gt;0),1,0)+IF(OR(T68&lt;&gt;"Yes",U68="Yes"),1,0)+IF(W68="Yes",1,0)+IF(X68="Approved",1,0))/4,2))</x:f>
      </x:c>
      <x:c r="Z68" s="15" t="str">
        <x:f>IF(COUNTA(C68:M68,O68:X68)=0,"",TEXTJOIN("; ",TRUE,IF(C68="","Missing work date",""),IF(D68="","Missing project",""),IF(F68="","Missing crew",""),IF(O68="","Missing labor hours",""),IF(P68="","Missing production qty",""),IF(AND(R68="Yes",OR(S68="",S68&lt;=0)),"Missing photo proof",""),IF(AND(T68="Yes",U68&lt;&gt;"Yes"),"Missing redline",""),IF(V68="Yes","Safety follow-up",""),IF(W68&lt;&gt;"Yes","Missing customer signoff",""),IF(X68&lt;&gt;"Approved","Office not approved",""),IF(N68&lt;=0,"Bad shift hours","")))</x:f>
      </x:c>
      <x:c r="AA68" s="15" t="str">
        <x:f>IF(COUNTA(C68:M68,O68:X68)=0,"",IF(Z68="","Yes","No"))</x:f>
      </x:c>
      <x:c r="AB68" s="15"/>
    </x:row>
    <x:row r="69" ht="20" customHeight="1">
      <x:c r="A69" s="15"/>
      <x:c r="B69" s="122"/>
      <x:c r="C69" s="28"/>
      <x:c r="D69" s="15"/>
      <x:c r="E69" s="15"/>
      <x:c r="F69" s="15"/>
      <x:c r="G69" s="15"/>
      <x:c r="H69" s="15"/>
      <x:c r="I69" s="15"/>
      <x:c r="J69" s="15"/>
      <x:c r="K69" s="15"/>
      <x:c r="L69" s="134"/>
      <x:c r="M69" s="134"/>
      <x:c r="N69" s="136" t="str">
        <x:f>IF(OR(L69="",M69=""),"",MAX(0,(M69-L69)*24))</x:f>
      </x:c>
      <x:c r="O69" s="136"/>
      <x:c r="P69" s="138"/>
      <x:c r="Q69" s="15"/>
      <x:c r="R69" s="15"/>
      <x:c r="S69" s="15"/>
      <x:c r="T69" s="15"/>
      <x:c r="U69" s="15"/>
      <x:c r="V69" s="15"/>
      <x:c r="W69" s="15"/>
      <x:c r="X69" s="15"/>
      <x:c r="Y69" s="140" t="str">
        <x:f>IF(COUNTA(C69:M69,O69:X69)=0,"",ROUND((IF(OR(R69&lt;&gt;"Yes",S69&gt;0),1,0)+IF(OR(T69&lt;&gt;"Yes",U69="Yes"),1,0)+IF(W69="Yes",1,0)+IF(X69="Approved",1,0))/4,2))</x:f>
      </x:c>
      <x:c r="Z69" s="15" t="str">
        <x:f>IF(COUNTA(C69:M69,O69:X69)=0,"",TEXTJOIN("; ",TRUE,IF(C69="","Missing work date",""),IF(D69="","Missing project",""),IF(F69="","Missing crew",""),IF(O69="","Missing labor hours",""),IF(P69="","Missing production qty",""),IF(AND(R69="Yes",OR(S69="",S69&lt;=0)),"Missing photo proof",""),IF(AND(T69="Yes",U69&lt;&gt;"Yes"),"Missing redline",""),IF(V69="Yes","Safety follow-up",""),IF(W69&lt;&gt;"Yes","Missing customer signoff",""),IF(X69&lt;&gt;"Approved","Office not approved",""),IF(N69&lt;=0,"Bad shift hours","")))</x:f>
      </x:c>
      <x:c r="AA69" s="15" t="str">
        <x:f>IF(COUNTA(C69:M69,O69:X69)=0,"",IF(Z69="","Yes","No"))</x:f>
      </x:c>
      <x:c r="AB69" s="15"/>
    </x:row>
    <x:row r="70" ht="20" customHeight="1">
      <x:c r="A70" s="15"/>
      <x:c r="B70" s="122"/>
      <x:c r="C70" s="28"/>
      <x:c r="D70" s="15"/>
      <x:c r="E70" s="15"/>
      <x:c r="F70" s="15"/>
      <x:c r="G70" s="15"/>
      <x:c r="H70" s="15"/>
      <x:c r="I70" s="15"/>
      <x:c r="J70" s="15"/>
      <x:c r="K70" s="15"/>
      <x:c r="L70" s="134"/>
      <x:c r="M70" s="134"/>
      <x:c r="N70" s="136" t="str">
        <x:f>IF(OR(L70="",M70=""),"",MAX(0,(M70-L70)*24))</x:f>
      </x:c>
      <x:c r="O70" s="136"/>
      <x:c r="P70" s="138"/>
      <x:c r="Q70" s="15"/>
      <x:c r="R70" s="15"/>
      <x:c r="S70" s="15"/>
      <x:c r="T70" s="15"/>
      <x:c r="U70" s="15"/>
      <x:c r="V70" s="15"/>
      <x:c r="W70" s="15"/>
      <x:c r="X70" s="15"/>
      <x:c r="Y70" s="140" t="str">
        <x:f>IF(COUNTA(C70:M70,O70:X70)=0,"",ROUND((IF(OR(R70&lt;&gt;"Yes",S70&gt;0),1,0)+IF(OR(T70&lt;&gt;"Yes",U70="Yes"),1,0)+IF(W70="Yes",1,0)+IF(X70="Approved",1,0))/4,2))</x:f>
      </x:c>
      <x:c r="Z70" s="15" t="str">
        <x:f>IF(COUNTA(C70:M70,O70:X70)=0,"",TEXTJOIN("; ",TRUE,IF(C70="","Missing work date",""),IF(D70="","Missing project",""),IF(F70="","Missing crew",""),IF(O70="","Missing labor hours",""),IF(P70="","Missing production qty",""),IF(AND(R70="Yes",OR(S70="",S70&lt;=0)),"Missing photo proof",""),IF(AND(T70="Yes",U70&lt;&gt;"Yes"),"Missing redline",""),IF(V70="Yes","Safety follow-up",""),IF(W70&lt;&gt;"Yes","Missing customer signoff",""),IF(X70&lt;&gt;"Approved","Office not approved",""),IF(N70&lt;=0,"Bad shift hours","")))</x:f>
      </x:c>
      <x:c r="AA70" s="15" t="str">
        <x:f>IF(COUNTA(C70:M70,O70:X70)=0,"",IF(Z70="","Yes","No"))</x:f>
      </x:c>
      <x:c r="AB70" s="15"/>
    </x:row>
    <x:row r="71" ht="20" customHeight="1">
      <x:c r="A71" s="15"/>
      <x:c r="B71" s="122"/>
      <x:c r="C71" s="28"/>
      <x:c r="D71" s="15"/>
      <x:c r="E71" s="15"/>
      <x:c r="F71" s="15"/>
      <x:c r="G71" s="15"/>
      <x:c r="H71" s="15"/>
      <x:c r="I71" s="15"/>
      <x:c r="J71" s="15"/>
      <x:c r="K71" s="15"/>
      <x:c r="L71" s="134"/>
      <x:c r="M71" s="134"/>
      <x:c r="N71" s="136" t="str">
        <x:f>IF(OR(L71="",M71=""),"",MAX(0,(M71-L71)*24))</x:f>
      </x:c>
      <x:c r="O71" s="136"/>
      <x:c r="P71" s="138"/>
      <x:c r="Q71" s="15"/>
      <x:c r="R71" s="15"/>
      <x:c r="S71" s="15"/>
      <x:c r="T71" s="15"/>
      <x:c r="U71" s="15"/>
      <x:c r="V71" s="15"/>
      <x:c r="W71" s="15"/>
      <x:c r="X71" s="15"/>
      <x:c r="Y71" s="140" t="str">
        <x:f>IF(COUNTA(C71:M71,O71:X71)=0,"",ROUND((IF(OR(R71&lt;&gt;"Yes",S71&gt;0),1,0)+IF(OR(T71&lt;&gt;"Yes",U71="Yes"),1,0)+IF(W71="Yes",1,0)+IF(X71="Approved",1,0))/4,2))</x:f>
      </x:c>
      <x:c r="Z71" s="15" t="str">
        <x:f>IF(COUNTA(C71:M71,O71:X71)=0,"",TEXTJOIN("; ",TRUE,IF(C71="","Missing work date",""),IF(D71="","Missing project",""),IF(F71="","Missing crew",""),IF(O71="","Missing labor hours",""),IF(P71="","Missing production qty",""),IF(AND(R71="Yes",OR(S71="",S71&lt;=0)),"Missing photo proof",""),IF(AND(T71="Yes",U71&lt;&gt;"Yes"),"Missing redline",""),IF(V71="Yes","Safety follow-up",""),IF(W71&lt;&gt;"Yes","Missing customer signoff",""),IF(X71&lt;&gt;"Approved","Office not approved",""),IF(N71&lt;=0,"Bad shift hours","")))</x:f>
      </x:c>
      <x:c r="AA71" s="15" t="str">
        <x:f>IF(COUNTA(C71:M71,O71:X71)=0,"",IF(Z71="","Yes","No"))</x:f>
      </x:c>
      <x:c r="AB71" s="15"/>
    </x:row>
    <x:row r="72" ht="20" customHeight="1">
      <x:c r="A72" s="15"/>
      <x:c r="B72" s="122"/>
      <x:c r="C72" s="28"/>
      <x:c r="D72" s="15"/>
      <x:c r="E72" s="15"/>
      <x:c r="F72" s="15"/>
      <x:c r="G72" s="15"/>
      <x:c r="H72" s="15"/>
      <x:c r="I72" s="15"/>
      <x:c r="J72" s="15"/>
      <x:c r="K72" s="15"/>
      <x:c r="L72" s="134"/>
      <x:c r="M72" s="134"/>
      <x:c r="N72" s="136" t="str">
        <x:f>IF(OR(L72="",M72=""),"",MAX(0,(M72-L72)*24))</x:f>
      </x:c>
      <x:c r="O72" s="136"/>
      <x:c r="P72" s="138"/>
      <x:c r="Q72" s="15"/>
      <x:c r="R72" s="15"/>
      <x:c r="S72" s="15"/>
      <x:c r="T72" s="15"/>
      <x:c r="U72" s="15"/>
      <x:c r="V72" s="15"/>
      <x:c r="W72" s="15"/>
      <x:c r="X72" s="15"/>
      <x:c r="Y72" s="140" t="str">
        <x:f>IF(COUNTA(C72:M72,O72:X72)=0,"",ROUND((IF(OR(R72&lt;&gt;"Yes",S72&gt;0),1,0)+IF(OR(T72&lt;&gt;"Yes",U72="Yes"),1,0)+IF(W72="Yes",1,0)+IF(X72="Approved",1,0))/4,2))</x:f>
      </x:c>
      <x:c r="Z72" s="15" t="str">
        <x:f>IF(COUNTA(C72:M72,O72:X72)=0,"",TEXTJOIN("; ",TRUE,IF(C72="","Missing work date",""),IF(D72="","Missing project",""),IF(F72="","Missing crew",""),IF(O72="","Missing labor hours",""),IF(P72="","Missing production qty",""),IF(AND(R72="Yes",OR(S72="",S72&lt;=0)),"Missing photo proof",""),IF(AND(T72="Yes",U72&lt;&gt;"Yes"),"Missing redline",""),IF(V72="Yes","Safety follow-up",""),IF(W72&lt;&gt;"Yes","Missing customer signoff",""),IF(X72&lt;&gt;"Approved","Office not approved",""),IF(N72&lt;=0,"Bad shift hours","")))</x:f>
      </x:c>
      <x:c r="AA72" s="15" t="str">
        <x:f>IF(COUNTA(C72:M72,O72:X72)=0,"",IF(Z72="","Yes","No"))</x:f>
      </x:c>
      <x:c r="AB72" s="15"/>
    </x:row>
    <x:row r="73" ht="20" customHeight="1">
      <x:c r="A73" s="15"/>
      <x:c r="B73" s="122"/>
      <x:c r="C73" s="28"/>
      <x:c r="D73" s="15"/>
      <x:c r="E73" s="15"/>
      <x:c r="F73" s="15"/>
      <x:c r="G73" s="15"/>
      <x:c r="H73" s="15"/>
      <x:c r="I73" s="15"/>
      <x:c r="J73" s="15"/>
      <x:c r="K73" s="15"/>
      <x:c r="L73" s="134"/>
      <x:c r="M73" s="134"/>
      <x:c r="N73" s="136" t="str">
        <x:f>IF(OR(L73="",M73=""),"",MAX(0,(M73-L73)*24))</x:f>
      </x:c>
      <x:c r="O73" s="136"/>
      <x:c r="P73" s="138"/>
      <x:c r="Q73" s="15"/>
      <x:c r="R73" s="15"/>
      <x:c r="S73" s="15"/>
      <x:c r="T73" s="15"/>
      <x:c r="U73" s="15"/>
      <x:c r="V73" s="15"/>
      <x:c r="W73" s="15"/>
      <x:c r="X73" s="15"/>
      <x:c r="Y73" s="140" t="str">
        <x:f>IF(COUNTA(C73:M73,O73:X73)=0,"",ROUND((IF(OR(R73&lt;&gt;"Yes",S73&gt;0),1,0)+IF(OR(T73&lt;&gt;"Yes",U73="Yes"),1,0)+IF(W73="Yes",1,0)+IF(X73="Approved",1,0))/4,2))</x:f>
      </x:c>
      <x:c r="Z73" s="15" t="str">
        <x:f>IF(COUNTA(C73:M73,O73:X73)=0,"",TEXTJOIN("; ",TRUE,IF(C73="","Missing work date",""),IF(D73="","Missing project",""),IF(F73="","Missing crew",""),IF(O73="","Missing labor hours",""),IF(P73="","Missing production qty",""),IF(AND(R73="Yes",OR(S73="",S73&lt;=0)),"Missing photo proof",""),IF(AND(T73="Yes",U73&lt;&gt;"Yes"),"Missing redline",""),IF(V73="Yes","Safety follow-up",""),IF(W73&lt;&gt;"Yes","Missing customer signoff",""),IF(X73&lt;&gt;"Approved","Office not approved",""),IF(N73&lt;=0,"Bad shift hours","")))</x:f>
      </x:c>
      <x:c r="AA73" s="15" t="str">
        <x:f>IF(COUNTA(C73:M73,O73:X73)=0,"",IF(Z73="","Yes","No"))</x:f>
      </x:c>
      <x:c r="AB73" s="15"/>
    </x:row>
    <x:row r="74" ht="20" customHeight="1">
      <x:c r="A74" s="15"/>
      <x:c r="B74" s="122"/>
      <x:c r="C74" s="28"/>
      <x:c r="D74" s="15"/>
      <x:c r="E74" s="15"/>
      <x:c r="F74" s="15"/>
      <x:c r="G74" s="15"/>
      <x:c r="H74" s="15"/>
      <x:c r="I74" s="15"/>
      <x:c r="J74" s="15"/>
      <x:c r="K74" s="15"/>
      <x:c r="L74" s="134"/>
      <x:c r="M74" s="134"/>
      <x:c r="N74" s="136" t="str">
        <x:f>IF(OR(L74="",M74=""),"",MAX(0,(M74-L74)*24))</x:f>
      </x:c>
      <x:c r="O74" s="136"/>
      <x:c r="P74" s="138"/>
      <x:c r="Q74" s="15"/>
      <x:c r="R74" s="15"/>
      <x:c r="S74" s="15"/>
      <x:c r="T74" s="15"/>
      <x:c r="U74" s="15"/>
      <x:c r="V74" s="15"/>
      <x:c r="W74" s="15"/>
      <x:c r="X74" s="15"/>
      <x:c r="Y74" s="140" t="str">
        <x:f>IF(COUNTA(C74:M74,O74:X74)=0,"",ROUND((IF(OR(R74&lt;&gt;"Yes",S74&gt;0),1,0)+IF(OR(T74&lt;&gt;"Yes",U74="Yes"),1,0)+IF(W74="Yes",1,0)+IF(X74="Approved",1,0))/4,2))</x:f>
      </x:c>
      <x:c r="Z74" s="15" t="str">
        <x:f>IF(COUNTA(C74:M74,O74:X74)=0,"",TEXTJOIN("; ",TRUE,IF(C74="","Missing work date",""),IF(D74="","Missing project",""),IF(F74="","Missing crew",""),IF(O74="","Missing labor hours",""),IF(P74="","Missing production qty",""),IF(AND(R74="Yes",OR(S74="",S74&lt;=0)),"Missing photo proof",""),IF(AND(T74="Yes",U74&lt;&gt;"Yes"),"Missing redline",""),IF(V74="Yes","Safety follow-up",""),IF(W74&lt;&gt;"Yes","Missing customer signoff",""),IF(X74&lt;&gt;"Approved","Office not approved",""),IF(N74&lt;=0,"Bad shift hours","")))</x:f>
      </x:c>
      <x:c r="AA74" s="15" t="str">
        <x:f>IF(COUNTA(C74:M74,O74:X74)=0,"",IF(Z74="","Yes","No"))</x:f>
      </x:c>
      <x:c r="AB74" s="15"/>
    </x:row>
    <x:row r="75" ht="20" customHeight="1">
      <x:c r="A75" s="15"/>
      <x:c r="B75" s="122"/>
      <x:c r="C75" s="28"/>
      <x:c r="D75" s="15"/>
      <x:c r="E75" s="15"/>
      <x:c r="F75" s="15"/>
      <x:c r="G75" s="15"/>
      <x:c r="H75" s="15"/>
      <x:c r="I75" s="15"/>
      <x:c r="J75" s="15"/>
      <x:c r="K75" s="15"/>
      <x:c r="L75" s="134"/>
      <x:c r="M75" s="134"/>
      <x:c r="N75" s="136" t="str">
        <x:f>IF(OR(L75="",M75=""),"",MAX(0,(M75-L75)*24))</x:f>
      </x:c>
      <x:c r="O75" s="136"/>
      <x:c r="P75" s="138"/>
      <x:c r="Q75" s="15"/>
      <x:c r="R75" s="15"/>
      <x:c r="S75" s="15"/>
      <x:c r="T75" s="15"/>
      <x:c r="U75" s="15"/>
      <x:c r="V75" s="15"/>
      <x:c r="W75" s="15"/>
      <x:c r="X75" s="15"/>
      <x:c r="Y75" s="140" t="str">
        <x:f>IF(COUNTA(C75:M75,O75:X75)=0,"",ROUND((IF(OR(R75&lt;&gt;"Yes",S75&gt;0),1,0)+IF(OR(T75&lt;&gt;"Yes",U75="Yes"),1,0)+IF(W75="Yes",1,0)+IF(X75="Approved",1,0))/4,2))</x:f>
      </x:c>
      <x:c r="Z75" s="15" t="str">
        <x:f>IF(COUNTA(C75:M75,O75:X75)=0,"",TEXTJOIN("; ",TRUE,IF(C75="","Missing work date",""),IF(D75="","Missing project",""),IF(F75="","Missing crew",""),IF(O75="","Missing labor hours",""),IF(P75="","Missing production qty",""),IF(AND(R75="Yes",OR(S75="",S75&lt;=0)),"Missing photo proof",""),IF(AND(T75="Yes",U75&lt;&gt;"Yes"),"Missing redline",""),IF(V75="Yes","Safety follow-up",""),IF(W75&lt;&gt;"Yes","Missing customer signoff",""),IF(X75&lt;&gt;"Approved","Office not approved",""),IF(N75&lt;=0,"Bad shift hours","")))</x:f>
      </x:c>
      <x:c r="AA75" s="15" t="str">
        <x:f>IF(COUNTA(C75:M75,O75:X75)=0,"",IF(Z75="","Yes","No"))</x:f>
      </x:c>
      <x:c r="AB75" s="15"/>
    </x:row>
    <x:row r="76" ht="20" customHeight="1">
      <x:c r="A76" s="15"/>
      <x:c r="B76" s="122"/>
      <x:c r="C76" s="28"/>
      <x:c r="D76" s="15"/>
      <x:c r="E76" s="15"/>
      <x:c r="F76" s="15"/>
      <x:c r="G76" s="15"/>
      <x:c r="H76" s="15"/>
      <x:c r="I76" s="15"/>
      <x:c r="J76" s="15"/>
      <x:c r="K76" s="15"/>
      <x:c r="L76" s="134"/>
      <x:c r="M76" s="134"/>
      <x:c r="N76" s="136" t="str">
        <x:f>IF(OR(L76="",M76=""),"",MAX(0,(M76-L76)*24))</x:f>
      </x:c>
      <x:c r="O76" s="136"/>
      <x:c r="P76" s="138"/>
      <x:c r="Q76" s="15"/>
      <x:c r="R76" s="15"/>
      <x:c r="S76" s="15"/>
      <x:c r="T76" s="15"/>
      <x:c r="U76" s="15"/>
      <x:c r="V76" s="15"/>
      <x:c r="W76" s="15"/>
      <x:c r="X76" s="15"/>
      <x:c r="Y76" s="140" t="str">
        <x:f>IF(COUNTA(C76:M76,O76:X76)=0,"",ROUND((IF(OR(R76&lt;&gt;"Yes",S76&gt;0),1,0)+IF(OR(T76&lt;&gt;"Yes",U76="Yes"),1,0)+IF(W76="Yes",1,0)+IF(X76="Approved",1,0))/4,2))</x:f>
      </x:c>
      <x:c r="Z76" s="15" t="str">
        <x:f>IF(COUNTA(C76:M76,O76:X76)=0,"",TEXTJOIN("; ",TRUE,IF(C76="","Missing work date",""),IF(D76="","Missing project",""),IF(F76="","Missing crew",""),IF(O76="","Missing labor hours",""),IF(P76="","Missing production qty",""),IF(AND(R76="Yes",OR(S76="",S76&lt;=0)),"Missing photo proof",""),IF(AND(T76="Yes",U76&lt;&gt;"Yes"),"Missing redline",""),IF(V76="Yes","Safety follow-up",""),IF(W76&lt;&gt;"Yes","Missing customer signoff",""),IF(X76&lt;&gt;"Approved","Office not approved",""),IF(N76&lt;=0,"Bad shift hours","")))</x:f>
      </x:c>
      <x:c r="AA76" s="15" t="str">
        <x:f>IF(COUNTA(C76:M76,O76:X76)=0,"",IF(Z76="","Yes","No"))</x:f>
      </x:c>
      <x:c r="AB76" s="15"/>
    </x:row>
    <x:row r="77" ht="20" customHeight="1">
      <x:c r="A77" s="15"/>
      <x:c r="B77" s="122"/>
      <x:c r="C77" s="28"/>
      <x:c r="D77" s="15"/>
      <x:c r="E77" s="15"/>
      <x:c r="F77" s="15"/>
      <x:c r="G77" s="15"/>
      <x:c r="H77" s="15"/>
      <x:c r="I77" s="15"/>
      <x:c r="J77" s="15"/>
      <x:c r="K77" s="15"/>
      <x:c r="L77" s="134"/>
      <x:c r="M77" s="134"/>
      <x:c r="N77" s="136" t="str">
        <x:f>IF(OR(L77="",M77=""),"",MAX(0,(M77-L77)*24))</x:f>
      </x:c>
      <x:c r="O77" s="136"/>
      <x:c r="P77" s="138"/>
      <x:c r="Q77" s="15"/>
      <x:c r="R77" s="15"/>
      <x:c r="S77" s="15"/>
      <x:c r="T77" s="15"/>
      <x:c r="U77" s="15"/>
      <x:c r="V77" s="15"/>
      <x:c r="W77" s="15"/>
      <x:c r="X77" s="15"/>
      <x:c r="Y77" s="140" t="str">
        <x:f>IF(COUNTA(C77:M77,O77:X77)=0,"",ROUND((IF(OR(R77&lt;&gt;"Yes",S77&gt;0),1,0)+IF(OR(T77&lt;&gt;"Yes",U77="Yes"),1,0)+IF(W77="Yes",1,0)+IF(X77="Approved",1,0))/4,2))</x:f>
      </x:c>
      <x:c r="Z77" s="15" t="str">
        <x:f>IF(COUNTA(C77:M77,O77:X77)=0,"",TEXTJOIN("; ",TRUE,IF(C77="","Missing work date",""),IF(D77="","Missing project",""),IF(F77="","Missing crew",""),IF(O77="","Missing labor hours",""),IF(P77="","Missing production qty",""),IF(AND(R77="Yes",OR(S77="",S77&lt;=0)),"Missing photo proof",""),IF(AND(T77="Yes",U77&lt;&gt;"Yes"),"Missing redline",""),IF(V77="Yes","Safety follow-up",""),IF(W77&lt;&gt;"Yes","Missing customer signoff",""),IF(X77&lt;&gt;"Approved","Office not approved",""),IF(N77&lt;=0,"Bad shift hours","")))</x:f>
      </x:c>
      <x:c r="AA77" s="15" t="str">
        <x:f>IF(COUNTA(C77:M77,O77:X77)=0,"",IF(Z77="","Yes","No"))</x:f>
      </x:c>
      <x:c r="AB77" s="15"/>
    </x:row>
    <x:row r="78" ht="20" customHeight="1">
      <x:c r="A78" s="15"/>
      <x:c r="B78" s="122"/>
      <x:c r="C78" s="28"/>
      <x:c r="D78" s="15"/>
      <x:c r="E78" s="15"/>
      <x:c r="F78" s="15"/>
      <x:c r="G78" s="15"/>
      <x:c r="H78" s="15"/>
      <x:c r="I78" s="15"/>
      <x:c r="J78" s="15"/>
      <x:c r="K78" s="15"/>
      <x:c r="L78" s="134"/>
      <x:c r="M78" s="134"/>
      <x:c r="N78" s="136" t="str">
        <x:f>IF(OR(L78="",M78=""),"",MAX(0,(M78-L78)*24))</x:f>
      </x:c>
      <x:c r="O78" s="136"/>
      <x:c r="P78" s="138"/>
      <x:c r="Q78" s="15"/>
      <x:c r="R78" s="15"/>
      <x:c r="S78" s="15"/>
      <x:c r="T78" s="15"/>
      <x:c r="U78" s="15"/>
      <x:c r="V78" s="15"/>
      <x:c r="W78" s="15"/>
      <x:c r="X78" s="15"/>
      <x:c r="Y78" s="140" t="str">
        <x:f>IF(COUNTA(C78:M78,O78:X78)=0,"",ROUND((IF(OR(R78&lt;&gt;"Yes",S78&gt;0),1,0)+IF(OR(T78&lt;&gt;"Yes",U78="Yes"),1,0)+IF(W78="Yes",1,0)+IF(X78="Approved",1,0))/4,2))</x:f>
      </x:c>
      <x:c r="Z78" s="15" t="str">
        <x:f>IF(COUNTA(C78:M78,O78:X78)=0,"",TEXTJOIN("; ",TRUE,IF(C78="","Missing work date",""),IF(D78="","Missing project",""),IF(F78="","Missing crew",""),IF(O78="","Missing labor hours",""),IF(P78="","Missing production qty",""),IF(AND(R78="Yes",OR(S78="",S78&lt;=0)),"Missing photo proof",""),IF(AND(T78="Yes",U78&lt;&gt;"Yes"),"Missing redline",""),IF(V78="Yes","Safety follow-up",""),IF(W78&lt;&gt;"Yes","Missing customer signoff",""),IF(X78&lt;&gt;"Approved","Office not approved",""),IF(N78&lt;=0,"Bad shift hours","")))</x:f>
      </x:c>
      <x:c r="AA78" s="15" t="str">
        <x:f>IF(COUNTA(C78:M78,O78:X78)=0,"",IF(Z78="","Yes","No"))</x:f>
      </x:c>
      <x:c r="AB78" s="15"/>
    </x:row>
    <x:row r="79" ht="20" customHeight="1">
      <x:c r="A79" s="15"/>
      <x:c r="B79" s="122"/>
      <x:c r="C79" s="28"/>
      <x:c r="D79" s="15"/>
      <x:c r="E79" s="15"/>
      <x:c r="F79" s="15"/>
      <x:c r="G79" s="15"/>
      <x:c r="H79" s="15"/>
      <x:c r="I79" s="15"/>
      <x:c r="J79" s="15"/>
      <x:c r="K79" s="15"/>
      <x:c r="L79" s="134"/>
      <x:c r="M79" s="134"/>
      <x:c r="N79" s="136" t="str">
        <x:f>IF(OR(L79="",M79=""),"",MAX(0,(M79-L79)*24))</x:f>
      </x:c>
      <x:c r="O79" s="136"/>
      <x:c r="P79" s="138"/>
      <x:c r="Q79" s="15"/>
      <x:c r="R79" s="15"/>
      <x:c r="S79" s="15"/>
      <x:c r="T79" s="15"/>
      <x:c r="U79" s="15"/>
      <x:c r="V79" s="15"/>
      <x:c r="W79" s="15"/>
      <x:c r="X79" s="15"/>
      <x:c r="Y79" s="140" t="str">
        <x:f>IF(COUNTA(C79:M79,O79:X79)=0,"",ROUND((IF(OR(R79&lt;&gt;"Yes",S79&gt;0),1,0)+IF(OR(T79&lt;&gt;"Yes",U79="Yes"),1,0)+IF(W79="Yes",1,0)+IF(X79="Approved",1,0))/4,2))</x:f>
      </x:c>
      <x:c r="Z79" s="15" t="str">
        <x:f>IF(COUNTA(C79:M79,O79:X79)=0,"",TEXTJOIN("; ",TRUE,IF(C79="","Missing work date",""),IF(D79="","Missing project",""),IF(F79="","Missing crew",""),IF(O79="","Missing labor hours",""),IF(P79="","Missing production qty",""),IF(AND(R79="Yes",OR(S79="",S79&lt;=0)),"Missing photo proof",""),IF(AND(T79="Yes",U79&lt;&gt;"Yes"),"Missing redline",""),IF(V79="Yes","Safety follow-up",""),IF(W79&lt;&gt;"Yes","Missing customer signoff",""),IF(X79&lt;&gt;"Approved","Office not approved",""),IF(N79&lt;=0,"Bad shift hours","")))</x:f>
      </x:c>
      <x:c r="AA79" s="15" t="str">
        <x:f>IF(COUNTA(C79:M79,O79:X79)=0,"",IF(Z79="","Yes","No"))</x:f>
      </x:c>
      <x:c r="AB79" s="15"/>
    </x:row>
    <x:row r="80" ht="20" customHeight="1">
      <x:c r="A80" s="15"/>
      <x:c r="B80" s="122"/>
      <x:c r="C80" s="28"/>
      <x:c r="D80" s="15"/>
      <x:c r="E80" s="15"/>
      <x:c r="F80" s="15"/>
      <x:c r="G80" s="15"/>
      <x:c r="H80" s="15"/>
      <x:c r="I80" s="15"/>
      <x:c r="J80" s="15"/>
      <x:c r="K80" s="15"/>
      <x:c r="L80" s="134"/>
      <x:c r="M80" s="134"/>
      <x:c r="N80" s="136" t="str">
        <x:f>IF(OR(L80="",M80=""),"",MAX(0,(M80-L80)*24))</x:f>
      </x:c>
      <x:c r="O80" s="136"/>
      <x:c r="P80" s="138"/>
      <x:c r="Q80" s="15"/>
      <x:c r="R80" s="15"/>
      <x:c r="S80" s="15"/>
      <x:c r="T80" s="15"/>
      <x:c r="U80" s="15"/>
      <x:c r="V80" s="15"/>
      <x:c r="W80" s="15"/>
      <x:c r="X80" s="15"/>
      <x:c r="Y80" s="140" t="str">
        <x:f>IF(COUNTA(C80:M80,O80:X80)=0,"",ROUND((IF(OR(R80&lt;&gt;"Yes",S80&gt;0),1,0)+IF(OR(T80&lt;&gt;"Yes",U80="Yes"),1,0)+IF(W80="Yes",1,0)+IF(X80="Approved",1,0))/4,2))</x:f>
      </x:c>
      <x:c r="Z80" s="15" t="str">
        <x:f>IF(COUNTA(C80:M80,O80:X80)=0,"",TEXTJOIN("; ",TRUE,IF(C80="","Missing work date",""),IF(D80="","Missing project",""),IF(F80="","Missing crew",""),IF(O80="","Missing labor hours",""),IF(P80="","Missing production qty",""),IF(AND(R80="Yes",OR(S80="",S80&lt;=0)),"Missing photo proof",""),IF(AND(T80="Yes",U80&lt;&gt;"Yes"),"Missing redline",""),IF(V80="Yes","Safety follow-up",""),IF(W80&lt;&gt;"Yes","Missing customer signoff",""),IF(X80&lt;&gt;"Approved","Office not approved",""),IF(N80&lt;=0,"Bad shift hours","")))</x:f>
      </x:c>
      <x:c r="AA80" s="15" t="str">
        <x:f>IF(COUNTA(C80:M80,O80:X80)=0,"",IF(Z80="","Yes","No"))</x:f>
      </x:c>
      <x:c r="AB80" s="15"/>
    </x:row>
    <x:row r="81" ht="20" customHeight="1">
      <x:c r="A81" s="15"/>
      <x:c r="B81" s="122"/>
      <x:c r="C81" s="28"/>
      <x:c r="D81" s="15"/>
      <x:c r="E81" s="15"/>
      <x:c r="F81" s="15"/>
      <x:c r="G81" s="15"/>
      <x:c r="H81" s="15"/>
      <x:c r="I81" s="15"/>
      <x:c r="J81" s="15"/>
      <x:c r="K81" s="15"/>
      <x:c r="L81" s="134"/>
      <x:c r="M81" s="134"/>
      <x:c r="N81" s="136" t="str">
        <x:f>IF(OR(L81="",M81=""),"",MAX(0,(M81-L81)*24))</x:f>
      </x:c>
      <x:c r="O81" s="136"/>
      <x:c r="P81" s="138"/>
      <x:c r="Q81" s="15"/>
      <x:c r="R81" s="15"/>
      <x:c r="S81" s="15"/>
      <x:c r="T81" s="15"/>
      <x:c r="U81" s="15"/>
      <x:c r="V81" s="15"/>
      <x:c r="W81" s="15"/>
      <x:c r="X81" s="15"/>
      <x:c r="Y81" s="140" t="str">
        <x:f>IF(COUNTA(C81:M81,O81:X81)=0,"",ROUND((IF(OR(R81&lt;&gt;"Yes",S81&gt;0),1,0)+IF(OR(T81&lt;&gt;"Yes",U81="Yes"),1,0)+IF(W81="Yes",1,0)+IF(X81="Approved",1,0))/4,2))</x:f>
      </x:c>
      <x:c r="Z81" s="15" t="str">
        <x:f>IF(COUNTA(C81:M81,O81:X81)=0,"",TEXTJOIN("; ",TRUE,IF(C81="","Missing work date",""),IF(D81="","Missing project",""),IF(F81="","Missing crew",""),IF(O81="","Missing labor hours",""),IF(P81="","Missing production qty",""),IF(AND(R81="Yes",OR(S81="",S81&lt;=0)),"Missing photo proof",""),IF(AND(T81="Yes",U81&lt;&gt;"Yes"),"Missing redline",""),IF(V81="Yes","Safety follow-up",""),IF(W81&lt;&gt;"Yes","Missing customer signoff",""),IF(X81&lt;&gt;"Approved","Office not approved",""),IF(N81&lt;=0,"Bad shift hours","")))</x:f>
      </x:c>
      <x:c r="AA81" s="15" t="str">
        <x:f>IF(COUNTA(C81:M81,O81:X81)=0,"",IF(Z81="","Yes","No"))</x:f>
      </x:c>
      <x:c r="AB81" s="15"/>
    </x:row>
    <x:row r="82" ht="20" customHeight="1">
      <x:c r="A82" s="15"/>
      <x:c r="B82" s="122"/>
      <x:c r="C82" s="28"/>
      <x:c r="D82" s="15"/>
      <x:c r="E82" s="15"/>
      <x:c r="F82" s="15"/>
      <x:c r="G82" s="15"/>
      <x:c r="H82" s="15"/>
      <x:c r="I82" s="15"/>
      <x:c r="J82" s="15"/>
      <x:c r="K82" s="15"/>
      <x:c r="L82" s="134"/>
      <x:c r="M82" s="134"/>
      <x:c r="N82" s="136" t="str">
        <x:f>IF(OR(L82="",M82=""),"",MAX(0,(M82-L82)*24))</x:f>
      </x:c>
      <x:c r="O82" s="136"/>
      <x:c r="P82" s="138"/>
      <x:c r="Q82" s="15"/>
      <x:c r="R82" s="15"/>
      <x:c r="S82" s="15"/>
      <x:c r="T82" s="15"/>
      <x:c r="U82" s="15"/>
      <x:c r="V82" s="15"/>
      <x:c r="W82" s="15"/>
      <x:c r="X82" s="15"/>
      <x:c r="Y82" s="140" t="str">
        <x:f>IF(COUNTA(C82:M82,O82:X82)=0,"",ROUND((IF(OR(R82&lt;&gt;"Yes",S82&gt;0),1,0)+IF(OR(T82&lt;&gt;"Yes",U82="Yes"),1,0)+IF(W82="Yes",1,0)+IF(X82="Approved",1,0))/4,2))</x:f>
      </x:c>
      <x:c r="Z82" s="15" t="str">
        <x:f>IF(COUNTA(C82:M82,O82:X82)=0,"",TEXTJOIN("; ",TRUE,IF(C82="","Missing work date",""),IF(D82="","Missing project",""),IF(F82="","Missing crew",""),IF(O82="","Missing labor hours",""),IF(P82="","Missing production qty",""),IF(AND(R82="Yes",OR(S82="",S82&lt;=0)),"Missing photo proof",""),IF(AND(T82="Yes",U82&lt;&gt;"Yes"),"Missing redline",""),IF(V82="Yes","Safety follow-up",""),IF(W82&lt;&gt;"Yes","Missing customer signoff",""),IF(X82&lt;&gt;"Approved","Office not approved",""),IF(N82&lt;=0,"Bad shift hours","")))</x:f>
      </x:c>
      <x:c r="AA82" s="15" t="str">
        <x:f>IF(COUNTA(C82:M82,O82:X82)=0,"",IF(Z82="","Yes","No"))</x:f>
      </x:c>
      <x:c r="AB82" s="15"/>
    </x:row>
    <x:row r="83" ht="20" customHeight="1">
      <x:c r="A83" s="15"/>
      <x:c r="B83" s="122"/>
      <x:c r="C83" s="28"/>
      <x:c r="D83" s="15"/>
      <x:c r="E83" s="15"/>
      <x:c r="F83" s="15"/>
      <x:c r="G83" s="15"/>
      <x:c r="H83" s="15"/>
      <x:c r="I83" s="15"/>
      <x:c r="J83" s="15"/>
      <x:c r="K83" s="15"/>
      <x:c r="L83" s="134"/>
      <x:c r="M83" s="134"/>
      <x:c r="N83" s="136" t="str">
        <x:f>IF(OR(L83="",M83=""),"",MAX(0,(M83-L83)*24))</x:f>
      </x:c>
      <x:c r="O83" s="136"/>
      <x:c r="P83" s="138"/>
      <x:c r="Q83" s="15"/>
      <x:c r="R83" s="15"/>
      <x:c r="S83" s="15"/>
      <x:c r="T83" s="15"/>
      <x:c r="U83" s="15"/>
      <x:c r="V83" s="15"/>
      <x:c r="W83" s="15"/>
      <x:c r="X83" s="15"/>
      <x:c r="Y83" s="140" t="str">
        <x:f>IF(COUNTA(C83:M83,O83:X83)=0,"",ROUND((IF(OR(R83&lt;&gt;"Yes",S83&gt;0),1,0)+IF(OR(T83&lt;&gt;"Yes",U83="Yes"),1,0)+IF(W83="Yes",1,0)+IF(X83="Approved",1,0))/4,2))</x:f>
      </x:c>
      <x:c r="Z83" s="15" t="str">
        <x:f>IF(COUNTA(C83:M83,O83:X83)=0,"",TEXTJOIN("; ",TRUE,IF(C83="","Missing work date",""),IF(D83="","Missing project",""),IF(F83="","Missing crew",""),IF(O83="","Missing labor hours",""),IF(P83="","Missing production qty",""),IF(AND(R83="Yes",OR(S83="",S83&lt;=0)),"Missing photo proof",""),IF(AND(T83="Yes",U83&lt;&gt;"Yes"),"Missing redline",""),IF(V83="Yes","Safety follow-up",""),IF(W83&lt;&gt;"Yes","Missing customer signoff",""),IF(X83&lt;&gt;"Approved","Office not approved",""),IF(N83&lt;=0,"Bad shift hours","")))</x:f>
      </x:c>
      <x:c r="AA83" s="15" t="str">
        <x:f>IF(COUNTA(C83:M83,O83:X83)=0,"",IF(Z83="","Yes","No"))</x:f>
      </x:c>
      <x:c r="AB83" s="15"/>
    </x:row>
    <x:row r="84" ht="20" customHeight="1">
      <x:c r="A84" s="15"/>
      <x:c r="B84" s="122"/>
      <x:c r="C84" s="28"/>
      <x:c r="D84" s="15"/>
      <x:c r="E84" s="15"/>
      <x:c r="F84" s="15"/>
      <x:c r="G84" s="15"/>
      <x:c r="H84" s="15"/>
      <x:c r="I84" s="15"/>
      <x:c r="J84" s="15"/>
      <x:c r="K84" s="15"/>
      <x:c r="L84" s="134"/>
      <x:c r="M84" s="134"/>
      <x:c r="N84" s="136" t="str">
        <x:f>IF(OR(L84="",M84=""),"",MAX(0,(M84-L84)*24))</x:f>
      </x:c>
      <x:c r="O84" s="136"/>
      <x:c r="P84" s="138"/>
      <x:c r="Q84" s="15"/>
      <x:c r="R84" s="15"/>
      <x:c r="S84" s="15"/>
      <x:c r="T84" s="15"/>
      <x:c r="U84" s="15"/>
      <x:c r="V84" s="15"/>
      <x:c r="W84" s="15"/>
      <x:c r="X84" s="15"/>
      <x:c r="Y84" s="140" t="str">
        <x:f>IF(COUNTA(C84:M84,O84:X84)=0,"",ROUND((IF(OR(R84&lt;&gt;"Yes",S84&gt;0),1,0)+IF(OR(T84&lt;&gt;"Yes",U84="Yes"),1,0)+IF(W84="Yes",1,0)+IF(X84="Approved",1,0))/4,2))</x:f>
      </x:c>
      <x:c r="Z84" s="15" t="str">
        <x:f>IF(COUNTA(C84:M84,O84:X84)=0,"",TEXTJOIN("; ",TRUE,IF(C84="","Missing work date",""),IF(D84="","Missing project",""),IF(F84="","Missing crew",""),IF(O84="","Missing labor hours",""),IF(P84="","Missing production qty",""),IF(AND(R84="Yes",OR(S84="",S84&lt;=0)),"Missing photo proof",""),IF(AND(T84="Yes",U84&lt;&gt;"Yes"),"Missing redline",""),IF(V84="Yes","Safety follow-up",""),IF(W84&lt;&gt;"Yes","Missing customer signoff",""),IF(X84&lt;&gt;"Approved","Office not approved",""),IF(N84&lt;=0,"Bad shift hours","")))</x:f>
      </x:c>
      <x:c r="AA84" s="15" t="str">
        <x:f>IF(COUNTA(C84:M84,O84:X84)=0,"",IF(Z84="","Yes","No"))</x:f>
      </x:c>
      <x:c r="AB84" s="15"/>
    </x:row>
    <x:row r="85" ht="20" customHeight="1">
      <x:c r="A85" s="15"/>
      <x:c r="B85" s="122"/>
      <x:c r="C85" s="28"/>
      <x:c r="D85" s="15"/>
      <x:c r="E85" s="15"/>
      <x:c r="F85" s="15"/>
      <x:c r="G85" s="15"/>
      <x:c r="H85" s="15"/>
      <x:c r="I85" s="15"/>
      <x:c r="J85" s="15"/>
      <x:c r="K85" s="15"/>
      <x:c r="L85" s="134"/>
      <x:c r="M85" s="134"/>
      <x:c r="N85" s="136" t="str">
        <x:f>IF(OR(L85="",M85=""),"",MAX(0,(M85-L85)*24))</x:f>
      </x:c>
      <x:c r="O85" s="136"/>
      <x:c r="P85" s="138"/>
      <x:c r="Q85" s="15"/>
      <x:c r="R85" s="15"/>
      <x:c r="S85" s="15"/>
      <x:c r="T85" s="15"/>
      <x:c r="U85" s="15"/>
      <x:c r="V85" s="15"/>
      <x:c r="W85" s="15"/>
      <x:c r="X85" s="15"/>
      <x:c r="Y85" s="140" t="str">
        <x:f>IF(COUNTA(C85:M85,O85:X85)=0,"",ROUND((IF(OR(R85&lt;&gt;"Yes",S85&gt;0),1,0)+IF(OR(T85&lt;&gt;"Yes",U85="Yes"),1,0)+IF(W85="Yes",1,0)+IF(X85="Approved",1,0))/4,2))</x:f>
      </x:c>
      <x:c r="Z85" s="15" t="str">
        <x:f>IF(COUNTA(C85:M85,O85:X85)=0,"",TEXTJOIN("; ",TRUE,IF(C85="","Missing work date",""),IF(D85="","Missing project",""),IF(F85="","Missing crew",""),IF(O85="","Missing labor hours",""),IF(P85="","Missing production qty",""),IF(AND(R85="Yes",OR(S85="",S85&lt;=0)),"Missing photo proof",""),IF(AND(T85="Yes",U85&lt;&gt;"Yes"),"Missing redline",""),IF(V85="Yes","Safety follow-up",""),IF(W85&lt;&gt;"Yes","Missing customer signoff",""),IF(X85&lt;&gt;"Approved","Office not approved",""),IF(N85&lt;=0,"Bad shift hours","")))</x:f>
      </x:c>
      <x:c r="AA85" s="15" t="str">
        <x:f>IF(COUNTA(C85:M85,O85:X85)=0,"",IF(Z85="","Yes","No"))</x:f>
      </x:c>
      <x:c r="AB85" s="15"/>
    </x:row>
    <x:row r="86" ht="20" customHeight="1">
      <x:c r="A86" s="15"/>
      <x:c r="B86" s="122"/>
      <x:c r="C86" s="28"/>
      <x:c r="D86" s="15"/>
      <x:c r="E86" s="15"/>
      <x:c r="F86" s="15"/>
      <x:c r="G86" s="15"/>
      <x:c r="H86" s="15"/>
      <x:c r="I86" s="15"/>
      <x:c r="J86" s="15"/>
      <x:c r="K86" s="15"/>
      <x:c r="L86" s="134"/>
      <x:c r="M86" s="134"/>
      <x:c r="N86" s="136" t="str">
        <x:f>IF(OR(L86="",M86=""),"",MAX(0,(M86-L86)*24))</x:f>
      </x:c>
      <x:c r="O86" s="136"/>
      <x:c r="P86" s="138"/>
      <x:c r="Q86" s="15"/>
      <x:c r="R86" s="15"/>
      <x:c r="S86" s="15"/>
      <x:c r="T86" s="15"/>
      <x:c r="U86" s="15"/>
      <x:c r="V86" s="15"/>
      <x:c r="W86" s="15"/>
      <x:c r="X86" s="15"/>
      <x:c r="Y86" s="140" t="str">
        <x:f>IF(COUNTA(C86:M86,O86:X86)=0,"",ROUND((IF(OR(R86&lt;&gt;"Yes",S86&gt;0),1,0)+IF(OR(T86&lt;&gt;"Yes",U86="Yes"),1,0)+IF(W86="Yes",1,0)+IF(X86="Approved",1,0))/4,2))</x:f>
      </x:c>
      <x:c r="Z86" s="15" t="str">
        <x:f>IF(COUNTA(C86:M86,O86:X86)=0,"",TEXTJOIN("; ",TRUE,IF(C86="","Missing work date",""),IF(D86="","Missing project",""),IF(F86="","Missing crew",""),IF(O86="","Missing labor hours",""),IF(P86="","Missing production qty",""),IF(AND(R86="Yes",OR(S86="",S86&lt;=0)),"Missing photo proof",""),IF(AND(T86="Yes",U86&lt;&gt;"Yes"),"Missing redline",""),IF(V86="Yes","Safety follow-up",""),IF(W86&lt;&gt;"Yes","Missing customer signoff",""),IF(X86&lt;&gt;"Approved","Office not approved",""),IF(N86&lt;=0,"Bad shift hours","")))</x:f>
      </x:c>
      <x:c r="AA86" s="15" t="str">
        <x:f>IF(COUNTA(C86:M86,O86:X86)=0,"",IF(Z86="","Yes","No"))</x:f>
      </x:c>
      <x:c r="AB86" s="15"/>
    </x:row>
    <x:row r="87" ht="20" customHeight="1">
      <x:c r="A87" s="15"/>
      <x:c r="B87" s="122"/>
      <x:c r="C87" s="28"/>
      <x:c r="D87" s="15"/>
      <x:c r="E87" s="15"/>
      <x:c r="F87" s="15"/>
      <x:c r="G87" s="15"/>
      <x:c r="H87" s="15"/>
      <x:c r="I87" s="15"/>
      <x:c r="J87" s="15"/>
      <x:c r="K87" s="15"/>
      <x:c r="L87" s="134"/>
      <x:c r="M87" s="134"/>
      <x:c r="N87" s="136" t="str">
        <x:f>IF(OR(L87="",M87=""),"",MAX(0,(M87-L87)*24))</x:f>
      </x:c>
      <x:c r="O87" s="136"/>
      <x:c r="P87" s="138"/>
      <x:c r="Q87" s="15"/>
      <x:c r="R87" s="15"/>
      <x:c r="S87" s="15"/>
      <x:c r="T87" s="15"/>
      <x:c r="U87" s="15"/>
      <x:c r="V87" s="15"/>
      <x:c r="W87" s="15"/>
      <x:c r="X87" s="15"/>
      <x:c r="Y87" s="140" t="str">
        <x:f>IF(COUNTA(C87:M87,O87:X87)=0,"",ROUND((IF(OR(R87&lt;&gt;"Yes",S87&gt;0),1,0)+IF(OR(T87&lt;&gt;"Yes",U87="Yes"),1,0)+IF(W87="Yes",1,0)+IF(X87="Approved",1,0))/4,2))</x:f>
      </x:c>
      <x:c r="Z87" s="15" t="str">
        <x:f>IF(COUNTA(C87:M87,O87:X87)=0,"",TEXTJOIN("; ",TRUE,IF(C87="","Missing work date",""),IF(D87="","Missing project",""),IF(F87="","Missing crew",""),IF(O87="","Missing labor hours",""),IF(P87="","Missing production qty",""),IF(AND(R87="Yes",OR(S87="",S87&lt;=0)),"Missing photo proof",""),IF(AND(T87="Yes",U87&lt;&gt;"Yes"),"Missing redline",""),IF(V87="Yes","Safety follow-up",""),IF(W87&lt;&gt;"Yes","Missing customer signoff",""),IF(X87&lt;&gt;"Approved","Office not approved",""),IF(N87&lt;=0,"Bad shift hours","")))</x:f>
      </x:c>
      <x:c r="AA87" s="15" t="str">
        <x:f>IF(COUNTA(C87:M87,O87:X87)=0,"",IF(Z87="","Yes","No"))</x:f>
      </x:c>
      <x:c r="AB87" s="15"/>
    </x:row>
    <x:row r="88" ht="20" customHeight="1">
      <x:c r="A88" s="15"/>
      <x:c r="B88" s="122"/>
      <x:c r="C88" s="28"/>
      <x:c r="D88" s="15"/>
      <x:c r="E88" s="15"/>
      <x:c r="F88" s="15"/>
      <x:c r="G88" s="15"/>
      <x:c r="H88" s="15"/>
      <x:c r="I88" s="15"/>
      <x:c r="J88" s="15"/>
      <x:c r="K88" s="15"/>
      <x:c r="L88" s="134"/>
      <x:c r="M88" s="134"/>
      <x:c r="N88" s="136" t="str">
        <x:f>IF(OR(L88="",M88=""),"",MAX(0,(M88-L88)*24))</x:f>
      </x:c>
      <x:c r="O88" s="136"/>
      <x:c r="P88" s="138"/>
      <x:c r="Q88" s="15"/>
      <x:c r="R88" s="15"/>
      <x:c r="S88" s="15"/>
      <x:c r="T88" s="15"/>
      <x:c r="U88" s="15"/>
      <x:c r="V88" s="15"/>
      <x:c r="W88" s="15"/>
      <x:c r="X88" s="15"/>
      <x:c r="Y88" s="140" t="str">
        <x:f>IF(COUNTA(C88:M88,O88:X88)=0,"",ROUND((IF(OR(R88&lt;&gt;"Yes",S88&gt;0),1,0)+IF(OR(T88&lt;&gt;"Yes",U88="Yes"),1,0)+IF(W88="Yes",1,0)+IF(X88="Approved",1,0))/4,2))</x:f>
      </x:c>
      <x:c r="Z88" s="15" t="str">
        <x:f>IF(COUNTA(C88:M88,O88:X88)=0,"",TEXTJOIN("; ",TRUE,IF(C88="","Missing work date",""),IF(D88="","Missing project",""),IF(F88="","Missing crew",""),IF(O88="","Missing labor hours",""),IF(P88="","Missing production qty",""),IF(AND(R88="Yes",OR(S88="",S88&lt;=0)),"Missing photo proof",""),IF(AND(T88="Yes",U88&lt;&gt;"Yes"),"Missing redline",""),IF(V88="Yes","Safety follow-up",""),IF(W88&lt;&gt;"Yes","Missing customer signoff",""),IF(X88&lt;&gt;"Approved","Office not approved",""),IF(N88&lt;=0,"Bad shift hours","")))</x:f>
      </x:c>
      <x:c r="AA88" s="15" t="str">
        <x:f>IF(COUNTA(C88:M88,O88:X88)=0,"",IF(Z88="","Yes","No"))</x:f>
      </x:c>
      <x:c r="AB88" s="15"/>
    </x:row>
    <x:row r="89" ht="20" customHeight="1">
      <x:c r="A89" s="15"/>
      <x:c r="B89" s="122"/>
      <x:c r="C89" s="28"/>
      <x:c r="D89" s="15"/>
      <x:c r="E89" s="15"/>
      <x:c r="F89" s="15"/>
      <x:c r="G89" s="15"/>
      <x:c r="H89" s="15"/>
      <x:c r="I89" s="15"/>
      <x:c r="J89" s="15"/>
      <x:c r="K89" s="15"/>
      <x:c r="L89" s="134"/>
      <x:c r="M89" s="134"/>
      <x:c r="N89" s="136" t="str">
        <x:f>IF(OR(L89="",M89=""),"",MAX(0,(M89-L89)*24))</x:f>
      </x:c>
      <x:c r="O89" s="136"/>
      <x:c r="P89" s="138"/>
      <x:c r="Q89" s="15"/>
      <x:c r="R89" s="15"/>
      <x:c r="S89" s="15"/>
      <x:c r="T89" s="15"/>
      <x:c r="U89" s="15"/>
      <x:c r="V89" s="15"/>
      <x:c r="W89" s="15"/>
      <x:c r="X89" s="15"/>
      <x:c r="Y89" s="140" t="str">
        <x:f>IF(COUNTA(C89:M89,O89:X89)=0,"",ROUND((IF(OR(R89&lt;&gt;"Yes",S89&gt;0),1,0)+IF(OR(T89&lt;&gt;"Yes",U89="Yes"),1,0)+IF(W89="Yes",1,0)+IF(X89="Approved",1,0))/4,2))</x:f>
      </x:c>
      <x:c r="Z89" s="15" t="str">
        <x:f>IF(COUNTA(C89:M89,O89:X89)=0,"",TEXTJOIN("; ",TRUE,IF(C89="","Missing work date",""),IF(D89="","Missing project",""),IF(F89="","Missing crew",""),IF(O89="","Missing labor hours",""),IF(P89="","Missing production qty",""),IF(AND(R89="Yes",OR(S89="",S89&lt;=0)),"Missing photo proof",""),IF(AND(T89="Yes",U89&lt;&gt;"Yes"),"Missing redline",""),IF(V89="Yes","Safety follow-up",""),IF(W89&lt;&gt;"Yes","Missing customer signoff",""),IF(X89&lt;&gt;"Approved","Office not approved",""),IF(N89&lt;=0,"Bad shift hours","")))</x:f>
      </x:c>
      <x:c r="AA89" s="15" t="str">
        <x:f>IF(COUNTA(C89:M89,O89:X89)=0,"",IF(Z89="","Yes","No"))</x:f>
      </x:c>
      <x:c r="AB89" s="15"/>
    </x:row>
    <x:row r="90" ht="20" customHeight="1">
      <x:c r="A90" s="15"/>
      <x:c r="B90" s="122"/>
      <x:c r="C90" s="28"/>
      <x:c r="D90" s="15"/>
      <x:c r="E90" s="15"/>
      <x:c r="F90" s="15"/>
      <x:c r="G90" s="15"/>
      <x:c r="H90" s="15"/>
      <x:c r="I90" s="15"/>
      <x:c r="J90" s="15"/>
      <x:c r="K90" s="15"/>
      <x:c r="L90" s="134"/>
      <x:c r="M90" s="134"/>
      <x:c r="N90" s="136" t="str">
        <x:f>IF(OR(L90="",M90=""),"",MAX(0,(M90-L90)*24))</x:f>
      </x:c>
      <x:c r="O90" s="136"/>
      <x:c r="P90" s="138"/>
      <x:c r="Q90" s="15"/>
      <x:c r="R90" s="15"/>
      <x:c r="S90" s="15"/>
      <x:c r="T90" s="15"/>
      <x:c r="U90" s="15"/>
      <x:c r="V90" s="15"/>
      <x:c r="W90" s="15"/>
      <x:c r="X90" s="15"/>
      <x:c r="Y90" s="140" t="str">
        <x:f>IF(COUNTA(C90:M90,O90:X90)=0,"",ROUND((IF(OR(R90&lt;&gt;"Yes",S90&gt;0),1,0)+IF(OR(T90&lt;&gt;"Yes",U90="Yes"),1,0)+IF(W90="Yes",1,0)+IF(X90="Approved",1,0))/4,2))</x:f>
      </x:c>
      <x:c r="Z90" s="15" t="str">
        <x:f>IF(COUNTA(C90:M90,O90:X90)=0,"",TEXTJOIN("; ",TRUE,IF(C90="","Missing work date",""),IF(D90="","Missing project",""),IF(F90="","Missing crew",""),IF(O90="","Missing labor hours",""),IF(P90="","Missing production qty",""),IF(AND(R90="Yes",OR(S90="",S90&lt;=0)),"Missing photo proof",""),IF(AND(T90="Yes",U90&lt;&gt;"Yes"),"Missing redline",""),IF(V90="Yes","Safety follow-up",""),IF(W90&lt;&gt;"Yes","Missing customer signoff",""),IF(X90&lt;&gt;"Approved","Office not approved",""),IF(N90&lt;=0,"Bad shift hours","")))</x:f>
      </x:c>
      <x:c r="AA90" s="15" t="str">
        <x:f>IF(COUNTA(C90:M90,O90:X90)=0,"",IF(Z90="","Yes","No"))</x:f>
      </x:c>
      <x:c r="AB90" s="15"/>
    </x:row>
    <x:row r="91" ht="20" customHeight="1">
      <x:c r="A91" s="15"/>
      <x:c r="B91" s="122"/>
      <x:c r="C91" s="28"/>
      <x:c r="D91" s="15"/>
      <x:c r="E91" s="15"/>
      <x:c r="F91" s="15"/>
      <x:c r="G91" s="15"/>
      <x:c r="H91" s="15"/>
      <x:c r="I91" s="15"/>
      <x:c r="J91" s="15"/>
      <x:c r="K91" s="15"/>
      <x:c r="L91" s="134"/>
      <x:c r="M91" s="134"/>
      <x:c r="N91" s="136" t="str">
        <x:f>IF(OR(L91="",M91=""),"",MAX(0,(M91-L91)*24))</x:f>
      </x:c>
      <x:c r="O91" s="136"/>
      <x:c r="P91" s="138"/>
      <x:c r="Q91" s="15"/>
      <x:c r="R91" s="15"/>
      <x:c r="S91" s="15"/>
      <x:c r="T91" s="15"/>
      <x:c r="U91" s="15"/>
      <x:c r="V91" s="15"/>
      <x:c r="W91" s="15"/>
      <x:c r="X91" s="15"/>
      <x:c r="Y91" s="140" t="str">
        <x:f>IF(COUNTA(C91:M91,O91:X91)=0,"",ROUND((IF(OR(R91&lt;&gt;"Yes",S91&gt;0),1,0)+IF(OR(T91&lt;&gt;"Yes",U91="Yes"),1,0)+IF(W91="Yes",1,0)+IF(X91="Approved",1,0))/4,2))</x:f>
      </x:c>
      <x:c r="Z91" s="15" t="str">
        <x:f>IF(COUNTA(C91:M91,O91:X91)=0,"",TEXTJOIN("; ",TRUE,IF(C91="","Missing work date",""),IF(D91="","Missing project",""),IF(F91="","Missing crew",""),IF(O91="","Missing labor hours",""),IF(P91="","Missing production qty",""),IF(AND(R91="Yes",OR(S91="",S91&lt;=0)),"Missing photo proof",""),IF(AND(T91="Yes",U91&lt;&gt;"Yes"),"Missing redline",""),IF(V91="Yes","Safety follow-up",""),IF(W91&lt;&gt;"Yes","Missing customer signoff",""),IF(X91&lt;&gt;"Approved","Office not approved",""),IF(N91&lt;=0,"Bad shift hours","")))</x:f>
      </x:c>
      <x:c r="AA91" s="15" t="str">
        <x:f>IF(COUNTA(C91:M91,O91:X91)=0,"",IF(Z91="","Yes","No"))</x:f>
      </x:c>
      <x:c r="AB91" s="15"/>
    </x:row>
    <x:row r="92" ht="20" customHeight="1">
      <x:c r="A92" s="15"/>
      <x:c r="B92" s="122"/>
      <x:c r="C92" s="28"/>
      <x:c r="D92" s="15"/>
      <x:c r="E92" s="15"/>
      <x:c r="F92" s="15"/>
      <x:c r="G92" s="15"/>
      <x:c r="H92" s="15"/>
      <x:c r="I92" s="15"/>
      <x:c r="J92" s="15"/>
      <x:c r="K92" s="15"/>
      <x:c r="L92" s="134"/>
      <x:c r="M92" s="134"/>
      <x:c r="N92" s="136" t="str">
        <x:f>IF(OR(L92="",M92=""),"",MAX(0,(M92-L92)*24))</x:f>
      </x:c>
      <x:c r="O92" s="136"/>
      <x:c r="P92" s="138"/>
      <x:c r="Q92" s="15"/>
      <x:c r="R92" s="15"/>
      <x:c r="S92" s="15"/>
      <x:c r="T92" s="15"/>
      <x:c r="U92" s="15"/>
      <x:c r="V92" s="15"/>
      <x:c r="W92" s="15"/>
      <x:c r="X92" s="15"/>
      <x:c r="Y92" s="140" t="str">
        <x:f>IF(COUNTA(C92:M92,O92:X92)=0,"",ROUND((IF(OR(R92&lt;&gt;"Yes",S92&gt;0),1,0)+IF(OR(T92&lt;&gt;"Yes",U92="Yes"),1,0)+IF(W92="Yes",1,0)+IF(X92="Approved",1,0))/4,2))</x:f>
      </x:c>
      <x:c r="Z92" s="15" t="str">
        <x:f>IF(COUNTA(C92:M92,O92:X92)=0,"",TEXTJOIN("; ",TRUE,IF(C92="","Missing work date",""),IF(D92="","Missing project",""),IF(F92="","Missing crew",""),IF(O92="","Missing labor hours",""),IF(P92="","Missing production qty",""),IF(AND(R92="Yes",OR(S92="",S92&lt;=0)),"Missing photo proof",""),IF(AND(T92="Yes",U92&lt;&gt;"Yes"),"Missing redline",""),IF(V92="Yes","Safety follow-up",""),IF(W92&lt;&gt;"Yes","Missing customer signoff",""),IF(X92&lt;&gt;"Approved","Office not approved",""),IF(N92&lt;=0,"Bad shift hours","")))</x:f>
      </x:c>
      <x:c r="AA92" s="15" t="str">
        <x:f>IF(COUNTA(C92:M92,O92:X92)=0,"",IF(Z92="","Yes","No"))</x:f>
      </x:c>
      <x:c r="AB92" s="15"/>
    </x:row>
    <x:row r="93" ht="20" customHeight="1">
      <x:c r="A93" s="15"/>
      <x:c r="B93" s="122"/>
      <x:c r="C93" s="28"/>
      <x:c r="D93" s="15"/>
      <x:c r="E93" s="15"/>
      <x:c r="F93" s="15"/>
      <x:c r="G93" s="15"/>
      <x:c r="H93" s="15"/>
      <x:c r="I93" s="15"/>
      <x:c r="J93" s="15"/>
      <x:c r="K93" s="15"/>
      <x:c r="L93" s="134"/>
      <x:c r="M93" s="134"/>
      <x:c r="N93" s="136" t="str">
        <x:f>IF(OR(L93="",M93=""),"",MAX(0,(M93-L93)*24))</x:f>
      </x:c>
      <x:c r="O93" s="136"/>
      <x:c r="P93" s="138"/>
      <x:c r="Q93" s="15"/>
      <x:c r="R93" s="15"/>
      <x:c r="S93" s="15"/>
      <x:c r="T93" s="15"/>
      <x:c r="U93" s="15"/>
      <x:c r="V93" s="15"/>
      <x:c r="W93" s="15"/>
      <x:c r="X93" s="15"/>
      <x:c r="Y93" s="140" t="str">
        <x:f>IF(COUNTA(C93:M93,O93:X93)=0,"",ROUND((IF(OR(R93&lt;&gt;"Yes",S93&gt;0),1,0)+IF(OR(T93&lt;&gt;"Yes",U93="Yes"),1,0)+IF(W93="Yes",1,0)+IF(X93="Approved",1,0))/4,2))</x:f>
      </x:c>
      <x:c r="Z93" s="15" t="str">
        <x:f>IF(COUNTA(C93:M93,O93:X93)=0,"",TEXTJOIN("; ",TRUE,IF(C93="","Missing work date",""),IF(D93="","Missing project",""),IF(F93="","Missing crew",""),IF(O93="","Missing labor hours",""),IF(P93="","Missing production qty",""),IF(AND(R93="Yes",OR(S93="",S93&lt;=0)),"Missing photo proof",""),IF(AND(T93="Yes",U93&lt;&gt;"Yes"),"Missing redline",""),IF(V93="Yes","Safety follow-up",""),IF(W93&lt;&gt;"Yes","Missing customer signoff",""),IF(X93&lt;&gt;"Approved","Office not approved",""),IF(N93&lt;=0,"Bad shift hours","")))</x:f>
      </x:c>
      <x:c r="AA93" s="15" t="str">
        <x:f>IF(COUNTA(C93:M93,O93:X93)=0,"",IF(Z93="","Yes","No"))</x:f>
      </x:c>
      <x:c r="AB93" s="15"/>
    </x:row>
    <x:row r="94" ht="20" customHeight="1">
      <x:c r="A94" s="15"/>
      <x:c r="B94" s="122"/>
      <x:c r="C94" s="28"/>
      <x:c r="D94" s="15"/>
      <x:c r="E94" s="15"/>
      <x:c r="F94" s="15"/>
      <x:c r="G94" s="15"/>
      <x:c r="H94" s="15"/>
      <x:c r="I94" s="15"/>
      <x:c r="J94" s="15"/>
      <x:c r="K94" s="15"/>
      <x:c r="L94" s="134"/>
      <x:c r="M94" s="134"/>
      <x:c r="N94" s="136" t="str">
        <x:f>IF(OR(L94="",M94=""),"",MAX(0,(M94-L94)*24))</x:f>
      </x:c>
      <x:c r="O94" s="136"/>
      <x:c r="P94" s="138"/>
      <x:c r="Q94" s="15"/>
      <x:c r="R94" s="15"/>
      <x:c r="S94" s="15"/>
      <x:c r="T94" s="15"/>
      <x:c r="U94" s="15"/>
      <x:c r="V94" s="15"/>
      <x:c r="W94" s="15"/>
      <x:c r="X94" s="15"/>
      <x:c r="Y94" s="140" t="str">
        <x:f>IF(COUNTA(C94:M94,O94:X94)=0,"",ROUND((IF(OR(R94&lt;&gt;"Yes",S94&gt;0),1,0)+IF(OR(T94&lt;&gt;"Yes",U94="Yes"),1,0)+IF(W94="Yes",1,0)+IF(X94="Approved",1,0))/4,2))</x:f>
      </x:c>
      <x:c r="Z94" s="15" t="str">
        <x:f>IF(COUNTA(C94:M94,O94:X94)=0,"",TEXTJOIN("; ",TRUE,IF(C94="","Missing work date",""),IF(D94="","Missing project",""),IF(F94="","Missing crew",""),IF(O94="","Missing labor hours",""),IF(P94="","Missing production qty",""),IF(AND(R94="Yes",OR(S94="",S94&lt;=0)),"Missing photo proof",""),IF(AND(T94="Yes",U94&lt;&gt;"Yes"),"Missing redline",""),IF(V94="Yes","Safety follow-up",""),IF(W94&lt;&gt;"Yes","Missing customer signoff",""),IF(X94&lt;&gt;"Approved","Office not approved",""),IF(N94&lt;=0,"Bad shift hours","")))</x:f>
      </x:c>
      <x:c r="AA94" s="15" t="str">
        <x:f>IF(COUNTA(C94:M94,O94:X94)=0,"",IF(Z94="","Yes","No"))</x:f>
      </x:c>
      <x:c r="AB94" s="15"/>
    </x:row>
    <x:row r="95" ht="20" customHeight="1">
      <x:c r="A95" s="15"/>
      <x:c r="B95" s="122"/>
      <x:c r="C95" s="28"/>
      <x:c r="D95" s="15"/>
      <x:c r="E95" s="15"/>
      <x:c r="F95" s="15"/>
      <x:c r="G95" s="15"/>
      <x:c r="H95" s="15"/>
      <x:c r="I95" s="15"/>
      <x:c r="J95" s="15"/>
      <x:c r="K95" s="15"/>
      <x:c r="L95" s="134"/>
      <x:c r="M95" s="134"/>
      <x:c r="N95" s="136" t="str">
        <x:f>IF(OR(L95="",M95=""),"",MAX(0,(M95-L95)*24))</x:f>
      </x:c>
      <x:c r="O95" s="136"/>
      <x:c r="P95" s="138"/>
      <x:c r="Q95" s="15"/>
      <x:c r="R95" s="15"/>
      <x:c r="S95" s="15"/>
      <x:c r="T95" s="15"/>
      <x:c r="U95" s="15"/>
      <x:c r="V95" s="15"/>
      <x:c r="W95" s="15"/>
      <x:c r="X95" s="15"/>
      <x:c r="Y95" s="140" t="str">
        <x:f>IF(COUNTA(C95:M95,O95:X95)=0,"",ROUND((IF(OR(R95&lt;&gt;"Yes",S95&gt;0),1,0)+IF(OR(T95&lt;&gt;"Yes",U95="Yes"),1,0)+IF(W95="Yes",1,0)+IF(X95="Approved",1,0))/4,2))</x:f>
      </x:c>
      <x:c r="Z95" s="15" t="str">
        <x:f>IF(COUNTA(C95:M95,O95:X95)=0,"",TEXTJOIN("; ",TRUE,IF(C95="","Missing work date",""),IF(D95="","Missing project",""),IF(F95="","Missing crew",""),IF(O95="","Missing labor hours",""),IF(P95="","Missing production qty",""),IF(AND(R95="Yes",OR(S95="",S95&lt;=0)),"Missing photo proof",""),IF(AND(T95="Yes",U95&lt;&gt;"Yes"),"Missing redline",""),IF(V95="Yes","Safety follow-up",""),IF(W95&lt;&gt;"Yes","Missing customer signoff",""),IF(X95&lt;&gt;"Approved","Office not approved",""),IF(N95&lt;=0,"Bad shift hours","")))</x:f>
      </x:c>
      <x:c r="AA95" s="15" t="str">
        <x:f>IF(COUNTA(C95:M95,O95:X95)=0,"",IF(Z95="","Yes","No"))</x:f>
      </x:c>
      <x:c r="AB95" s="15"/>
    </x:row>
    <x:row r="96" ht="20" customHeight="1">
      <x:c r="A96" s="15"/>
      <x:c r="B96" s="122"/>
      <x:c r="C96" s="28"/>
      <x:c r="D96" s="15"/>
      <x:c r="E96" s="15"/>
      <x:c r="F96" s="15"/>
      <x:c r="G96" s="15"/>
      <x:c r="H96" s="15"/>
      <x:c r="I96" s="15"/>
      <x:c r="J96" s="15"/>
      <x:c r="K96" s="15"/>
      <x:c r="L96" s="134"/>
      <x:c r="M96" s="134"/>
      <x:c r="N96" s="136" t="str">
        <x:f>IF(OR(L96="",M96=""),"",MAX(0,(M96-L96)*24))</x:f>
      </x:c>
      <x:c r="O96" s="136"/>
      <x:c r="P96" s="138"/>
      <x:c r="Q96" s="15"/>
      <x:c r="R96" s="15"/>
      <x:c r="S96" s="15"/>
      <x:c r="T96" s="15"/>
      <x:c r="U96" s="15"/>
      <x:c r="V96" s="15"/>
      <x:c r="W96" s="15"/>
      <x:c r="X96" s="15"/>
      <x:c r="Y96" s="140" t="str">
        <x:f>IF(COUNTA(C96:M96,O96:X96)=0,"",ROUND((IF(OR(R96&lt;&gt;"Yes",S96&gt;0),1,0)+IF(OR(T96&lt;&gt;"Yes",U96="Yes"),1,0)+IF(W96="Yes",1,0)+IF(X96="Approved",1,0))/4,2))</x:f>
      </x:c>
      <x:c r="Z96" s="15" t="str">
        <x:f>IF(COUNTA(C96:M96,O96:X96)=0,"",TEXTJOIN("; ",TRUE,IF(C96="","Missing work date",""),IF(D96="","Missing project",""),IF(F96="","Missing crew",""),IF(O96="","Missing labor hours",""),IF(P96="","Missing production qty",""),IF(AND(R96="Yes",OR(S96="",S96&lt;=0)),"Missing photo proof",""),IF(AND(T96="Yes",U96&lt;&gt;"Yes"),"Missing redline",""),IF(V96="Yes","Safety follow-up",""),IF(W96&lt;&gt;"Yes","Missing customer signoff",""),IF(X96&lt;&gt;"Approved","Office not approved",""),IF(N96&lt;=0,"Bad shift hours","")))</x:f>
      </x:c>
      <x:c r="AA96" s="15" t="str">
        <x:f>IF(COUNTA(C96:M96,O96:X96)=0,"",IF(Z96="","Yes","No"))</x:f>
      </x:c>
      <x:c r="AB96" s="15"/>
    </x:row>
    <x:row r="97" ht="20" customHeight="1">
      <x:c r="A97" s="15"/>
      <x:c r="B97" s="122"/>
      <x:c r="C97" s="28"/>
      <x:c r="D97" s="15"/>
      <x:c r="E97" s="15"/>
      <x:c r="F97" s="15"/>
      <x:c r="G97" s="15"/>
      <x:c r="H97" s="15"/>
      <x:c r="I97" s="15"/>
      <x:c r="J97" s="15"/>
      <x:c r="K97" s="15"/>
      <x:c r="L97" s="134"/>
      <x:c r="M97" s="134"/>
      <x:c r="N97" s="136" t="str">
        <x:f>IF(OR(L97="",M97=""),"",MAX(0,(M97-L97)*24))</x:f>
      </x:c>
      <x:c r="O97" s="136"/>
      <x:c r="P97" s="138"/>
      <x:c r="Q97" s="15"/>
      <x:c r="R97" s="15"/>
      <x:c r="S97" s="15"/>
      <x:c r="T97" s="15"/>
      <x:c r="U97" s="15"/>
      <x:c r="V97" s="15"/>
      <x:c r="W97" s="15"/>
      <x:c r="X97" s="15"/>
      <x:c r="Y97" s="140" t="str">
        <x:f>IF(COUNTA(C97:M97,O97:X97)=0,"",ROUND((IF(OR(R97&lt;&gt;"Yes",S97&gt;0),1,0)+IF(OR(T97&lt;&gt;"Yes",U97="Yes"),1,0)+IF(W97="Yes",1,0)+IF(X97="Approved",1,0))/4,2))</x:f>
      </x:c>
      <x:c r="Z97" s="15" t="str">
        <x:f>IF(COUNTA(C97:M97,O97:X97)=0,"",TEXTJOIN("; ",TRUE,IF(C97="","Missing work date",""),IF(D97="","Missing project",""),IF(F97="","Missing crew",""),IF(O97="","Missing labor hours",""),IF(P97="","Missing production qty",""),IF(AND(R97="Yes",OR(S97="",S97&lt;=0)),"Missing photo proof",""),IF(AND(T97="Yes",U97&lt;&gt;"Yes"),"Missing redline",""),IF(V97="Yes","Safety follow-up",""),IF(W97&lt;&gt;"Yes","Missing customer signoff",""),IF(X97&lt;&gt;"Approved","Office not approved",""),IF(N97&lt;=0,"Bad shift hours","")))</x:f>
      </x:c>
      <x:c r="AA97" s="15" t="str">
        <x:f>IF(COUNTA(C97:M97,O97:X97)=0,"",IF(Z97="","Yes","No"))</x:f>
      </x:c>
      <x:c r="AB97" s="15"/>
    </x:row>
    <x:row r="98" ht="20" customHeight="1">
      <x:c r="A98" s="15"/>
      <x:c r="B98" s="122"/>
      <x:c r="C98" s="28"/>
      <x:c r="D98" s="15"/>
      <x:c r="E98" s="15"/>
      <x:c r="F98" s="15"/>
      <x:c r="G98" s="15"/>
      <x:c r="H98" s="15"/>
      <x:c r="I98" s="15"/>
      <x:c r="J98" s="15"/>
      <x:c r="K98" s="15"/>
      <x:c r="L98" s="134"/>
      <x:c r="M98" s="134"/>
      <x:c r="N98" s="136" t="str">
        <x:f>IF(OR(L98="",M98=""),"",MAX(0,(M98-L98)*24))</x:f>
      </x:c>
      <x:c r="O98" s="136"/>
      <x:c r="P98" s="138"/>
      <x:c r="Q98" s="15"/>
      <x:c r="R98" s="15"/>
      <x:c r="S98" s="15"/>
      <x:c r="T98" s="15"/>
      <x:c r="U98" s="15"/>
      <x:c r="V98" s="15"/>
      <x:c r="W98" s="15"/>
      <x:c r="X98" s="15"/>
      <x:c r="Y98" s="140" t="str">
        <x:f>IF(COUNTA(C98:M98,O98:X98)=0,"",ROUND((IF(OR(R98&lt;&gt;"Yes",S98&gt;0),1,0)+IF(OR(T98&lt;&gt;"Yes",U98="Yes"),1,0)+IF(W98="Yes",1,0)+IF(X98="Approved",1,0))/4,2))</x:f>
      </x:c>
      <x:c r="Z98" s="15" t="str">
        <x:f>IF(COUNTA(C98:M98,O98:X98)=0,"",TEXTJOIN("; ",TRUE,IF(C98="","Missing work date",""),IF(D98="","Missing project",""),IF(F98="","Missing crew",""),IF(O98="","Missing labor hours",""),IF(P98="","Missing production qty",""),IF(AND(R98="Yes",OR(S98="",S98&lt;=0)),"Missing photo proof",""),IF(AND(T98="Yes",U98&lt;&gt;"Yes"),"Missing redline",""),IF(V98="Yes","Safety follow-up",""),IF(W98&lt;&gt;"Yes","Missing customer signoff",""),IF(X98&lt;&gt;"Approved","Office not approved",""),IF(N98&lt;=0,"Bad shift hours","")))</x:f>
      </x:c>
      <x:c r="AA98" s="15" t="str">
        <x:f>IF(COUNTA(C98:M98,O98:X98)=0,"",IF(Z98="","Yes","No"))</x:f>
      </x:c>
      <x:c r="AB98" s="15"/>
    </x:row>
    <x:row r="99" ht="20" customHeight="1">
      <x:c r="A99" s="15"/>
      <x:c r="B99" s="122"/>
      <x:c r="C99" s="28"/>
      <x:c r="D99" s="15"/>
      <x:c r="E99" s="15"/>
      <x:c r="F99" s="15"/>
      <x:c r="G99" s="15"/>
      <x:c r="H99" s="15"/>
      <x:c r="I99" s="15"/>
      <x:c r="J99" s="15"/>
      <x:c r="K99" s="15"/>
      <x:c r="L99" s="134"/>
      <x:c r="M99" s="134"/>
      <x:c r="N99" s="136" t="str">
        <x:f>IF(OR(L99="",M99=""),"",MAX(0,(M99-L99)*24))</x:f>
      </x:c>
      <x:c r="O99" s="136"/>
      <x:c r="P99" s="138"/>
      <x:c r="Q99" s="15"/>
      <x:c r="R99" s="15"/>
      <x:c r="S99" s="15"/>
      <x:c r="T99" s="15"/>
      <x:c r="U99" s="15"/>
      <x:c r="V99" s="15"/>
      <x:c r="W99" s="15"/>
      <x:c r="X99" s="15"/>
      <x:c r="Y99" s="140" t="str">
        <x:f>IF(COUNTA(C99:M99,O99:X99)=0,"",ROUND((IF(OR(R99&lt;&gt;"Yes",S99&gt;0),1,0)+IF(OR(T99&lt;&gt;"Yes",U99="Yes"),1,0)+IF(W99="Yes",1,0)+IF(X99="Approved",1,0))/4,2))</x:f>
      </x:c>
      <x:c r="Z99" s="15" t="str">
        <x:f>IF(COUNTA(C99:M99,O99:X99)=0,"",TEXTJOIN("; ",TRUE,IF(C99="","Missing work date",""),IF(D99="","Missing project",""),IF(F99="","Missing crew",""),IF(O99="","Missing labor hours",""),IF(P99="","Missing production qty",""),IF(AND(R99="Yes",OR(S99="",S99&lt;=0)),"Missing photo proof",""),IF(AND(T99="Yes",U99&lt;&gt;"Yes"),"Missing redline",""),IF(V99="Yes","Safety follow-up",""),IF(W99&lt;&gt;"Yes","Missing customer signoff",""),IF(X99&lt;&gt;"Approved","Office not approved",""),IF(N99&lt;=0,"Bad shift hours","")))</x:f>
      </x:c>
      <x:c r="AA99" s="15" t="str">
        <x:f>IF(COUNTA(C99:M99,O99:X99)=0,"",IF(Z99="","Yes","No"))</x:f>
      </x:c>
      <x:c r="AB99" s="15"/>
    </x:row>
    <x:row r="100" ht="20" customHeight="1">
      <x:c r="A100" s="15"/>
      <x:c r="B100" s="122"/>
      <x:c r="C100" s="28"/>
      <x:c r="D100" s="15"/>
      <x:c r="E100" s="15"/>
      <x:c r="F100" s="15"/>
      <x:c r="G100" s="15"/>
      <x:c r="H100" s="15"/>
      <x:c r="I100" s="15"/>
      <x:c r="J100" s="15"/>
      <x:c r="K100" s="15"/>
      <x:c r="L100" s="134"/>
      <x:c r="M100" s="134"/>
      <x:c r="N100" s="136" t="str">
        <x:f>IF(OR(L100="",M100=""),"",MAX(0,(M100-L100)*24))</x:f>
      </x:c>
      <x:c r="O100" s="136"/>
      <x:c r="P100" s="138"/>
      <x:c r="Q100" s="15"/>
      <x:c r="R100" s="15"/>
      <x:c r="S100" s="15"/>
      <x:c r="T100" s="15"/>
      <x:c r="U100" s="15"/>
      <x:c r="V100" s="15"/>
      <x:c r="W100" s="15"/>
      <x:c r="X100" s="15"/>
      <x:c r="Y100" s="140" t="str">
        <x:f>IF(COUNTA(C100:M100,O100:X100)=0,"",ROUND((IF(OR(R100&lt;&gt;"Yes",S100&gt;0),1,0)+IF(OR(T100&lt;&gt;"Yes",U100="Yes"),1,0)+IF(W100="Yes",1,0)+IF(X100="Approved",1,0))/4,2))</x:f>
      </x:c>
      <x:c r="Z100" s="15" t="str">
        <x:f>IF(COUNTA(C100:M100,O100:X100)=0,"",TEXTJOIN("; ",TRUE,IF(C100="","Missing work date",""),IF(D100="","Missing project",""),IF(F100="","Missing crew",""),IF(O100="","Missing labor hours",""),IF(P100="","Missing production qty",""),IF(AND(R100="Yes",OR(S100="",S100&lt;=0)),"Missing photo proof",""),IF(AND(T100="Yes",U100&lt;&gt;"Yes"),"Missing redline",""),IF(V100="Yes","Safety follow-up",""),IF(W100&lt;&gt;"Yes","Missing customer signoff",""),IF(X100&lt;&gt;"Approved","Office not approved",""),IF(N100&lt;=0,"Bad shift hours","")))</x:f>
      </x:c>
      <x:c r="AA100" s="15" t="str">
        <x:f>IF(COUNTA(C100:M100,O100:X100)=0,"",IF(Z100="","Yes","No"))</x:f>
      </x:c>
      <x:c r="AB100" s="15"/>
    </x:row>
    <x:row r="101" ht="20" customHeight="1">
      <x:c r="A101" s="15"/>
      <x:c r="B101" s="122"/>
      <x:c r="C101" s="28"/>
      <x:c r="D101" s="15"/>
      <x:c r="E101" s="15"/>
      <x:c r="F101" s="15"/>
      <x:c r="G101" s="15"/>
      <x:c r="H101" s="15"/>
      <x:c r="I101" s="15"/>
      <x:c r="J101" s="15"/>
      <x:c r="K101" s="15"/>
      <x:c r="L101" s="134"/>
      <x:c r="M101" s="134"/>
      <x:c r="N101" s="136" t="str">
        <x:f>IF(OR(L101="",M101=""),"",MAX(0,(M101-L101)*24))</x:f>
      </x:c>
      <x:c r="O101" s="136"/>
      <x:c r="P101" s="138"/>
      <x:c r="Q101" s="15"/>
      <x:c r="R101" s="15"/>
      <x:c r="S101" s="15"/>
      <x:c r="T101" s="15"/>
      <x:c r="U101" s="15"/>
      <x:c r="V101" s="15"/>
      <x:c r="W101" s="15"/>
      <x:c r="X101" s="15"/>
      <x:c r="Y101" s="140" t="str">
        <x:f>IF(COUNTA(C101:M101,O101:X101)=0,"",ROUND((IF(OR(R101&lt;&gt;"Yes",S101&gt;0),1,0)+IF(OR(T101&lt;&gt;"Yes",U101="Yes"),1,0)+IF(W101="Yes",1,0)+IF(X101="Approved",1,0))/4,2))</x:f>
      </x:c>
      <x:c r="Z101" s="15" t="str">
        <x:f>IF(COUNTA(C101:M101,O101:X101)=0,"",TEXTJOIN("; ",TRUE,IF(C101="","Missing work date",""),IF(D101="","Missing project",""),IF(F101="","Missing crew",""),IF(O101="","Missing labor hours",""),IF(P101="","Missing production qty",""),IF(AND(R101="Yes",OR(S101="",S101&lt;=0)),"Missing photo proof",""),IF(AND(T101="Yes",U101&lt;&gt;"Yes"),"Missing redline",""),IF(V101="Yes","Safety follow-up",""),IF(W101&lt;&gt;"Yes","Missing customer signoff",""),IF(X101&lt;&gt;"Approved","Office not approved",""),IF(N101&lt;=0,"Bad shift hours","")))</x:f>
      </x:c>
      <x:c r="AA101" s="15" t="str">
        <x:f>IF(COUNTA(C101:M101,O101:X101)=0,"",IF(Z101="","Yes","No"))</x:f>
      </x:c>
      <x:c r="AB101" s="15"/>
    </x:row>
    <x:row r="102" ht="20" customHeight="1">
      <x:c r="A102" s="15"/>
      <x:c r="B102" s="122"/>
      <x:c r="C102" s="28"/>
      <x:c r="D102" s="15"/>
      <x:c r="E102" s="15"/>
      <x:c r="F102" s="15"/>
      <x:c r="G102" s="15"/>
      <x:c r="H102" s="15"/>
      <x:c r="I102" s="15"/>
      <x:c r="J102" s="15"/>
      <x:c r="K102" s="15"/>
      <x:c r="L102" s="134"/>
      <x:c r="M102" s="134"/>
      <x:c r="N102" s="136" t="str">
        <x:f>IF(OR(L102="",M102=""),"",MAX(0,(M102-L102)*24))</x:f>
      </x:c>
      <x:c r="O102" s="136"/>
      <x:c r="P102" s="138"/>
      <x:c r="Q102" s="15"/>
      <x:c r="R102" s="15"/>
      <x:c r="S102" s="15"/>
      <x:c r="T102" s="15"/>
      <x:c r="U102" s="15"/>
      <x:c r="V102" s="15"/>
      <x:c r="W102" s="15"/>
      <x:c r="X102" s="15"/>
      <x:c r="Y102" s="140" t="str">
        <x:f>IF(COUNTA(C102:M102,O102:X102)=0,"",ROUND((IF(OR(R102&lt;&gt;"Yes",S102&gt;0),1,0)+IF(OR(T102&lt;&gt;"Yes",U102="Yes"),1,0)+IF(W102="Yes",1,0)+IF(X102="Approved",1,0))/4,2))</x:f>
      </x:c>
      <x:c r="Z102" s="15" t="str">
        <x:f>IF(COUNTA(C102:M102,O102:X102)=0,"",TEXTJOIN("; ",TRUE,IF(C102="","Missing work date",""),IF(D102="","Missing project",""),IF(F102="","Missing crew",""),IF(O102="","Missing labor hours",""),IF(P102="","Missing production qty",""),IF(AND(R102="Yes",OR(S102="",S102&lt;=0)),"Missing photo proof",""),IF(AND(T102="Yes",U102&lt;&gt;"Yes"),"Missing redline",""),IF(V102="Yes","Safety follow-up",""),IF(W102&lt;&gt;"Yes","Missing customer signoff",""),IF(X102&lt;&gt;"Approved","Office not approved",""),IF(N102&lt;=0,"Bad shift hours","")))</x:f>
      </x:c>
      <x:c r="AA102" s="15" t="str">
        <x:f>IF(COUNTA(C102:M102,O102:X102)=0,"",IF(Z102="","Yes","No"))</x:f>
      </x:c>
      <x:c r="AB102" s="15"/>
    </x:row>
    <x:row r="103" ht="20" customHeight="1">
      <x:c r="A103" s="15"/>
      <x:c r="B103" s="122"/>
      <x:c r="C103" s="28"/>
      <x:c r="D103" s="15"/>
      <x:c r="E103" s="15"/>
      <x:c r="F103" s="15"/>
      <x:c r="G103" s="15"/>
      <x:c r="H103" s="15"/>
      <x:c r="I103" s="15"/>
      <x:c r="J103" s="15"/>
      <x:c r="K103" s="15"/>
      <x:c r="L103" s="134"/>
      <x:c r="M103" s="134"/>
      <x:c r="N103" s="136" t="str">
        <x:f>IF(OR(L103="",M103=""),"",MAX(0,(M103-L103)*24))</x:f>
      </x:c>
      <x:c r="O103" s="136"/>
      <x:c r="P103" s="138"/>
      <x:c r="Q103" s="15"/>
      <x:c r="R103" s="15"/>
      <x:c r="S103" s="15"/>
      <x:c r="T103" s="15"/>
      <x:c r="U103" s="15"/>
      <x:c r="V103" s="15"/>
      <x:c r="W103" s="15"/>
      <x:c r="X103" s="15"/>
      <x:c r="Y103" s="140" t="str">
        <x:f>IF(COUNTA(C103:M103,O103:X103)=0,"",ROUND((IF(OR(R103&lt;&gt;"Yes",S103&gt;0),1,0)+IF(OR(T103&lt;&gt;"Yes",U103="Yes"),1,0)+IF(W103="Yes",1,0)+IF(X103="Approved",1,0))/4,2))</x:f>
      </x:c>
      <x:c r="Z103" s="15" t="str">
        <x:f>IF(COUNTA(C103:M103,O103:X103)=0,"",TEXTJOIN("; ",TRUE,IF(C103="","Missing work date",""),IF(D103="","Missing project",""),IF(F103="","Missing crew",""),IF(O103="","Missing labor hours",""),IF(P103="","Missing production qty",""),IF(AND(R103="Yes",OR(S103="",S103&lt;=0)),"Missing photo proof",""),IF(AND(T103="Yes",U103&lt;&gt;"Yes"),"Missing redline",""),IF(V103="Yes","Safety follow-up",""),IF(W103&lt;&gt;"Yes","Missing customer signoff",""),IF(X103&lt;&gt;"Approved","Office not approved",""),IF(N103&lt;=0,"Bad shift hours","")))</x:f>
      </x:c>
      <x:c r="AA103" s="15" t="str">
        <x:f>IF(COUNTA(C103:M103,O103:X103)=0,"",IF(Z103="","Yes","No"))</x:f>
      </x:c>
      <x:c r="AB103" s="15"/>
    </x:row>
    <x:row r="104" ht="20" customHeight="1">
      <x:c r="A104" s="15"/>
      <x:c r="B104" s="122"/>
      <x:c r="C104" s="28"/>
      <x:c r="D104" s="15"/>
      <x:c r="E104" s="15"/>
      <x:c r="F104" s="15"/>
      <x:c r="G104" s="15"/>
      <x:c r="H104" s="15"/>
      <x:c r="I104" s="15"/>
      <x:c r="J104" s="15"/>
      <x:c r="K104" s="15"/>
      <x:c r="L104" s="134"/>
      <x:c r="M104" s="134"/>
      <x:c r="N104" s="136" t="str">
        <x:f>IF(OR(L104="",M104=""),"",MAX(0,(M104-L104)*24))</x:f>
      </x:c>
      <x:c r="O104" s="136"/>
      <x:c r="P104" s="138"/>
      <x:c r="Q104" s="15"/>
      <x:c r="R104" s="15"/>
      <x:c r="S104" s="15"/>
      <x:c r="T104" s="15"/>
      <x:c r="U104" s="15"/>
      <x:c r="V104" s="15"/>
      <x:c r="W104" s="15"/>
      <x:c r="X104" s="15"/>
      <x:c r="Y104" s="140" t="str">
        <x:f>IF(COUNTA(C104:M104,O104:X104)=0,"",ROUND((IF(OR(R104&lt;&gt;"Yes",S104&gt;0),1,0)+IF(OR(T104&lt;&gt;"Yes",U104="Yes"),1,0)+IF(W104="Yes",1,0)+IF(X104="Approved",1,0))/4,2))</x:f>
      </x:c>
      <x:c r="Z104" s="15" t="str">
        <x:f>IF(COUNTA(C104:M104,O104:X104)=0,"",TEXTJOIN("; ",TRUE,IF(C104="","Missing work date",""),IF(D104="","Missing project",""),IF(F104="","Missing crew",""),IF(O104="","Missing labor hours",""),IF(P104="","Missing production qty",""),IF(AND(R104="Yes",OR(S104="",S104&lt;=0)),"Missing photo proof",""),IF(AND(T104="Yes",U104&lt;&gt;"Yes"),"Missing redline",""),IF(V104="Yes","Safety follow-up",""),IF(W104&lt;&gt;"Yes","Missing customer signoff",""),IF(X104&lt;&gt;"Approved","Office not approved",""),IF(N104&lt;=0,"Bad shift hours","")))</x:f>
      </x:c>
      <x:c r="AA104" s="15" t="str">
        <x:f>IF(COUNTA(C104:M104,O104:X104)=0,"",IF(Z104="","Yes","No"))</x:f>
      </x:c>
      <x:c r="AB104" s="15"/>
    </x:row>
    <x:row r="105" ht="20" customHeight="1">
      <x:c r="A105" s="15"/>
      <x:c r="B105" s="122"/>
      <x:c r="C105" s="28"/>
      <x:c r="D105" s="15"/>
      <x:c r="E105" s="15"/>
      <x:c r="F105" s="15"/>
      <x:c r="G105" s="15"/>
      <x:c r="H105" s="15"/>
      <x:c r="I105" s="15"/>
      <x:c r="J105" s="15"/>
      <x:c r="K105" s="15"/>
      <x:c r="L105" s="134"/>
      <x:c r="M105" s="134"/>
      <x:c r="N105" s="136" t="str">
        <x:f>IF(OR(L105="",M105=""),"",MAX(0,(M105-L105)*24))</x:f>
      </x:c>
      <x:c r="O105" s="136"/>
      <x:c r="P105" s="138"/>
      <x:c r="Q105" s="15"/>
      <x:c r="R105" s="15"/>
      <x:c r="S105" s="15"/>
      <x:c r="T105" s="15"/>
      <x:c r="U105" s="15"/>
      <x:c r="V105" s="15"/>
      <x:c r="W105" s="15"/>
      <x:c r="X105" s="15"/>
      <x:c r="Y105" s="140" t="str">
        <x:f>IF(COUNTA(C105:M105,O105:X105)=0,"",ROUND((IF(OR(R105&lt;&gt;"Yes",S105&gt;0),1,0)+IF(OR(T105&lt;&gt;"Yes",U105="Yes"),1,0)+IF(W105="Yes",1,0)+IF(X105="Approved",1,0))/4,2))</x:f>
      </x:c>
      <x:c r="Z105" s="15" t="str">
        <x:f>IF(COUNTA(C105:M105,O105:X105)=0,"",TEXTJOIN("; ",TRUE,IF(C105="","Missing work date",""),IF(D105="","Missing project",""),IF(F105="","Missing crew",""),IF(O105="","Missing labor hours",""),IF(P105="","Missing production qty",""),IF(AND(R105="Yes",OR(S105="",S105&lt;=0)),"Missing photo proof",""),IF(AND(T105="Yes",U105&lt;&gt;"Yes"),"Missing redline",""),IF(V105="Yes","Safety follow-up",""),IF(W105&lt;&gt;"Yes","Missing customer signoff",""),IF(X105&lt;&gt;"Approved","Office not approved",""),IF(N105&lt;=0,"Bad shift hours","")))</x:f>
      </x:c>
      <x:c r="AA105" s="15" t="str">
        <x:f>IF(COUNTA(C105:M105,O105:X105)=0,"",IF(Z105="","Yes","No"))</x:f>
      </x:c>
      <x:c r="AB105" s="15"/>
    </x:row>
    <x:row r="106" ht="20" customHeight="1">
      <x:c r="A106" s="15"/>
      <x:c r="B106" s="122"/>
      <x:c r="C106" s="28"/>
      <x:c r="D106" s="15"/>
      <x:c r="E106" s="15"/>
      <x:c r="F106" s="15"/>
      <x:c r="G106" s="15"/>
      <x:c r="H106" s="15"/>
      <x:c r="I106" s="15"/>
      <x:c r="J106" s="15"/>
      <x:c r="K106" s="15"/>
      <x:c r="L106" s="134"/>
      <x:c r="M106" s="134"/>
      <x:c r="N106" s="136" t="str">
        <x:f>IF(OR(L106="",M106=""),"",MAX(0,(M106-L106)*24))</x:f>
      </x:c>
      <x:c r="O106" s="136"/>
      <x:c r="P106" s="138"/>
      <x:c r="Q106" s="15"/>
      <x:c r="R106" s="15"/>
      <x:c r="S106" s="15"/>
      <x:c r="T106" s="15"/>
      <x:c r="U106" s="15"/>
      <x:c r="V106" s="15"/>
      <x:c r="W106" s="15"/>
      <x:c r="X106" s="15"/>
      <x:c r="Y106" s="140" t="str">
        <x:f>IF(COUNTA(C106:M106,O106:X106)=0,"",ROUND((IF(OR(R106&lt;&gt;"Yes",S106&gt;0),1,0)+IF(OR(T106&lt;&gt;"Yes",U106="Yes"),1,0)+IF(W106="Yes",1,0)+IF(X106="Approved",1,0))/4,2))</x:f>
      </x:c>
      <x:c r="Z106" s="15" t="str">
        <x:f>IF(COUNTA(C106:M106,O106:X106)=0,"",TEXTJOIN("; ",TRUE,IF(C106="","Missing work date",""),IF(D106="","Missing project",""),IF(F106="","Missing crew",""),IF(O106="","Missing labor hours",""),IF(P106="","Missing production qty",""),IF(AND(R106="Yes",OR(S106="",S106&lt;=0)),"Missing photo proof",""),IF(AND(T106="Yes",U106&lt;&gt;"Yes"),"Missing redline",""),IF(V106="Yes","Safety follow-up",""),IF(W106&lt;&gt;"Yes","Missing customer signoff",""),IF(X106&lt;&gt;"Approved","Office not approved",""),IF(N106&lt;=0,"Bad shift hours","")))</x:f>
      </x:c>
      <x:c r="AA106" s="15" t="str">
        <x:f>IF(COUNTA(C106:M106,O106:X106)=0,"",IF(Z106="","Yes","No"))</x:f>
      </x:c>
      <x:c r="AB106" s="15"/>
    </x:row>
    <x:row r="107" ht="20" customHeight="1">
      <x:c r="A107" s="15"/>
      <x:c r="B107" s="122"/>
      <x:c r="C107" s="28"/>
      <x:c r="D107" s="15"/>
      <x:c r="E107" s="15"/>
      <x:c r="F107" s="15"/>
      <x:c r="G107" s="15"/>
      <x:c r="H107" s="15"/>
      <x:c r="I107" s="15"/>
      <x:c r="J107" s="15"/>
      <x:c r="K107" s="15"/>
      <x:c r="L107" s="134"/>
      <x:c r="M107" s="134"/>
      <x:c r="N107" s="136" t="str">
        <x:f>IF(OR(L107="",M107=""),"",MAX(0,(M107-L107)*24))</x:f>
      </x:c>
      <x:c r="O107" s="136"/>
      <x:c r="P107" s="138"/>
      <x:c r="Q107" s="15"/>
      <x:c r="R107" s="15"/>
      <x:c r="S107" s="15"/>
      <x:c r="T107" s="15"/>
      <x:c r="U107" s="15"/>
      <x:c r="V107" s="15"/>
      <x:c r="W107" s="15"/>
      <x:c r="X107" s="15"/>
      <x:c r="Y107" s="140" t="str">
        <x:f>IF(COUNTA(C107:M107,O107:X107)=0,"",ROUND((IF(OR(R107&lt;&gt;"Yes",S107&gt;0),1,0)+IF(OR(T107&lt;&gt;"Yes",U107="Yes"),1,0)+IF(W107="Yes",1,0)+IF(X107="Approved",1,0))/4,2))</x:f>
      </x:c>
      <x:c r="Z107" s="15" t="str">
        <x:f>IF(COUNTA(C107:M107,O107:X107)=0,"",TEXTJOIN("; ",TRUE,IF(C107="","Missing work date",""),IF(D107="","Missing project",""),IF(F107="","Missing crew",""),IF(O107="","Missing labor hours",""),IF(P107="","Missing production qty",""),IF(AND(R107="Yes",OR(S107="",S107&lt;=0)),"Missing photo proof",""),IF(AND(T107="Yes",U107&lt;&gt;"Yes"),"Missing redline",""),IF(V107="Yes","Safety follow-up",""),IF(W107&lt;&gt;"Yes","Missing customer signoff",""),IF(X107&lt;&gt;"Approved","Office not approved",""),IF(N107&lt;=0,"Bad shift hours","")))</x:f>
      </x:c>
      <x:c r="AA107" s="15" t="str">
        <x:f>IF(COUNTA(C107:M107,O107:X107)=0,"",IF(Z107="","Yes","No"))</x:f>
      </x:c>
      <x:c r="AB107" s="15"/>
    </x:row>
    <x:row r="108" ht="20" customHeight="1">
      <x:c r="A108" s="15"/>
      <x:c r="B108" s="122"/>
      <x:c r="C108" s="28"/>
      <x:c r="D108" s="15"/>
      <x:c r="E108" s="15"/>
      <x:c r="F108" s="15"/>
      <x:c r="G108" s="15"/>
      <x:c r="H108" s="15"/>
      <x:c r="I108" s="15"/>
      <x:c r="J108" s="15"/>
      <x:c r="K108" s="15"/>
      <x:c r="L108" s="134"/>
      <x:c r="M108" s="134"/>
      <x:c r="N108" s="136" t="str">
        <x:f>IF(OR(L108="",M108=""),"",MAX(0,(M108-L108)*24))</x:f>
      </x:c>
      <x:c r="O108" s="136"/>
      <x:c r="P108" s="138"/>
      <x:c r="Q108" s="15"/>
      <x:c r="R108" s="15"/>
      <x:c r="S108" s="15"/>
      <x:c r="T108" s="15"/>
      <x:c r="U108" s="15"/>
      <x:c r="V108" s="15"/>
      <x:c r="W108" s="15"/>
      <x:c r="X108" s="15"/>
      <x:c r="Y108" s="140" t="str">
        <x:f>IF(COUNTA(C108:M108,O108:X108)=0,"",ROUND((IF(OR(R108&lt;&gt;"Yes",S108&gt;0),1,0)+IF(OR(T108&lt;&gt;"Yes",U108="Yes"),1,0)+IF(W108="Yes",1,0)+IF(X108="Approved",1,0))/4,2))</x:f>
      </x:c>
      <x:c r="Z108" s="15" t="str">
        <x:f>IF(COUNTA(C108:M108,O108:X108)=0,"",TEXTJOIN("; ",TRUE,IF(C108="","Missing work date",""),IF(D108="","Missing project",""),IF(F108="","Missing crew",""),IF(O108="","Missing labor hours",""),IF(P108="","Missing production qty",""),IF(AND(R108="Yes",OR(S108="",S108&lt;=0)),"Missing photo proof",""),IF(AND(T108="Yes",U108&lt;&gt;"Yes"),"Missing redline",""),IF(V108="Yes","Safety follow-up",""),IF(W108&lt;&gt;"Yes","Missing customer signoff",""),IF(X108&lt;&gt;"Approved","Office not approved",""),IF(N108&lt;=0,"Bad shift hours","")))</x:f>
      </x:c>
      <x:c r="AA108" s="15" t="str">
        <x:f>IF(COUNTA(C108:M108,O108:X108)=0,"",IF(Z108="","Yes","No"))</x:f>
      </x:c>
      <x:c r="AB108" s="15"/>
    </x:row>
    <x:row r="109" ht="20" customHeight="1">
      <x:c r="A109" s="15"/>
      <x:c r="B109" s="122"/>
      <x:c r="C109" s="28"/>
      <x:c r="D109" s="15"/>
      <x:c r="E109" s="15"/>
      <x:c r="F109" s="15"/>
      <x:c r="G109" s="15"/>
      <x:c r="H109" s="15"/>
      <x:c r="I109" s="15"/>
      <x:c r="J109" s="15"/>
      <x:c r="K109" s="15"/>
      <x:c r="L109" s="134"/>
      <x:c r="M109" s="134"/>
      <x:c r="N109" s="136" t="str">
        <x:f>IF(OR(L109="",M109=""),"",MAX(0,(M109-L109)*24))</x:f>
      </x:c>
      <x:c r="O109" s="136"/>
      <x:c r="P109" s="138"/>
      <x:c r="Q109" s="15"/>
      <x:c r="R109" s="15"/>
      <x:c r="S109" s="15"/>
      <x:c r="T109" s="15"/>
      <x:c r="U109" s="15"/>
      <x:c r="V109" s="15"/>
      <x:c r="W109" s="15"/>
      <x:c r="X109" s="15"/>
      <x:c r="Y109" s="140" t="str">
        <x:f>IF(COUNTA(C109:M109,O109:X109)=0,"",ROUND((IF(OR(R109&lt;&gt;"Yes",S109&gt;0),1,0)+IF(OR(T109&lt;&gt;"Yes",U109="Yes"),1,0)+IF(W109="Yes",1,0)+IF(X109="Approved",1,0))/4,2))</x:f>
      </x:c>
      <x:c r="Z109" s="15" t="str">
        <x:f>IF(COUNTA(C109:M109,O109:X109)=0,"",TEXTJOIN("; ",TRUE,IF(C109="","Missing work date",""),IF(D109="","Missing project",""),IF(F109="","Missing crew",""),IF(O109="","Missing labor hours",""),IF(P109="","Missing production qty",""),IF(AND(R109="Yes",OR(S109="",S109&lt;=0)),"Missing photo proof",""),IF(AND(T109="Yes",U109&lt;&gt;"Yes"),"Missing redline",""),IF(V109="Yes","Safety follow-up",""),IF(W109&lt;&gt;"Yes","Missing customer signoff",""),IF(X109&lt;&gt;"Approved","Office not approved",""),IF(N109&lt;=0,"Bad shift hours","")))</x:f>
      </x:c>
      <x:c r="AA109" s="15" t="str">
        <x:f>IF(COUNTA(C109:M109,O109:X109)=0,"",IF(Z109="","Yes","No"))</x:f>
      </x:c>
      <x:c r="AB109" s="15"/>
    </x:row>
    <x:row r="110" ht="20" customHeight="1">
      <x:c r="A110" s="15"/>
      <x:c r="B110" s="122"/>
      <x:c r="C110" s="28"/>
      <x:c r="D110" s="15"/>
      <x:c r="E110" s="15"/>
      <x:c r="F110" s="15"/>
      <x:c r="G110" s="15"/>
      <x:c r="H110" s="15"/>
      <x:c r="I110" s="15"/>
      <x:c r="J110" s="15"/>
      <x:c r="K110" s="15"/>
      <x:c r="L110" s="134"/>
      <x:c r="M110" s="134"/>
      <x:c r="N110" s="136" t="str">
        <x:f>IF(OR(L110="",M110=""),"",MAX(0,(M110-L110)*24))</x:f>
      </x:c>
      <x:c r="O110" s="136"/>
      <x:c r="P110" s="138"/>
      <x:c r="Q110" s="15"/>
      <x:c r="R110" s="15"/>
      <x:c r="S110" s="15"/>
      <x:c r="T110" s="15"/>
      <x:c r="U110" s="15"/>
      <x:c r="V110" s="15"/>
      <x:c r="W110" s="15"/>
      <x:c r="X110" s="15"/>
      <x:c r="Y110" s="140" t="str">
        <x:f>IF(COUNTA(C110:M110,O110:X110)=0,"",ROUND((IF(OR(R110&lt;&gt;"Yes",S110&gt;0),1,0)+IF(OR(T110&lt;&gt;"Yes",U110="Yes"),1,0)+IF(W110="Yes",1,0)+IF(X110="Approved",1,0))/4,2))</x:f>
      </x:c>
      <x:c r="Z110" s="15" t="str">
        <x:f>IF(COUNTA(C110:M110,O110:X110)=0,"",TEXTJOIN("; ",TRUE,IF(C110="","Missing work date",""),IF(D110="","Missing project",""),IF(F110="","Missing crew",""),IF(O110="","Missing labor hours",""),IF(P110="","Missing production qty",""),IF(AND(R110="Yes",OR(S110="",S110&lt;=0)),"Missing photo proof",""),IF(AND(T110="Yes",U110&lt;&gt;"Yes"),"Missing redline",""),IF(V110="Yes","Safety follow-up",""),IF(W110&lt;&gt;"Yes","Missing customer signoff",""),IF(X110&lt;&gt;"Approved","Office not approved",""),IF(N110&lt;=0,"Bad shift hours","")))</x:f>
      </x:c>
      <x:c r="AA110" s="15" t="str">
        <x:f>IF(COUNTA(C110:M110,O110:X110)=0,"",IF(Z110="","Yes","No"))</x:f>
      </x:c>
      <x:c r="AB110" s="15"/>
    </x:row>
    <x:row r="111" ht="20" customHeight="1">
      <x:c r="A111" s="15"/>
      <x:c r="B111" s="122"/>
      <x:c r="C111" s="28"/>
      <x:c r="D111" s="15"/>
      <x:c r="E111" s="15"/>
      <x:c r="F111" s="15"/>
      <x:c r="G111" s="15"/>
      <x:c r="H111" s="15"/>
      <x:c r="I111" s="15"/>
      <x:c r="J111" s="15"/>
      <x:c r="K111" s="15"/>
      <x:c r="L111" s="134"/>
      <x:c r="M111" s="134"/>
      <x:c r="N111" s="136" t="str">
        <x:f>IF(OR(L111="",M111=""),"",MAX(0,(M111-L111)*24))</x:f>
      </x:c>
      <x:c r="O111" s="136"/>
      <x:c r="P111" s="138"/>
      <x:c r="Q111" s="15"/>
      <x:c r="R111" s="15"/>
      <x:c r="S111" s="15"/>
      <x:c r="T111" s="15"/>
      <x:c r="U111" s="15"/>
      <x:c r="V111" s="15"/>
      <x:c r="W111" s="15"/>
      <x:c r="X111" s="15"/>
      <x:c r="Y111" s="140" t="str">
        <x:f>IF(COUNTA(C111:M111,O111:X111)=0,"",ROUND((IF(OR(R111&lt;&gt;"Yes",S111&gt;0),1,0)+IF(OR(T111&lt;&gt;"Yes",U111="Yes"),1,0)+IF(W111="Yes",1,0)+IF(X111="Approved",1,0))/4,2))</x:f>
      </x:c>
      <x:c r="Z111" s="15" t="str">
        <x:f>IF(COUNTA(C111:M111,O111:X111)=0,"",TEXTJOIN("; ",TRUE,IF(C111="","Missing work date",""),IF(D111="","Missing project",""),IF(F111="","Missing crew",""),IF(O111="","Missing labor hours",""),IF(P111="","Missing production qty",""),IF(AND(R111="Yes",OR(S111="",S111&lt;=0)),"Missing photo proof",""),IF(AND(T111="Yes",U111&lt;&gt;"Yes"),"Missing redline",""),IF(V111="Yes","Safety follow-up",""),IF(W111&lt;&gt;"Yes","Missing customer signoff",""),IF(X111&lt;&gt;"Approved","Office not approved",""),IF(N111&lt;=0,"Bad shift hours","")))</x:f>
      </x:c>
      <x:c r="AA111" s="15" t="str">
        <x:f>IF(COUNTA(C111:M111,O111:X111)=0,"",IF(Z111="","Yes","No"))</x:f>
      </x:c>
      <x:c r="AB111" s="15"/>
    </x:row>
    <x:row r="112" ht="20" customHeight="1">
      <x:c r="A112" s="15"/>
      <x:c r="B112" s="122"/>
      <x:c r="C112" s="28"/>
      <x:c r="D112" s="15"/>
      <x:c r="E112" s="15"/>
      <x:c r="F112" s="15"/>
      <x:c r="G112" s="15"/>
      <x:c r="H112" s="15"/>
      <x:c r="I112" s="15"/>
      <x:c r="J112" s="15"/>
      <x:c r="K112" s="15"/>
      <x:c r="L112" s="134"/>
      <x:c r="M112" s="134"/>
      <x:c r="N112" s="136" t="str">
        <x:f>IF(OR(L112="",M112=""),"",MAX(0,(M112-L112)*24))</x:f>
      </x:c>
      <x:c r="O112" s="136"/>
      <x:c r="P112" s="138"/>
      <x:c r="Q112" s="15"/>
      <x:c r="R112" s="15"/>
      <x:c r="S112" s="15"/>
      <x:c r="T112" s="15"/>
      <x:c r="U112" s="15"/>
      <x:c r="V112" s="15"/>
      <x:c r="W112" s="15"/>
      <x:c r="X112" s="15"/>
      <x:c r="Y112" s="140" t="str">
        <x:f>IF(COUNTA(C112:M112,O112:X112)=0,"",ROUND((IF(OR(R112&lt;&gt;"Yes",S112&gt;0),1,0)+IF(OR(T112&lt;&gt;"Yes",U112="Yes"),1,0)+IF(W112="Yes",1,0)+IF(X112="Approved",1,0))/4,2))</x:f>
      </x:c>
      <x:c r="Z112" s="15" t="str">
        <x:f>IF(COUNTA(C112:M112,O112:X112)=0,"",TEXTJOIN("; ",TRUE,IF(C112="","Missing work date",""),IF(D112="","Missing project",""),IF(F112="","Missing crew",""),IF(O112="","Missing labor hours",""),IF(P112="","Missing production qty",""),IF(AND(R112="Yes",OR(S112="",S112&lt;=0)),"Missing photo proof",""),IF(AND(T112="Yes",U112&lt;&gt;"Yes"),"Missing redline",""),IF(V112="Yes","Safety follow-up",""),IF(W112&lt;&gt;"Yes","Missing customer signoff",""),IF(X112&lt;&gt;"Approved","Office not approved",""),IF(N112&lt;=0,"Bad shift hours","")))</x:f>
      </x:c>
      <x:c r="AA112" s="15" t="str">
        <x:f>IF(COUNTA(C112:M112,O112:X112)=0,"",IF(Z112="","Yes","No"))</x:f>
      </x:c>
      <x:c r="AB112" s="15"/>
    </x:row>
    <x:row r="113" ht="20" customHeight="1">
      <x:c r="A113" s="15"/>
      <x:c r="B113" s="122"/>
      <x:c r="C113" s="28"/>
      <x:c r="D113" s="15"/>
      <x:c r="E113" s="15"/>
      <x:c r="F113" s="15"/>
      <x:c r="G113" s="15"/>
      <x:c r="H113" s="15"/>
      <x:c r="I113" s="15"/>
      <x:c r="J113" s="15"/>
      <x:c r="K113" s="15"/>
      <x:c r="L113" s="134"/>
      <x:c r="M113" s="134"/>
      <x:c r="N113" s="136" t="str">
        <x:f>IF(OR(L113="",M113=""),"",MAX(0,(M113-L113)*24))</x:f>
      </x:c>
      <x:c r="O113" s="136"/>
      <x:c r="P113" s="138"/>
      <x:c r="Q113" s="15"/>
      <x:c r="R113" s="15"/>
      <x:c r="S113" s="15"/>
      <x:c r="T113" s="15"/>
      <x:c r="U113" s="15"/>
      <x:c r="V113" s="15"/>
      <x:c r="W113" s="15"/>
      <x:c r="X113" s="15"/>
      <x:c r="Y113" s="140" t="str">
        <x:f>IF(COUNTA(C113:M113,O113:X113)=0,"",ROUND((IF(OR(R113&lt;&gt;"Yes",S113&gt;0),1,0)+IF(OR(T113&lt;&gt;"Yes",U113="Yes"),1,0)+IF(W113="Yes",1,0)+IF(X113="Approved",1,0))/4,2))</x:f>
      </x:c>
      <x:c r="Z113" s="15" t="str">
        <x:f>IF(COUNTA(C113:M113,O113:X113)=0,"",TEXTJOIN("; ",TRUE,IF(C113="","Missing work date",""),IF(D113="","Missing project",""),IF(F113="","Missing crew",""),IF(O113="","Missing labor hours",""),IF(P113="","Missing production qty",""),IF(AND(R113="Yes",OR(S113="",S113&lt;=0)),"Missing photo proof",""),IF(AND(T113="Yes",U113&lt;&gt;"Yes"),"Missing redline",""),IF(V113="Yes","Safety follow-up",""),IF(W113&lt;&gt;"Yes","Missing customer signoff",""),IF(X113&lt;&gt;"Approved","Office not approved",""),IF(N113&lt;=0,"Bad shift hours","")))</x:f>
      </x:c>
      <x:c r="AA113" s="15" t="str">
        <x:f>IF(COUNTA(C113:M113,O113:X113)=0,"",IF(Z113="","Yes","No"))</x:f>
      </x:c>
      <x:c r="AB113" s="15"/>
    </x:row>
    <x:row r="114" ht="20" customHeight="1">
      <x:c r="A114" s="15"/>
      <x:c r="B114" s="122"/>
      <x:c r="C114" s="28"/>
      <x:c r="D114" s="15"/>
      <x:c r="E114" s="15"/>
      <x:c r="F114" s="15"/>
      <x:c r="G114" s="15"/>
      <x:c r="H114" s="15"/>
      <x:c r="I114" s="15"/>
      <x:c r="J114" s="15"/>
      <x:c r="K114" s="15"/>
      <x:c r="L114" s="134"/>
      <x:c r="M114" s="134"/>
      <x:c r="N114" s="136" t="str">
        <x:f>IF(OR(L114="",M114=""),"",MAX(0,(M114-L114)*24))</x:f>
      </x:c>
      <x:c r="O114" s="136"/>
      <x:c r="P114" s="138"/>
      <x:c r="Q114" s="15"/>
      <x:c r="R114" s="15"/>
      <x:c r="S114" s="15"/>
      <x:c r="T114" s="15"/>
      <x:c r="U114" s="15"/>
      <x:c r="V114" s="15"/>
      <x:c r="W114" s="15"/>
      <x:c r="X114" s="15"/>
      <x:c r="Y114" s="140" t="str">
        <x:f>IF(COUNTA(C114:M114,O114:X114)=0,"",ROUND((IF(OR(R114&lt;&gt;"Yes",S114&gt;0),1,0)+IF(OR(T114&lt;&gt;"Yes",U114="Yes"),1,0)+IF(W114="Yes",1,0)+IF(X114="Approved",1,0))/4,2))</x:f>
      </x:c>
      <x:c r="Z114" s="15" t="str">
        <x:f>IF(COUNTA(C114:M114,O114:X114)=0,"",TEXTJOIN("; ",TRUE,IF(C114="","Missing work date",""),IF(D114="","Missing project",""),IF(F114="","Missing crew",""),IF(O114="","Missing labor hours",""),IF(P114="","Missing production qty",""),IF(AND(R114="Yes",OR(S114="",S114&lt;=0)),"Missing photo proof",""),IF(AND(T114="Yes",U114&lt;&gt;"Yes"),"Missing redline",""),IF(V114="Yes","Safety follow-up",""),IF(W114&lt;&gt;"Yes","Missing customer signoff",""),IF(X114&lt;&gt;"Approved","Office not approved",""),IF(N114&lt;=0,"Bad shift hours","")))</x:f>
      </x:c>
      <x:c r="AA114" s="15" t="str">
        <x:f>IF(COUNTA(C114:M114,O114:X114)=0,"",IF(Z114="","Yes","No"))</x:f>
      </x:c>
      <x:c r="AB114" s="15"/>
    </x:row>
    <x:row r="115" ht="20" customHeight="1">
      <x:c r="A115" s="15"/>
      <x:c r="B115" s="122"/>
      <x:c r="C115" s="28"/>
      <x:c r="D115" s="15"/>
      <x:c r="E115" s="15"/>
      <x:c r="F115" s="15"/>
      <x:c r="G115" s="15"/>
      <x:c r="H115" s="15"/>
      <x:c r="I115" s="15"/>
      <x:c r="J115" s="15"/>
      <x:c r="K115" s="15"/>
      <x:c r="L115" s="134"/>
      <x:c r="M115" s="134"/>
      <x:c r="N115" s="136" t="str">
        <x:f>IF(OR(L115="",M115=""),"",MAX(0,(M115-L115)*24))</x:f>
      </x:c>
      <x:c r="O115" s="136"/>
      <x:c r="P115" s="138"/>
      <x:c r="Q115" s="15"/>
      <x:c r="R115" s="15"/>
      <x:c r="S115" s="15"/>
      <x:c r="T115" s="15"/>
      <x:c r="U115" s="15"/>
      <x:c r="V115" s="15"/>
      <x:c r="W115" s="15"/>
      <x:c r="X115" s="15"/>
      <x:c r="Y115" s="140" t="str">
        <x:f>IF(COUNTA(C115:M115,O115:X115)=0,"",ROUND((IF(OR(R115&lt;&gt;"Yes",S115&gt;0),1,0)+IF(OR(T115&lt;&gt;"Yes",U115="Yes"),1,0)+IF(W115="Yes",1,0)+IF(X115="Approved",1,0))/4,2))</x:f>
      </x:c>
      <x:c r="Z115" s="15" t="str">
        <x:f>IF(COUNTA(C115:M115,O115:X115)=0,"",TEXTJOIN("; ",TRUE,IF(C115="","Missing work date",""),IF(D115="","Missing project",""),IF(F115="","Missing crew",""),IF(O115="","Missing labor hours",""),IF(P115="","Missing production qty",""),IF(AND(R115="Yes",OR(S115="",S115&lt;=0)),"Missing photo proof",""),IF(AND(T115="Yes",U115&lt;&gt;"Yes"),"Missing redline",""),IF(V115="Yes","Safety follow-up",""),IF(W115&lt;&gt;"Yes","Missing customer signoff",""),IF(X115&lt;&gt;"Approved","Office not approved",""),IF(N115&lt;=0,"Bad shift hours","")))</x:f>
      </x:c>
      <x:c r="AA115" s="15" t="str">
        <x:f>IF(COUNTA(C115:M115,O115:X115)=0,"",IF(Z115="","Yes","No"))</x:f>
      </x:c>
      <x:c r="AB115" s="15"/>
    </x:row>
    <x:row r="116" ht="20" customHeight="1">
      <x:c r="A116" s="15"/>
      <x:c r="B116" s="122"/>
      <x:c r="C116" s="28"/>
      <x:c r="D116" s="15"/>
      <x:c r="E116" s="15"/>
      <x:c r="F116" s="15"/>
      <x:c r="G116" s="15"/>
      <x:c r="H116" s="15"/>
      <x:c r="I116" s="15"/>
      <x:c r="J116" s="15"/>
      <x:c r="K116" s="15"/>
      <x:c r="L116" s="134"/>
      <x:c r="M116" s="134"/>
      <x:c r="N116" s="136" t="str">
        <x:f>IF(OR(L116="",M116=""),"",MAX(0,(M116-L116)*24))</x:f>
      </x:c>
      <x:c r="O116" s="136"/>
      <x:c r="P116" s="138"/>
      <x:c r="Q116" s="15"/>
      <x:c r="R116" s="15"/>
      <x:c r="S116" s="15"/>
      <x:c r="T116" s="15"/>
      <x:c r="U116" s="15"/>
      <x:c r="V116" s="15"/>
      <x:c r="W116" s="15"/>
      <x:c r="X116" s="15"/>
      <x:c r="Y116" s="140" t="str">
        <x:f>IF(COUNTA(C116:M116,O116:X116)=0,"",ROUND((IF(OR(R116&lt;&gt;"Yes",S116&gt;0),1,0)+IF(OR(T116&lt;&gt;"Yes",U116="Yes"),1,0)+IF(W116="Yes",1,0)+IF(X116="Approved",1,0))/4,2))</x:f>
      </x:c>
      <x:c r="Z116" s="15" t="str">
        <x:f>IF(COUNTA(C116:M116,O116:X116)=0,"",TEXTJOIN("; ",TRUE,IF(C116="","Missing work date",""),IF(D116="","Missing project",""),IF(F116="","Missing crew",""),IF(O116="","Missing labor hours",""),IF(P116="","Missing production qty",""),IF(AND(R116="Yes",OR(S116="",S116&lt;=0)),"Missing photo proof",""),IF(AND(T116="Yes",U116&lt;&gt;"Yes"),"Missing redline",""),IF(V116="Yes","Safety follow-up",""),IF(W116&lt;&gt;"Yes","Missing customer signoff",""),IF(X116&lt;&gt;"Approved","Office not approved",""),IF(N116&lt;=0,"Bad shift hours","")))</x:f>
      </x:c>
      <x:c r="AA116" s="15" t="str">
        <x:f>IF(COUNTA(C116:M116,O116:X116)=0,"",IF(Z116="","Yes","No"))</x:f>
      </x:c>
      <x:c r="AB116" s="15"/>
    </x:row>
    <x:row r="117" ht="20" customHeight="1">
      <x:c r="A117" s="15"/>
      <x:c r="B117" s="122"/>
      <x:c r="C117" s="28"/>
      <x:c r="D117" s="15"/>
      <x:c r="E117" s="15"/>
      <x:c r="F117" s="15"/>
      <x:c r="G117" s="15"/>
      <x:c r="H117" s="15"/>
      <x:c r="I117" s="15"/>
      <x:c r="J117" s="15"/>
      <x:c r="K117" s="15"/>
      <x:c r="L117" s="134"/>
      <x:c r="M117" s="134"/>
      <x:c r="N117" s="136" t="str">
        <x:f>IF(OR(L117="",M117=""),"",MAX(0,(M117-L117)*24))</x:f>
      </x:c>
      <x:c r="O117" s="136"/>
      <x:c r="P117" s="138"/>
      <x:c r="Q117" s="15"/>
      <x:c r="R117" s="15"/>
      <x:c r="S117" s="15"/>
      <x:c r="T117" s="15"/>
      <x:c r="U117" s="15"/>
      <x:c r="V117" s="15"/>
      <x:c r="W117" s="15"/>
      <x:c r="X117" s="15"/>
      <x:c r="Y117" s="140" t="str">
        <x:f>IF(COUNTA(C117:M117,O117:X117)=0,"",ROUND((IF(OR(R117&lt;&gt;"Yes",S117&gt;0),1,0)+IF(OR(T117&lt;&gt;"Yes",U117="Yes"),1,0)+IF(W117="Yes",1,0)+IF(X117="Approved",1,0))/4,2))</x:f>
      </x:c>
      <x:c r="Z117" s="15" t="str">
        <x:f>IF(COUNTA(C117:M117,O117:X117)=0,"",TEXTJOIN("; ",TRUE,IF(C117="","Missing work date",""),IF(D117="","Missing project",""),IF(F117="","Missing crew",""),IF(O117="","Missing labor hours",""),IF(P117="","Missing production qty",""),IF(AND(R117="Yes",OR(S117="",S117&lt;=0)),"Missing photo proof",""),IF(AND(T117="Yes",U117&lt;&gt;"Yes"),"Missing redline",""),IF(V117="Yes","Safety follow-up",""),IF(W117&lt;&gt;"Yes","Missing customer signoff",""),IF(X117&lt;&gt;"Approved","Office not approved",""),IF(N117&lt;=0,"Bad shift hours","")))</x:f>
      </x:c>
      <x:c r="AA117" s="15" t="str">
        <x:f>IF(COUNTA(C117:M117,O117:X117)=0,"",IF(Z117="","Yes","No"))</x:f>
      </x:c>
      <x:c r="AB117" s="15"/>
    </x:row>
    <x:row r="118" ht="20" customHeight="1">
      <x:c r="A118" s="15"/>
      <x:c r="B118" s="122"/>
      <x:c r="C118" s="28"/>
      <x:c r="D118" s="15"/>
      <x:c r="E118" s="15"/>
      <x:c r="F118" s="15"/>
      <x:c r="G118" s="15"/>
      <x:c r="H118" s="15"/>
      <x:c r="I118" s="15"/>
      <x:c r="J118" s="15"/>
      <x:c r="K118" s="15"/>
      <x:c r="L118" s="134"/>
      <x:c r="M118" s="134"/>
      <x:c r="N118" s="136" t="str">
        <x:f>IF(OR(L118="",M118=""),"",MAX(0,(M118-L118)*24))</x:f>
      </x:c>
      <x:c r="O118" s="136"/>
      <x:c r="P118" s="138"/>
      <x:c r="Q118" s="15"/>
      <x:c r="R118" s="15"/>
      <x:c r="S118" s="15"/>
      <x:c r="T118" s="15"/>
      <x:c r="U118" s="15"/>
      <x:c r="V118" s="15"/>
      <x:c r="W118" s="15"/>
      <x:c r="X118" s="15"/>
      <x:c r="Y118" s="140" t="str">
        <x:f>IF(COUNTA(C118:M118,O118:X118)=0,"",ROUND((IF(OR(R118&lt;&gt;"Yes",S118&gt;0),1,0)+IF(OR(T118&lt;&gt;"Yes",U118="Yes"),1,0)+IF(W118="Yes",1,0)+IF(X118="Approved",1,0))/4,2))</x:f>
      </x:c>
      <x:c r="Z118" s="15" t="str">
        <x:f>IF(COUNTA(C118:M118,O118:X118)=0,"",TEXTJOIN("; ",TRUE,IF(C118="","Missing work date",""),IF(D118="","Missing project",""),IF(F118="","Missing crew",""),IF(O118="","Missing labor hours",""),IF(P118="","Missing production qty",""),IF(AND(R118="Yes",OR(S118="",S118&lt;=0)),"Missing photo proof",""),IF(AND(T118="Yes",U118&lt;&gt;"Yes"),"Missing redline",""),IF(V118="Yes","Safety follow-up",""),IF(W118&lt;&gt;"Yes","Missing customer signoff",""),IF(X118&lt;&gt;"Approved","Office not approved",""),IF(N118&lt;=0,"Bad shift hours","")))</x:f>
      </x:c>
      <x:c r="AA118" s="15" t="str">
        <x:f>IF(COUNTA(C118:M118,O118:X118)=0,"",IF(Z118="","Yes","No"))</x:f>
      </x:c>
      <x:c r="AB118" s="15"/>
    </x:row>
    <x:row r="119" ht="20" customHeight="1">
      <x:c r="A119" s="15"/>
      <x:c r="B119" s="122"/>
      <x:c r="C119" s="28"/>
      <x:c r="D119" s="15"/>
      <x:c r="E119" s="15"/>
      <x:c r="F119" s="15"/>
      <x:c r="G119" s="15"/>
      <x:c r="H119" s="15"/>
      <x:c r="I119" s="15"/>
      <x:c r="J119" s="15"/>
      <x:c r="K119" s="15"/>
      <x:c r="L119" s="134"/>
      <x:c r="M119" s="134"/>
      <x:c r="N119" s="136" t="str">
        <x:f>IF(OR(L119="",M119=""),"",MAX(0,(M119-L119)*24))</x:f>
      </x:c>
      <x:c r="O119" s="136"/>
      <x:c r="P119" s="138"/>
      <x:c r="Q119" s="15"/>
      <x:c r="R119" s="15"/>
      <x:c r="S119" s="15"/>
      <x:c r="T119" s="15"/>
      <x:c r="U119" s="15"/>
      <x:c r="V119" s="15"/>
      <x:c r="W119" s="15"/>
      <x:c r="X119" s="15"/>
      <x:c r="Y119" s="140" t="str">
        <x:f>IF(COUNTA(C119:M119,O119:X119)=0,"",ROUND((IF(OR(R119&lt;&gt;"Yes",S119&gt;0),1,0)+IF(OR(T119&lt;&gt;"Yes",U119="Yes"),1,0)+IF(W119="Yes",1,0)+IF(X119="Approved",1,0))/4,2))</x:f>
      </x:c>
      <x:c r="Z119" s="15" t="str">
        <x:f>IF(COUNTA(C119:M119,O119:X119)=0,"",TEXTJOIN("; ",TRUE,IF(C119="","Missing work date",""),IF(D119="","Missing project",""),IF(F119="","Missing crew",""),IF(O119="","Missing labor hours",""),IF(P119="","Missing production qty",""),IF(AND(R119="Yes",OR(S119="",S119&lt;=0)),"Missing photo proof",""),IF(AND(T119="Yes",U119&lt;&gt;"Yes"),"Missing redline",""),IF(V119="Yes","Safety follow-up",""),IF(W119&lt;&gt;"Yes","Missing customer signoff",""),IF(X119&lt;&gt;"Approved","Office not approved",""),IF(N119&lt;=0,"Bad shift hours","")))</x:f>
      </x:c>
      <x:c r="AA119" s="15" t="str">
        <x:f>IF(COUNTA(C119:M119,O119:X119)=0,"",IF(Z119="","Yes","No"))</x:f>
      </x:c>
      <x:c r="AB119" s="15"/>
    </x:row>
    <x:row r="120" ht="20" customHeight="1">
      <x:c r="A120" s="15"/>
      <x:c r="B120" s="122"/>
      <x:c r="C120" s="28"/>
      <x:c r="D120" s="15"/>
      <x:c r="E120" s="15"/>
      <x:c r="F120" s="15"/>
      <x:c r="G120" s="15"/>
      <x:c r="H120" s="15"/>
      <x:c r="I120" s="15"/>
      <x:c r="J120" s="15"/>
      <x:c r="K120" s="15"/>
      <x:c r="L120" s="134"/>
      <x:c r="M120" s="134"/>
      <x:c r="N120" s="136" t="str">
        <x:f>IF(OR(L120="",M120=""),"",MAX(0,(M120-L120)*24))</x:f>
      </x:c>
      <x:c r="O120" s="136"/>
      <x:c r="P120" s="138"/>
      <x:c r="Q120" s="15"/>
      <x:c r="R120" s="15"/>
      <x:c r="S120" s="15"/>
      <x:c r="T120" s="15"/>
      <x:c r="U120" s="15"/>
      <x:c r="V120" s="15"/>
      <x:c r="W120" s="15"/>
      <x:c r="X120" s="15"/>
      <x:c r="Y120" s="140" t="str">
        <x:f>IF(COUNTA(C120:M120,O120:X120)=0,"",ROUND((IF(OR(R120&lt;&gt;"Yes",S120&gt;0),1,0)+IF(OR(T120&lt;&gt;"Yes",U120="Yes"),1,0)+IF(W120="Yes",1,0)+IF(X120="Approved",1,0))/4,2))</x:f>
      </x:c>
      <x:c r="Z120" s="15" t="str">
        <x:f>IF(COUNTA(C120:M120,O120:X120)=0,"",TEXTJOIN("; ",TRUE,IF(C120="","Missing work date",""),IF(D120="","Missing project",""),IF(F120="","Missing crew",""),IF(O120="","Missing labor hours",""),IF(P120="","Missing production qty",""),IF(AND(R120="Yes",OR(S120="",S120&lt;=0)),"Missing photo proof",""),IF(AND(T120="Yes",U120&lt;&gt;"Yes"),"Missing redline",""),IF(V120="Yes","Safety follow-up",""),IF(W120&lt;&gt;"Yes","Missing customer signoff",""),IF(X120&lt;&gt;"Approved","Office not approved",""),IF(N120&lt;=0,"Bad shift hours","")))</x:f>
      </x:c>
      <x:c r="AA120" s="15" t="str">
        <x:f>IF(COUNTA(C120:M120,O120:X120)=0,"",IF(Z120="","Yes","No"))</x:f>
      </x:c>
      <x:c r="AB120" s="15"/>
    </x:row>
    <x:row r="121" ht="20" customHeight="1">
      <x:c r="A121" s="15"/>
      <x:c r="B121" s="122"/>
      <x:c r="C121" s="28"/>
      <x:c r="D121" s="15"/>
      <x:c r="E121" s="15"/>
      <x:c r="F121" s="15"/>
      <x:c r="G121" s="15"/>
      <x:c r="H121" s="15"/>
      <x:c r="I121" s="15"/>
      <x:c r="J121" s="15"/>
      <x:c r="K121" s="15"/>
      <x:c r="L121" s="134"/>
      <x:c r="M121" s="134"/>
      <x:c r="N121" s="136" t="str">
        <x:f>IF(OR(L121="",M121=""),"",MAX(0,(M121-L121)*24))</x:f>
      </x:c>
      <x:c r="O121" s="136"/>
      <x:c r="P121" s="138"/>
      <x:c r="Q121" s="15"/>
      <x:c r="R121" s="15"/>
      <x:c r="S121" s="15"/>
      <x:c r="T121" s="15"/>
      <x:c r="U121" s="15"/>
      <x:c r="V121" s="15"/>
      <x:c r="W121" s="15"/>
      <x:c r="X121" s="15"/>
      <x:c r="Y121" s="140" t="str">
        <x:f>IF(COUNTA(C121:M121,O121:X121)=0,"",ROUND((IF(OR(R121&lt;&gt;"Yes",S121&gt;0),1,0)+IF(OR(T121&lt;&gt;"Yes",U121="Yes"),1,0)+IF(W121="Yes",1,0)+IF(X121="Approved",1,0))/4,2))</x:f>
      </x:c>
      <x:c r="Z121" s="15" t="str">
        <x:f>IF(COUNTA(C121:M121,O121:X121)=0,"",TEXTJOIN("; ",TRUE,IF(C121="","Missing work date",""),IF(D121="","Missing project",""),IF(F121="","Missing crew",""),IF(O121="","Missing labor hours",""),IF(P121="","Missing production qty",""),IF(AND(R121="Yes",OR(S121="",S121&lt;=0)),"Missing photo proof",""),IF(AND(T121="Yes",U121&lt;&gt;"Yes"),"Missing redline",""),IF(V121="Yes","Safety follow-up",""),IF(W121&lt;&gt;"Yes","Missing customer signoff",""),IF(X121&lt;&gt;"Approved","Office not approved",""),IF(N121&lt;=0,"Bad shift hours","")))</x:f>
      </x:c>
      <x:c r="AA121" s="15" t="str">
        <x:f>IF(COUNTA(C121:M121,O121:X121)=0,"",IF(Z121="","Yes","No"))</x:f>
      </x:c>
      <x:c r="AB121" s="15"/>
    </x:row>
    <x:row r="122" ht="20" customHeight="1">
      <x:c r="A122" s="15"/>
      <x:c r="B122" s="122"/>
      <x:c r="C122" s="28"/>
      <x:c r="D122" s="15"/>
      <x:c r="E122" s="15"/>
      <x:c r="F122" s="15"/>
      <x:c r="G122" s="15"/>
      <x:c r="H122" s="15"/>
      <x:c r="I122" s="15"/>
      <x:c r="J122" s="15"/>
      <x:c r="K122" s="15"/>
      <x:c r="L122" s="134"/>
      <x:c r="M122" s="134"/>
      <x:c r="N122" s="136" t="str">
        <x:f>IF(OR(L122="",M122=""),"",MAX(0,(M122-L122)*24))</x:f>
      </x:c>
      <x:c r="O122" s="136"/>
      <x:c r="P122" s="138"/>
      <x:c r="Q122" s="15"/>
      <x:c r="R122" s="15"/>
      <x:c r="S122" s="15"/>
      <x:c r="T122" s="15"/>
      <x:c r="U122" s="15"/>
      <x:c r="V122" s="15"/>
      <x:c r="W122" s="15"/>
      <x:c r="X122" s="15"/>
      <x:c r="Y122" s="140" t="str">
        <x:f>IF(COUNTA(C122:M122,O122:X122)=0,"",ROUND((IF(OR(R122&lt;&gt;"Yes",S122&gt;0),1,0)+IF(OR(T122&lt;&gt;"Yes",U122="Yes"),1,0)+IF(W122="Yes",1,0)+IF(X122="Approved",1,0))/4,2))</x:f>
      </x:c>
      <x:c r="Z122" s="15" t="str">
        <x:f>IF(COUNTA(C122:M122,O122:X122)=0,"",TEXTJOIN("; ",TRUE,IF(C122="","Missing work date",""),IF(D122="","Missing project",""),IF(F122="","Missing crew",""),IF(O122="","Missing labor hours",""),IF(P122="","Missing production qty",""),IF(AND(R122="Yes",OR(S122="",S122&lt;=0)),"Missing photo proof",""),IF(AND(T122="Yes",U122&lt;&gt;"Yes"),"Missing redline",""),IF(V122="Yes","Safety follow-up",""),IF(W122&lt;&gt;"Yes","Missing customer signoff",""),IF(X122&lt;&gt;"Approved","Office not approved",""),IF(N122&lt;=0,"Bad shift hours","")))</x:f>
      </x:c>
      <x:c r="AA122" s="15" t="str">
        <x:f>IF(COUNTA(C122:M122,O122:X122)=0,"",IF(Z122="","Yes","No"))</x:f>
      </x:c>
      <x:c r="AB122" s="15"/>
    </x:row>
    <x:row r="123" ht="20" customHeight="1">
      <x:c r="A123" s="15"/>
      <x:c r="B123" s="122"/>
      <x:c r="C123" s="28"/>
      <x:c r="D123" s="15"/>
      <x:c r="E123" s="15"/>
      <x:c r="F123" s="15"/>
      <x:c r="G123" s="15"/>
      <x:c r="H123" s="15"/>
      <x:c r="I123" s="15"/>
      <x:c r="J123" s="15"/>
      <x:c r="K123" s="15"/>
      <x:c r="L123" s="134"/>
      <x:c r="M123" s="134"/>
      <x:c r="N123" s="136" t="str">
        <x:f>IF(OR(L123="",M123=""),"",MAX(0,(M123-L123)*24))</x:f>
      </x:c>
      <x:c r="O123" s="136"/>
      <x:c r="P123" s="138"/>
      <x:c r="Q123" s="15"/>
      <x:c r="R123" s="15"/>
      <x:c r="S123" s="15"/>
      <x:c r="T123" s="15"/>
      <x:c r="U123" s="15"/>
      <x:c r="V123" s="15"/>
      <x:c r="W123" s="15"/>
      <x:c r="X123" s="15"/>
      <x:c r="Y123" s="140" t="str">
        <x:f>IF(COUNTA(C123:M123,O123:X123)=0,"",ROUND((IF(OR(R123&lt;&gt;"Yes",S123&gt;0),1,0)+IF(OR(T123&lt;&gt;"Yes",U123="Yes"),1,0)+IF(W123="Yes",1,0)+IF(X123="Approved",1,0))/4,2))</x:f>
      </x:c>
      <x:c r="Z123" s="15" t="str">
        <x:f>IF(COUNTA(C123:M123,O123:X123)=0,"",TEXTJOIN("; ",TRUE,IF(C123="","Missing work date",""),IF(D123="","Missing project",""),IF(F123="","Missing crew",""),IF(O123="","Missing labor hours",""),IF(P123="","Missing production qty",""),IF(AND(R123="Yes",OR(S123="",S123&lt;=0)),"Missing photo proof",""),IF(AND(T123="Yes",U123&lt;&gt;"Yes"),"Missing redline",""),IF(V123="Yes","Safety follow-up",""),IF(W123&lt;&gt;"Yes","Missing customer signoff",""),IF(X123&lt;&gt;"Approved","Office not approved",""),IF(N123&lt;=0,"Bad shift hours","")))</x:f>
      </x:c>
      <x:c r="AA123" s="15" t="str">
        <x:f>IF(COUNTA(C123:M123,O123:X123)=0,"",IF(Z123="","Yes","No"))</x:f>
      </x:c>
      <x:c r="AB123" s="15"/>
    </x:row>
    <x:row r="124" ht="20" customHeight="1">
      <x:c r="A124" s="15"/>
      <x:c r="B124" s="122"/>
      <x:c r="C124" s="28"/>
      <x:c r="D124" s="15"/>
      <x:c r="E124" s="15"/>
      <x:c r="F124" s="15"/>
      <x:c r="G124" s="15"/>
      <x:c r="H124" s="15"/>
      <x:c r="I124" s="15"/>
      <x:c r="J124" s="15"/>
      <x:c r="K124" s="15"/>
      <x:c r="L124" s="134"/>
      <x:c r="M124" s="134"/>
      <x:c r="N124" s="136" t="str">
        <x:f>IF(OR(L124="",M124=""),"",MAX(0,(M124-L124)*24))</x:f>
      </x:c>
      <x:c r="O124" s="136"/>
      <x:c r="P124" s="138"/>
      <x:c r="Q124" s="15"/>
      <x:c r="R124" s="15"/>
      <x:c r="S124" s="15"/>
      <x:c r="T124" s="15"/>
      <x:c r="U124" s="15"/>
      <x:c r="V124" s="15"/>
      <x:c r="W124" s="15"/>
      <x:c r="X124" s="15"/>
      <x:c r="Y124" s="140" t="str">
        <x:f>IF(COUNTA(C124:M124,O124:X124)=0,"",ROUND((IF(OR(R124&lt;&gt;"Yes",S124&gt;0),1,0)+IF(OR(T124&lt;&gt;"Yes",U124="Yes"),1,0)+IF(W124="Yes",1,0)+IF(X124="Approved",1,0))/4,2))</x:f>
      </x:c>
      <x:c r="Z124" s="15" t="str">
        <x:f>IF(COUNTA(C124:M124,O124:X124)=0,"",TEXTJOIN("; ",TRUE,IF(C124="","Missing work date",""),IF(D124="","Missing project",""),IF(F124="","Missing crew",""),IF(O124="","Missing labor hours",""),IF(P124="","Missing production qty",""),IF(AND(R124="Yes",OR(S124="",S124&lt;=0)),"Missing photo proof",""),IF(AND(T124="Yes",U124&lt;&gt;"Yes"),"Missing redline",""),IF(V124="Yes","Safety follow-up",""),IF(W124&lt;&gt;"Yes","Missing customer signoff",""),IF(X124&lt;&gt;"Approved","Office not approved",""),IF(N124&lt;=0,"Bad shift hours","")))</x:f>
      </x:c>
      <x:c r="AA124" s="15" t="str">
        <x:f>IF(COUNTA(C124:M124,O124:X124)=0,"",IF(Z124="","Yes","No"))</x:f>
      </x:c>
      <x:c r="AB124" s="15"/>
    </x:row>
    <x:row r="125" ht="20" customHeight="1">
      <x:c r="A125" s="15"/>
      <x:c r="B125" s="122"/>
      <x:c r="C125" s="28"/>
      <x:c r="D125" s="15"/>
      <x:c r="E125" s="15"/>
      <x:c r="F125" s="15"/>
      <x:c r="G125" s="15"/>
      <x:c r="H125" s="15"/>
      <x:c r="I125" s="15"/>
      <x:c r="J125" s="15"/>
      <x:c r="K125" s="15"/>
      <x:c r="L125" s="134"/>
      <x:c r="M125" s="134"/>
      <x:c r="N125" s="136" t="str">
        <x:f>IF(OR(L125="",M125=""),"",MAX(0,(M125-L125)*24))</x:f>
      </x:c>
      <x:c r="O125" s="136"/>
      <x:c r="P125" s="138"/>
      <x:c r="Q125" s="15"/>
      <x:c r="R125" s="15"/>
      <x:c r="S125" s="15"/>
      <x:c r="T125" s="15"/>
      <x:c r="U125" s="15"/>
      <x:c r="V125" s="15"/>
      <x:c r="W125" s="15"/>
      <x:c r="X125" s="15"/>
      <x:c r="Y125" s="140" t="str">
        <x:f>IF(COUNTA(C125:M125,O125:X125)=0,"",ROUND((IF(OR(R125&lt;&gt;"Yes",S125&gt;0),1,0)+IF(OR(T125&lt;&gt;"Yes",U125="Yes"),1,0)+IF(W125="Yes",1,0)+IF(X125="Approved",1,0))/4,2))</x:f>
      </x:c>
      <x:c r="Z125" s="15" t="str">
        <x:f>IF(COUNTA(C125:M125,O125:X125)=0,"",TEXTJOIN("; ",TRUE,IF(C125="","Missing work date",""),IF(D125="","Missing project",""),IF(F125="","Missing crew",""),IF(O125="","Missing labor hours",""),IF(P125="","Missing production qty",""),IF(AND(R125="Yes",OR(S125="",S125&lt;=0)),"Missing photo proof",""),IF(AND(T125="Yes",U125&lt;&gt;"Yes"),"Missing redline",""),IF(V125="Yes","Safety follow-up",""),IF(W125&lt;&gt;"Yes","Missing customer signoff",""),IF(X125&lt;&gt;"Approved","Office not approved",""),IF(N125&lt;=0,"Bad shift hours","")))</x:f>
      </x:c>
      <x:c r="AA125" s="15" t="str">
        <x:f>IF(COUNTA(C125:M125,O125:X125)=0,"",IF(Z125="","Yes","No"))</x:f>
      </x:c>
      <x:c r="AB125" s="15"/>
    </x:row>
    <x:row r="126" ht="20" customHeight="1">
      <x:c r="A126" s="15"/>
      <x:c r="B126" s="122"/>
      <x:c r="C126" s="28"/>
      <x:c r="D126" s="15"/>
      <x:c r="E126" s="15"/>
      <x:c r="F126" s="15"/>
      <x:c r="G126" s="15"/>
      <x:c r="H126" s="15"/>
      <x:c r="I126" s="15"/>
      <x:c r="J126" s="15"/>
      <x:c r="K126" s="15"/>
      <x:c r="L126" s="134"/>
      <x:c r="M126" s="134"/>
      <x:c r="N126" s="136" t="str">
        <x:f>IF(OR(L126="",M126=""),"",MAX(0,(M126-L126)*24))</x:f>
      </x:c>
      <x:c r="O126" s="136"/>
      <x:c r="P126" s="138"/>
      <x:c r="Q126" s="15"/>
      <x:c r="R126" s="15"/>
      <x:c r="S126" s="15"/>
      <x:c r="T126" s="15"/>
      <x:c r="U126" s="15"/>
      <x:c r="V126" s="15"/>
      <x:c r="W126" s="15"/>
      <x:c r="X126" s="15"/>
      <x:c r="Y126" s="140" t="str">
        <x:f>IF(COUNTA(C126:M126,O126:X126)=0,"",ROUND((IF(OR(R126&lt;&gt;"Yes",S126&gt;0),1,0)+IF(OR(T126&lt;&gt;"Yes",U126="Yes"),1,0)+IF(W126="Yes",1,0)+IF(X126="Approved",1,0))/4,2))</x:f>
      </x:c>
      <x:c r="Z126" s="15" t="str">
        <x:f>IF(COUNTA(C126:M126,O126:X126)=0,"",TEXTJOIN("; ",TRUE,IF(C126="","Missing work date",""),IF(D126="","Missing project",""),IF(F126="","Missing crew",""),IF(O126="","Missing labor hours",""),IF(P126="","Missing production qty",""),IF(AND(R126="Yes",OR(S126="",S126&lt;=0)),"Missing photo proof",""),IF(AND(T126="Yes",U126&lt;&gt;"Yes"),"Missing redline",""),IF(V126="Yes","Safety follow-up",""),IF(W126&lt;&gt;"Yes","Missing customer signoff",""),IF(X126&lt;&gt;"Approved","Office not approved",""),IF(N126&lt;=0,"Bad shift hours","")))</x:f>
      </x:c>
      <x:c r="AA126" s="15" t="str">
        <x:f>IF(COUNTA(C126:M126,O126:X126)=0,"",IF(Z126="","Yes","No"))</x:f>
      </x:c>
      <x:c r="AB126" s="15"/>
    </x:row>
    <x:row r="127" ht="20" customHeight="1">
      <x:c r="A127" s="15"/>
      <x:c r="B127" s="122"/>
      <x:c r="C127" s="28"/>
      <x:c r="D127" s="15"/>
      <x:c r="E127" s="15"/>
      <x:c r="F127" s="15"/>
      <x:c r="G127" s="15"/>
      <x:c r="H127" s="15"/>
      <x:c r="I127" s="15"/>
      <x:c r="J127" s="15"/>
      <x:c r="K127" s="15"/>
      <x:c r="L127" s="134"/>
      <x:c r="M127" s="134"/>
      <x:c r="N127" s="136" t="str">
        <x:f>IF(OR(L127="",M127=""),"",MAX(0,(M127-L127)*24))</x:f>
      </x:c>
      <x:c r="O127" s="136"/>
      <x:c r="P127" s="138"/>
      <x:c r="Q127" s="15"/>
      <x:c r="R127" s="15"/>
      <x:c r="S127" s="15"/>
      <x:c r="T127" s="15"/>
      <x:c r="U127" s="15"/>
      <x:c r="V127" s="15"/>
      <x:c r="W127" s="15"/>
      <x:c r="X127" s="15"/>
      <x:c r="Y127" s="140" t="str">
        <x:f>IF(COUNTA(C127:M127,O127:X127)=0,"",ROUND((IF(OR(R127&lt;&gt;"Yes",S127&gt;0),1,0)+IF(OR(T127&lt;&gt;"Yes",U127="Yes"),1,0)+IF(W127="Yes",1,0)+IF(X127="Approved",1,0))/4,2))</x:f>
      </x:c>
      <x:c r="Z127" s="15" t="str">
        <x:f>IF(COUNTA(C127:M127,O127:X127)=0,"",TEXTJOIN("; ",TRUE,IF(C127="","Missing work date",""),IF(D127="","Missing project",""),IF(F127="","Missing crew",""),IF(O127="","Missing labor hours",""),IF(P127="","Missing production qty",""),IF(AND(R127="Yes",OR(S127="",S127&lt;=0)),"Missing photo proof",""),IF(AND(T127="Yes",U127&lt;&gt;"Yes"),"Missing redline",""),IF(V127="Yes","Safety follow-up",""),IF(W127&lt;&gt;"Yes","Missing customer signoff",""),IF(X127&lt;&gt;"Approved","Office not approved",""),IF(N127&lt;=0,"Bad shift hours","")))</x:f>
      </x:c>
      <x:c r="AA127" s="15" t="str">
        <x:f>IF(COUNTA(C127:M127,O127:X127)=0,"",IF(Z127="","Yes","No"))</x:f>
      </x:c>
      <x:c r="AB127" s="15"/>
    </x:row>
    <x:row r="128" ht="20" customHeight="1">
      <x:c r="A128" s="15"/>
      <x:c r="B128" s="122"/>
      <x:c r="C128" s="28"/>
      <x:c r="D128" s="15"/>
      <x:c r="E128" s="15"/>
      <x:c r="F128" s="15"/>
      <x:c r="G128" s="15"/>
      <x:c r="H128" s="15"/>
      <x:c r="I128" s="15"/>
      <x:c r="J128" s="15"/>
      <x:c r="K128" s="15"/>
      <x:c r="L128" s="134"/>
      <x:c r="M128" s="134"/>
      <x:c r="N128" s="136" t="str">
        <x:f>IF(OR(L128="",M128=""),"",MAX(0,(M128-L128)*24))</x:f>
      </x:c>
      <x:c r="O128" s="136"/>
      <x:c r="P128" s="138"/>
      <x:c r="Q128" s="15"/>
      <x:c r="R128" s="15"/>
      <x:c r="S128" s="15"/>
      <x:c r="T128" s="15"/>
      <x:c r="U128" s="15"/>
      <x:c r="V128" s="15"/>
      <x:c r="W128" s="15"/>
      <x:c r="X128" s="15"/>
      <x:c r="Y128" s="140" t="str">
        <x:f>IF(COUNTA(C128:M128,O128:X128)=0,"",ROUND((IF(OR(R128&lt;&gt;"Yes",S128&gt;0),1,0)+IF(OR(T128&lt;&gt;"Yes",U128="Yes"),1,0)+IF(W128="Yes",1,0)+IF(X128="Approved",1,0))/4,2))</x:f>
      </x:c>
      <x:c r="Z128" s="15" t="str">
        <x:f>IF(COUNTA(C128:M128,O128:X128)=0,"",TEXTJOIN("; ",TRUE,IF(C128="","Missing work date",""),IF(D128="","Missing project",""),IF(F128="","Missing crew",""),IF(O128="","Missing labor hours",""),IF(P128="","Missing production qty",""),IF(AND(R128="Yes",OR(S128="",S128&lt;=0)),"Missing photo proof",""),IF(AND(T128="Yes",U128&lt;&gt;"Yes"),"Missing redline",""),IF(V128="Yes","Safety follow-up",""),IF(W128&lt;&gt;"Yes","Missing customer signoff",""),IF(X128&lt;&gt;"Approved","Office not approved",""),IF(N128&lt;=0,"Bad shift hours","")))</x:f>
      </x:c>
      <x:c r="AA128" s="15" t="str">
        <x:f>IF(COUNTA(C128:M128,O128:X128)=0,"",IF(Z128="","Yes","No"))</x:f>
      </x:c>
      <x:c r="AB128" s="15"/>
    </x:row>
    <x:row r="129" ht="20" customHeight="1">
      <x:c r="A129" s="15"/>
      <x:c r="B129" s="122"/>
      <x:c r="C129" s="28"/>
      <x:c r="D129" s="15"/>
      <x:c r="E129" s="15"/>
      <x:c r="F129" s="15"/>
      <x:c r="G129" s="15"/>
      <x:c r="H129" s="15"/>
      <x:c r="I129" s="15"/>
      <x:c r="J129" s="15"/>
      <x:c r="K129" s="15"/>
      <x:c r="L129" s="134"/>
      <x:c r="M129" s="134"/>
      <x:c r="N129" s="136" t="str">
        <x:f>IF(OR(L129="",M129=""),"",MAX(0,(M129-L129)*24))</x:f>
      </x:c>
      <x:c r="O129" s="136"/>
      <x:c r="P129" s="138"/>
      <x:c r="Q129" s="15"/>
      <x:c r="R129" s="15"/>
      <x:c r="S129" s="15"/>
      <x:c r="T129" s="15"/>
      <x:c r="U129" s="15"/>
      <x:c r="V129" s="15"/>
      <x:c r="W129" s="15"/>
      <x:c r="X129" s="15"/>
      <x:c r="Y129" s="140" t="str">
        <x:f>IF(COUNTA(C129:M129,O129:X129)=0,"",ROUND((IF(OR(R129&lt;&gt;"Yes",S129&gt;0),1,0)+IF(OR(T129&lt;&gt;"Yes",U129="Yes"),1,0)+IF(W129="Yes",1,0)+IF(X129="Approved",1,0))/4,2))</x:f>
      </x:c>
      <x:c r="Z129" s="15" t="str">
        <x:f>IF(COUNTA(C129:M129,O129:X129)=0,"",TEXTJOIN("; ",TRUE,IF(C129="","Missing work date",""),IF(D129="","Missing project",""),IF(F129="","Missing crew",""),IF(O129="","Missing labor hours",""),IF(P129="","Missing production qty",""),IF(AND(R129="Yes",OR(S129="",S129&lt;=0)),"Missing photo proof",""),IF(AND(T129="Yes",U129&lt;&gt;"Yes"),"Missing redline",""),IF(V129="Yes","Safety follow-up",""),IF(W129&lt;&gt;"Yes","Missing customer signoff",""),IF(X129&lt;&gt;"Approved","Office not approved",""),IF(N129&lt;=0,"Bad shift hours","")))</x:f>
      </x:c>
      <x:c r="AA129" s="15" t="str">
        <x:f>IF(COUNTA(C129:M129,O129:X129)=0,"",IF(Z129="","Yes","No"))</x:f>
      </x:c>
      <x:c r="AB129" s="15"/>
    </x:row>
    <x:row r="130" ht="20" customHeight="1">
      <x:c r="A130" s="15"/>
      <x:c r="B130" s="122"/>
      <x:c r="C130" s="28"/>
      <x:c r="D130" s="15"/>
      <x:c r="E130" s="15"/>
      <x:c r="F130" s="15"/>
      <x:c r="G130" s="15"/>
      <x:c r="H130" s="15"/>
      <x:c r="I130" s="15"/>
      <x:c r="J130" s="15"/>
      <x:c r="K130" s="15"/>
      <x:c r="L130" s="134"/>
      <x:c r="M130" s="134"/>
      <x:c r="N130" s="136" t="str">
        <x:f>IF(OR(L130="",M130=""),"",MAX(0,(M130-L130)*24))</x:f>
      </x:c>
      <x:c r="O130" s="136"/>
      <x:c r="P130" s="138"/>
      <x:c r="Q130" s="15"/>
      <x:c r="R130" s="15"/>
      <x:c r="S130" s="15"/>
      <x:c r="T130" s="15"/>
      <x:c r="U130" s="15"/>
      <x:c r="V130" s="15"/>
      <x:c r="W130" s="15"/>
      <x:c r="X130" s="15"/>
      <x:c r="Y130" s="140" t="str">
        <x:f>IF(COUNTA(C130:M130,O130:X130)=0,"",ROUND((IF(OR(R130&lt;&gt;"Yes",S130&gt;0),1,0)+IF(OR(T130&lt;&gt;"Yes",U130="Yes"),1,0)+IF(W130="Yes",1,0)+IF(X130="Approved",1,0))/4,2))</x:f>
      </x:c>
      <x:c r="Z130" s="15" t="str">
        <x:f>IF(COUNTA(C130:M130,O130:X130)=0,"",TEXTJOIN("; ",TRUE,IF(C130="","Missing work date",""),IF(D130="","Missing project",""),IF(F130="","Missing crew",""),IF(O130="","Missing labor hours",""),IF(P130="","Missing production qty",""),IF(AND(R130="Yes",OR(S130="",S130&lt;=0)),"Missing photo proof",""),IF(AND(T130="Yes",U130&lt;&gt;"Yes"),"Missing redline",""),IF(V130="Yes","Safety follow-up",""),IF(W130&lt;&gt;"Yes","Missing customer signoff",""),IF(X130&lt;&gt;"Approved","Office not approved",""),IF(N130&lt;=0,"Bad shift hours","")))</x:f>
      </x:c>
      <x:c r="AA130" s="15" t="str">
        <x:f>IF(COUNTA(C130:M130,O130:X130)=0,"",IF(Z130="","Yes","No"))</x:f>
      </x:c>
      <x:c r="AB130" s="15"/>
    </x:row>
    <x:row r="131" ht="20" customHeight="1">
      <x:c r="A131" s="15"/>
      <x:c r="B131" s="122"/>
      <x:c r="C131" s="28"/>
      <x:c r="D131" s="15"/>
      <x:c r="E131" s="15"/>
      <x:c r="F131" s="15"/>
      <x:c r="G131" s="15"/>
      <x:c r="H131" s="15"/>
      <x:c r="I131" s="15"/>
      <x:c r="J131" s="15"/>
      <x:c r="K131" s="15"/>
      <x:c r="L131" s="134"/>
      <x:c r="M131" s="134"/>
      <x:c r="N131" s="136" t="str">
        <x:f>IF(OR(L131="",M131=""),"",MAX(0,(M131-L131)*24))</x:f>
      </x:c>
      <x:c r="O131" s="136"/>
      <x:c r="P131" s="138"/>
      <x:c r="Q131" s="15"/>
      <x:c r="R131" s="15"/>
      <x:c r="S131" s="15"/>
      <x:c r="T131" s="15"/>
      <x:c r="U131" s="15"/>
      <x:c r="V131" s="15"/>
      <x:c r="W131" s="15"/>
      <x:c r="X131" s="15"/>
      <x:c r="Y131" s="140" t="str">
        <x:f>IF(COUNTA(C131:M131,O131:X131)=0,"",ROUND((IF(OR(R131&lt;&gt;"Yes",S131&gt;0),1,0)+IF(OR(T131&lt;&gt;"Yes",U131="Yes"),1,0)+IF(W131="Yes",1,0)+IF(X131="Approved",1,0))/4,2))</x:f>
      </x:c>
      <x:c r="Z131" s="15" t="str">
        <x:f>IF(COUNTA(C131:M131,O131:X131)=0,"",TEXTJOIN("; ",TRUE,IF(C131="","Missing work date",""),IF(D131="","Missing project",""),IF(F131="","Missing crew",""),IF(O131="","Missing labor hours",""),IF(P131="","Missing production qty",""),IF(AND(R131="Yes",OR(S131="",S131&lt;=0)),"Missing photo proof",""),IF(AND(T131="Yes",U131&lt;&gt;"Yes"),"Missing redline",""),IF(V131="Yes","Safety follow-up",""),IF(W131&lt;&gt;"Yes","Missing customer signoff",""),IF(X131&lt;&gt;"Approved","Office not approved",""),IF(N131&lt;=0,"Bad shift hours","")))</x:f>
      </x:c>
      <x:c r="AA131" s="15" t="str">
        <x:f>IF(COUNTA(C131:M131,O131:X131)=0,"",IF(Z131="","Yes","No"))</x:f>
      </x:c>
      <x:c r="AB131" s="15"/>
    </x:row>
    <x:row r="132" ht="20" customHeight="1">
      <x:c r="A132" s="15"/>
      <x:c r="B132" s="122"/>
      <x:c r="C132" s="28"/>
      <x:c r="D132" s="15"/>
      <x:c r="E132" s="15"/>
      <x:c r="F132" s="15"/>
      <x:c r="G132" s="15"/>
      <x:c r="H132" s="15"/>
      <x:c r="I132" s="15"/>
      <x:c r="J132" s="15"/>
      <x:c r="K132" s="15"/>
      <x:c r="L132" s="134"/>
      <x:c r="M132" s="134"/>
      <x:c r="N132" s="136" t="str">
        <x:f>IF(OR(L132="",M132=""),"",MAX(0,(M132-L132)*24))</x:f>
      </x:c>
      <x:c r="O132" s="136"/>
      <x:c r="P132" s="138"/>
      <x:c r="Q132" s="15"/>
      <x:c r="R132" s="15"/>
      <x:c r="S132" s="15"/>
      <x:c r="T132" s="15"/>
      <x:c r="U132" s="15"/>
      <x:c r="V132" s="15"/>
      <x:c r="W132" s="15"/>
      <x:c r="X132" s="15"/>
      <x:c r="Y132" s="140" t="str">
        <x:f>IF(COUNTA(C132:M132,O132:X132)=0,"",ROUND((IF(OR(R132&lt;&gt;"Yes",S132&gt;0),1,0)+IF(OR(T132&lt;&gt;"Yes",U132="Yes"),1,0)+IF(W132="Yes",1,0)+IF(X132="Approved",1,0))/4,2))</x:f>
      </x:c>
      <x:c r="Z132" s="15" t="str">
        <x:f>IF(COUNTA(C132:M132,O132:X132)=0,"",TEXTJOIN("; ",TRUE,IF(C132="","Missing work date",""),IF(D132="","Missing project",""),IF(F132="","Missing crew",""),IF(O132="","Missing labor hours",""),IF(P132="","Missing production qty",""),IF(AND(R132="Yes",OR(S132="",S132&lt;=0)),"Missing photo proof",""),IF(AND(T132="Yes",U132&lt;&gt;"Yes"),"Missing redline",""),IF(V132="Yes","Safety follow-up",""),IF(W132&lt;&gt;"Yes","Missing customer signoff",""),IF(X132&lt;&gt;"Approved","Office not approved",""),IF(N132&lt;=0,"Bad shift hours","")))</x:f>
      </x:c>
      <x:c r="AA132" s="15" t="str">
        <x:f>IF(COUNTA(C132:M132,O132:X132)=0,"",IF(Z132="","Yes","No"))</x:f>
      </x:c>
      <x:c r="AB132" s="15"/>
    </x:row>
    <x:row r="133" ht="20" customHeight="1">
      <x:c r="A133" s="15"/>
      <x:c r="B133" s="122"/>
      <x:c r="C133" s="28"/>
      <x:c r="D133" s="15"/>
      <x:c r="E133" s="15"/>
      <x:c r="F133" s="15"/>
      <x:c r="G133" s="15"/>
      <x:c r="H133" s="15"/>
      <x:c r="I133" s="15"/>
      <x:c r="J133" s="15"/>
      <x:c r="K133" s="15"/>
      <x:c r="L133" s="134"/>
      <x:c r="M133" s="134"/>
      <x:c r="N133" s="136" t="str">
        <x:f>IF(OR(L133="",M133=""),"",MAX(0,(M133-L133)*24))</x:f>
      </x:c>
      <x:c r="O133" s="136"/>
      <x:c r="P133" s="138"/>
      <x:c r="Q133" s="15"/>
      <x:c r="R133" s="15"/>
      <x:c r="S133" s="15"/>
      <x:c r="T133" s="15"/>
      <x:c r="U133" s="15"/>
      <x:c r="V133" s="15"/>
      <x:c r="W133" s="15"/>
      <x:c r="X133" s="15"/>
      <x:c r="Y133" s="140" t="str">
        <x:f>IF(COUNTA(C133:M133,O133:X133)=0,"",ROUND((IF(OR(R133&lt;&gt;"Yes",S133&gt;0),1,0)+IF(OR(T133&lt;&gt;"Yes",U133="Yes"),1,0)+IF(W133="Yes",1,0)+IF(X133="Approved",1,0))/4,2))</x:f>
      </x:c>
      <x:c r="Z133" s="15" t="str">
        <x:f>IF(COUNTA(C133:M133,O133:X133)=0,"",TEXTJOIN("; ",TRUE,IF(C133="","Missing work date",""),IF(D133="","Missing project",""),IF(F133="","Missing crew",""),IF(O133="","Missing labor hours",""),IF(P133="","Missing production qty",""),IF(AND(R133="Yes",OR(S133="",S133&lt;=0)),"Missing photo proof",""),IF(AND(T133="Yes",U133&lt;&gt;"Yes"),"Missing redline",""),IF(V133="Yes","Safety follow-up",""),IF(W133&lt;&gt;"Yes","Missing customer signoff",""),IF(X133&lt;&gt;"Approved","Office not approved",""),IF(N133&lt;=0,"Bad shift hours","")))</x:f>
      </x:c>
      <x:c r="AA133" s="15" t="str">
        <x:f>IF(COUNTA(C133:M133,O133:X133)=0,"",IF(Z133="","Yes","No"))</x:f>
      </x:c>
      <x:c r="AB133" s="15"/>
    </x:row>
    <x:row r="134" ht="20" customHeight="1">
      <x:c r="A134" s="15"/>
      <x:c r="B134" s="122"/>
      <x:c r="C134" s="28"/>
      <x:c r="D134" s="15"/>
      <x:c r="E134" s="15"/>
      <x:c r="F134" s="15"/>
      <x:c r="G134" s="15"/>
      <x:c r="H134" s="15"/>
      <x:c r="I134" s="15"/>
      <x:c r="J134" s="15"/>
      <x:c r="K134" s="15"/>
      <x:c r="L134" s="134"/>
      <x:c r="M134" s="134"/>
      <x:c r="N134" s="136" t="str">
        <x:f>IF(OR(L134="",M134=""),"",MAX(0,(M134-L134)*24))</x:f>
      </x:c>
      <x:c r="O134" s="136"/>
      <x:c r="P134" s="138"/>
      <x:c r="Q134" s="15"/>
      <x:c r="R134" s="15"/>
      <x:c r="S134" s="15"/>
      <x:c r="T134" s="15"/>
      <x:c r="U134" s="15"/>
      <x:c r="V134" s="15"/>
      <x:c r="W134" s="15"/>
      <x:c r="X134" s="15"/>
      <x:c r="Y134" s="140" t="str">
        <x:f>IF(COUNTA(C134:M134,O134:X134)=0,"",ROUND((IF(OR(R134&lt;&gt;"Yes",S134&gt;0),1,0)+IF(OR(T134&lt;&gt;"Yes",U134="Yes"),1,0)+IF(W134="Yes",1,0)+IF(X134="Approved",1,0))/4,2))</x:f>
      </x:c>
      <x:c r="Z134" s="15" t="str">
        <x:f>IF(COUNTA(C134:M134,O134:X134)=0,"",TEXTJOIN("; ",TRUE,IF(C134="","Missing work date",""),IF(D134="","Missing project",""),IF(F134="","Missing crew",""),IF(O134="","Missing labor hours",""),IF(P134="","Missing production qty",""),IF(AND(R134="Yes",OR(S134="",S134&lt;=0)),"Missing photo proof",""),IF(AND(T134="Yes",U134&lt;&gt;"Yes"),"Missing redline",""),IF(V134="Yes","Safety follow-up",""),IF(W134&lt;&gt;"Yes","Missing customer signoff",""),IF(X134&lt;&gt;"Approved","Office not approved",""),IF(N134&lt;=0,"Bad shift hours","")))</x:f>
      </x:c>
      <x:c r="AA134" s="15" t="str">
        <x:f>IF(COUNTA(C134:M134,O134:X134)=0,"",IF(Z134="","Yes","No"))</x:f>
      </x:c>
      <x:c r="AB134" s="15"/>
    </x:row>
    <x:row r="135" ht="20" customHeight="1">
      <x:c r="A135" s="15"/>
      <x:c r="B135" s="122"/>
      <x:c r="C135" s="28"/>
      <x:c r="D135" s="15"/>
      <x:c r="E135" s="15"/>
      <x:c r="F135" s="15"/>
      <x:c r="G135" s="15"/>
      <x:c r="H135" s="15"/>
      <x:c r="I135" s="15"/>
      <x:c r="J135" s="15"/>
      <x:c r="K135" s="15"/>
      <x:c r="L135" s="134"/>
      <x:c r="M135" s="134"/>
      <x:c r="N135" s="136" t="str">
        <x:f>IF(OR(L135="",M135=""),"",MAX(0,(M135-L135)*24))</x:f>
      </x:c>
      <x:c r="O135" s="136"/>
      <x:c r="P135" s="138"/>
      <x:c r="Q135" s="15"/>
      <x:c r="R135" s="15"/>
      <x:c r="S135" s="15"/>
      <x:c r="T135" s="15"/>
      <x:c r="U135" s="15"/>
      <x:c r="V135" s="15"/>
      <x:c r="W135" s="15"/>
      <x:c r="X135" s="15"/>
      <x:c r="Y135" s="140" t="str">
        <x:f>IF(COUNTA(C135:M135,O135:X135)=0,"",ROUND((IF(OR(R135&lt;&gt;"Yes",S135&gt;0),1,0)+IF(OR(T135&lt;&gt;"Yes",U135="Yes"),1,0)+IF(W135="Yes",1,0)+IF(X135="Approved",1,0))/4,2))</x:f>
      </x:c>
      <x:c r="Z135" s="15" t="str">
        <x:f>IF(COUNTA(C135:M135,O135:X135)=0,"",TEXTJOIN("; ",TRUE,IF(C135="","Missing work date",""),IF(D135="","Missing project",""),IF(F135="","Missing crew",""),IF(O135="","Missing labor hours",""),IF(P135="","Missing production qty",""),IF(AND(R135="Yes",OR(S135="",S135&lt;=0)),"Missing photo proof",""),IF(AND(T135="Yes",U135&lt;&gt;"Yes"),"Missing redline",""),IF(V135="Yes","Safety follow-up",""),IF(W135&lt;&gt;"Yes","Missing customer signoff",""),IF(X135&lt;&gt;"Approved","Office not approved",""),IF(N135&lt;=0,"Bad shift hours","")))</x:f>
      </x:c>
      <x:c r="AA135" s="15" t="str">
        <x:f>IF(COUNTA(C135:M135,O135:X135)=0,"",IF(Z135="","Yes","No"))</x:f>
      </x:c>
      <x:c r="AB135" s="15"/>
    </x:row>
    <x:row r="136" ht="20" customHeight="1">
      <x:c r="A136" s="15"/>
      <x:c r="B136" s="122"/>
      <x:c r="C136" s="28"/>
      <x:c r="D136" s="15"/>
      <x:c r="E136" s="15"/>
      <x:c r="F136" s="15"/>
      <x:c r="G136" s="15"/>
      <x:c r="H136" s="15"/>
      <x:c r="I136" s="15"/>
      <x:c r="J136" s="15"/>
      <x:c r="K136" s="15"/>
      <x:c r="L136" s="134"/>
      <x:c r="M136" s="134"/>
      <x:c r="N136" s="136" t="str">
        <x:f>IF(OR(L136="",M136=""),"",MAX(0,(M136-L136)*24))</x:f>
      </x:c>
      <x:c r="O136" s="136"/>
      <x:c r="P136" s="138"/>
      <x:c r="Q136" s="15"/>
      <x:c r="R136" s="15"/>
      <x:c r="S136" s="15"/>
      <x:c r="T136" s="15"/>
      <x:c r="U136" s="15"/>
      <x:c r="V136" s="15"/>
      <x:c r="W136" s="15"/>
      <x:c r="X136" s="15"/>
      <x:c r="Y136" s="140" t="str">
        <x:f>IF(COUNTA(C136:M136,O136:X136)=0,"",ROUND((IF(OR(R136&lt;&gt;"Yes",S136&gt;0),1,0)+IF(OR(T136&lt;&gt;"Yes",U136="Yes"),1,0)+IF(W136="Yes",1,0)+IF(X136="Approved",1,0))/4,2))</x:f>
      </x:c>
      <x:c r="Z136" s="15" t="str">
        <x:f>IF(COUNTA(C136:M136,O136:X136)=0,"",TEXTJOIN("; ",TRUE,IF(C136="","Missing work date",""),IF(D136="","Missing project",""),IF(F136="","Missing crew",""),IF(O136="","Missing labor hours",""),IF(P136="","Missing production qty",""),IF(AND(R136="Yes",OR(S136="",S136&lt;=0)),"Missing photo proof",""),IF(AND(T136="Yes",U136&lt;&gt;"Yes"),"Missing redline",""),IF(V136="Yes","Safety follow-up",""),IF(W136&lt;&gt;"Yes","Missing customer signoff",""),IF(X136&lt;&gt;"Approved","Office not approved",""),IF(N136&lt;=0,"Bad shift hours","")))</x:f>
      </x:c>
      <x:c r="AA136" s="15" t="str">
        <x:f>IF(COUNTA(C136:M136,O136:X136)=0,"",IF(Z136="","Yes","No"))</x:f>
      </x:c>
      <x:c r="AB136" s="15"/>
    </x:row>
    <x:row r="137" ht="20" customHeight="1">
      <x:c r="A137" s="15"/>
      <x:c r="B137" s="122"/>
      <x:c r="C137" s="28"/>
      <x:c r="D137" s="15"/>
      <x:c r="E137" s="15"/>
      <x:c r="F137" s="15"/>
      <x:c r="G137" s="15"/>
      <x:c r="H137" s="15"/>
      <x:c r="I137" s="15"/>
      <x:c r="J137" s="15"/>
      <x:c r="K137" s="15"/>
      <x:c r="L137" s="134"/>
      <x:c r="M137" s="134"/>
      <x:c r="N137" s="136" t="str">
        <x:f>IF(OR(L137="",M137=""),"",MAX(0,(M137-L137)*24))</x:f>
      </x:c>
      <x:c r="O137" s="136"/>
      <x:c r="P137" s="138"/>
      <x:c r="Q137" s="15"/>
      <x:c r="R137" s="15"/>
      <x:c r="S137" s="15"/>
      <x:c r="T137" s="15"/>
      <x:c r="U137" s="15"/>
      <x:c r="V137" s="15"/>
      <x:c r="W137" s="15"/>
      <x:c r="X137" s="15"/>
      <x:c r="Y137" s="140" t="str">
        <x:f>IF(COUNTA(C137:M137,O137:X137)=0,"",ROUND((IF(OR(R137&lt;&gt;"Yes",S137&gt;0),1,0)+IF(OR(T137&lt;&gt;"Yes",U137="Yes"),1,0)+IF(W137="Yes",1,0)+IF(X137="Approved",1,0))/4,2))</x:f>
      </x:c>
      <x:c r="Z137" s="15" t="str">
        <x:f>IF(COUNTA(C137:M137,O137:X137)=0,"",TEXTJOIN("; ",TRUE,IF(C137="","Missing work date",""),IF(D137="","Missing project",""),IF(F137="","Missing crew",""),IF(O137="","Missing labor hours",""),IF(P137="","Missing production qty",""),IF(AND(R137="Yes",OR(S137="",S137&lt;=0)),"Missing photo proof",""),IF(AND(T137="Yes",U137&lt;&gt;"Yes"),"Missing redline",""),IF(V137="Yes","Safety follow-up",""),IF(W137&lt;&gt;"Yes","Missing customer signoff",""),IF(X137&lt;&gt;"Approved","Office not approved",""),IF(N137&lt;=0,"Bad shift hours","")))</x:f>
      </x:c>
      <x:c r="AA137" s="15" t="str">
        <x:f>IF(COUNTA(C137:M137,O137:X137)=0,"",IF(Z137="","Yes","No"))</x:f>
      </x:c>
      <x:c r="AB137" s="15"/>
    </x:row>
    <x:row r="138" ht="20" customHeight="1">
      <x:c r="A138" s="15"/>
      <x:c r="B138" s="122"/>
      <x:c r="C138" s="28"/>
      <x:c r="D138" s="15"/>
      <x:c r="E138" s="15"/>
      <x:c r="F138" s="15"/>
      <x:c r="G138" s="15"/>
      <x:c r="H138" s="15"/>
      <x:c r="I138" s="15"/>
      <x:c r="J138" s="15"/>
      <x:c r="K138" s="15"/>
      <x:c r="L138" s="134"/>
      <x:c r="M138" s="134"/>
      <x:c r="N138" s="136" t="str">
        <x:f>IF(OR(L138="",M138=""),"",MAX(0,(M138-L138)*24))</x:f>
      </x:c>
      <x:c r="O138" s="136"/>
      <x:c r="P138" s="138"/>
      <x:c r="Q138" s="15"/>
      <x:c r="R138" s="15"/>
      <x:c r="S138" s="15"/>
      <x:c r="T138" s="15"/>
      <x:c r="U138" s="15"/>
      <x:c r="V138" s="15"/>
      <x:c r="W138" s="15"/>
      <x:c r="X138" s="15"/>
      <x:c r="Y138" s="140" t="str">
        <x:f>IF(COUNTA(C138:M138,O138:X138)=0,"",ROUND((IF(OR(R138&lt;&gt;"Yes",S138&gt;0),1,0)+IF(OR(T138&lt;&gt;"Yes",U138="Yes"),1,0)+IF(W138="Yes",1,0)+IF(X138="Approved",1,0))/4,2))</x:f>
      </x:c>
      <x:c r="Z138" s="15" t="str">
        <x:f>IF(COUNTA(C138:M138,O138:X138)=0,"",TEXTJOIN("; ",TRUE,IF(C138="","Missing work date",""),IF(D138="","Missing project",""),IF(F138="","Missing crew",""),IF(O138="","Missing labor hours",""),IF(P138="","Missing production qty",""),IF(AND(R138="Yes",OR(S138="",S138&lt;=0)),"Missing photo proof",""),IF(AND(T138="Yes",U138&lt;&gt;"Yes"),"Missing redline",""),IF(V138="Yes","Safety follow-up",""),IF(W138&lt;&gt;"Yes","Missing customer signoff",""),IF(X138&lt;&gt;"Approved","Office not approved",""),IF(N138&lt;=0,"Bad shift hours","")))</x:f>
      </x:c>
      <x:c r="AA138" s="15" t="str">
        <x:f>IF(COUNTA(C138:M138,O138:X138)=0,"",IF(Z138="","Yes","No"))</x:f>
      </x:c>
      <x:c r="AB138" s="15"/>
    </x:row>
    <x:row r="139" ht="20" customHeight="1">
      <x:c r="A139" s="15"/>
      <x:c r="B139" s="122"/>
      <x:c r="C139" s="28"/>
      <x:c r="D139" s="15"/>
      <x:c r="E139" s="15"/>
      <x:c r="F139" s="15"/>
      <x:c r="G139" s="15"/>
      <x:c r="H139" s="15"/>
      <x:c r="I139" s="15"/>
      <x:c r="J139" s="15"/>
      <x:c r="K139" s="15"/>
      <x:c r="L139" s="134"/>
      <x:c r="M139" s="134"/>
      <x:c r="N139" s="136" t="str">
        <x:f>IF(OR(L139="",M139=""),"",MAX(0,(M139-L139)*24))</x:f>
      </x:c>
      <x:c r="O139" s="136"/>
      <x:c r="P139" s="138"/>
      <x:c r="Q139" s="15"/>
      <x:c r="R139" s="15"/>
      <x:c r="S139" s="15"/>
      <x:c r="T139" s="15"/>
      <x:c r="U139" s="15"/>
      <x:c r="V139" s="15"/>
      <x:c r="W139" s="15"/>
      <x:c r="X139" s="15"/>
      <x:c r="Y139" s="140" t="str">
        <x:f>IF(COUNTA(C139:M139,O139:X139)=0,"",ROUND((IF(OR(R139&lt;&gt;"Yes",S139&gt;0),1,0)+IF(OR(T139&lt;&gt;"Yes",U139="Yes"),1,0)+IF(W139="Yes",1,0)+IF(X139="Approved",1,0))/4,2))</x:f>
      </x:c>
      <x:c r="Z139" s="15" t="str">
        <x:f>IF(COUNTA(C139:M139,O139:X139)=0,"",TEXTJOIN("; ",TRUE,IF(C139="","Missing work date",""),IF(D139="","Missing project",""),IF(F139="","Missing crew",""),IF(O139="","Missing labor hours",""),IF(P139="","Missing production qty",""),IF(AND(R139="Yes",OR(S139="",S139&lt;=0)),"Missing photo proof",""),IF(AND(T139="Yes",U139&lt;&gt;"Yes"),"Missing redline",""),IF(V139="Yes","Safety follow-up",""),IF(W139&lt;&gt;"Yes","Missing customer signoff",""),IF(X139&lt;&gt;"Approved","Office not approved",""),IF(N139&lt;=0,"Bad shift hours","")))</x:f>
      </x:c>
      <x:c r="AA139" s="15" t="str">
        <x:f>IF(COUNTA(C139:M139,O139:X139)=0,"",IF(Z139="","Yes","No"))</x:f>
      </x:c>
      <x:c r="AB139" s="15"/>
    </x:row>
    <x:row r="140" ht="20" customHeight="1">
      <x:c r="A140" s="15"/>
      <x:c r="B140" s="122"/>
      <x:c r="C140" s="28"/>
      <x:c r="D140" s="15"/>
      <x:c r="E140" s="15"/>
      <x:c r="F140" s="15"/>
      <x:c r="G140" s="15"/>
      <x:c r="H140" s="15"/>
      <x:c r="I140" s="15"/>
      <x:c r="J140" s="15"/>
      <x:c r="K140" s="15"/>
      <x:c r="L140" s="134"/>
      <x:c r="M140" s="134"/>
      <x:c r="N140" s="136" t="str">
        <x:f>IF(OR(L140="",M140=""),"",MAX(0,(M140-L140)*24))</x:f>
      </x:c>
      <x:c r="O140" s="136"/>
      <x:c r="P140" s="138"/>
      <x:c r="Q140" s="15"/>
      <x:c r="R140" s="15"/>
      <x:c r="S140" s="15"/>
      <x:c r="T140" s="15"/>
      <x:c r="U140" s="15"/>
      <x:c r="V140" s="15"/>
      <x:c r="W140" s="15"/>
      <x:c r="X140" s="15"/>
      <x:c r="Y140" s="140" t="str">
        <x:f>IF(COUNTA(C140:M140,O140:X140)=0,"",ROUND((IF(OR(R140&lt;&gt;"Yes",S140&gt;0),1,0)+IF(OR(T140&lt;&gt;"Yes",U140="Yes"),1,0)+IF(W140="Yes",1,0)+IF(X140="Approved",1,0))/4,2))</x:f>
      </x:c>
      <x:c r="Z140" s="15" t="str">
        <x:f>IF(COUNTA(C140:M140,O140:X140)=0,"",TEXTJOIN("; ",TRUE,IF(C140="","Missing work date",""),IF(D140="","Missing project",""),IF(F140="","Missing crew",""),IF(O140="","Missing labor hours",""),IF(P140="","Missing production qty",""),IF(AND(R140="Yes",OR(S140="",S140&lt;=0)),"Missing photo proof",""),IF(AND(T140="Yes",U140&lt;&gt;"Yes"),"Missing redline",""),IF(V140="Yes","Safety follow-up",""),IF(W140&lt;&gt;"Yes","Missing customer signoff",""),IF(X140&lt;&gt;"Approved","Office not approved",""),IF(N140&lt;=0,"Bad shift hours","")))</x:f>
      </x:c>
      <x:c r="AA140" s="15" t="str">
        <x:f>IF(COUNTA(C140:M140,O140:X140)=0,"",IF(Z140="","Yes","No"))</x:f>
      </x:c>
      <x:c r="AB140" s="15"/>
    </x:row>
    <x:row r="141" ht="20" customHeight="1">
      <x:c r="A141" s="15"/>
      <x:c r="B141" s="122"/>
      <x:c r="C141" s="28"/>
      <x:c r="D141" s="15"/>
      <x:c r="E141" s="15"/>
      <x:c r="F141" s="15"/>
      <x:c r="G141" s="15"/>
      <x:c r="H141" s="15"/>
      <x:c r="I141" s="15"/>
      <x:c r="J141" s="15"/>
      <x:c r="K141" s="15"/>
      <x:c r="L141" s="134"/>
      <x:c r="M141" s="134"/>
      <x:c r="N141" s="136" t="str">
        <x:f>IF(OR(L141="",M141=""),"",MAX(0,(M141-L141)*24))</x:f>
      </x:c>
      <x:c r="O141" s="136"/>
      <x:c r="P141" s="138"/>
      <x:c r="Q141" s="15"/>
      <x:c r="R141" s="15"/>
      <x:c r="S141" s="15"/>
      <x:c r="T141" s="15"/>
      <x:c r="U141" s="15"/>
      <x:c r="V141" s="15"/>
      <x:c r="W141" s="15"/>
      <x:c r="X141" s="15"/>
      <x:c r="Y141" s="140" t="str">
        <x:f>IF(COUNTA(C141:M141,O141:X141)=0,"",ROUND((IF(OR(R141&lt;&gt;"Yes",S141&gt;0),1,0)+IF(OR(T141&lt;&gt;"Yes",U141="Yes"),1,0)+IF(W141="Yes",1,0)+IF(X141="Approved",1,0))/4,2))</x:f>
      </x:c>
      <x:c r="Z141" s="15" t="str">
        <x:f>IF(COUNTA(C141:M141,O141:X141)=0,"",TEXTJOIN("; ",TRUE,IF(C141="","Missing work date",""),IF(D141="","Missing project",""),IF(F141="","Missing crew",""),IF(O141="","Missing labor hours",""),IF(P141="","Missing production qty",""),IF(AND(R141="Yes",OR(S141="",S141&lt;=0)),"Missing photo proof",""),IF(AND(T141="Yes",U141&lt;&gt;"Yes"),"Missing redline",""),IF(V141="Yes","Safety follow-up",""),IF(W141&lt;&gt;"Yes","Missing customer signoff",""),IF(X141&lt;&gt;"Approved","Office not approved",""),IF(N141&lt;=0,"Bad shift hours","")))</x:f>
      </x:c>
      <x:c r="AA141" s="15" t="str">
        <x:f>IF(COUNTA(C141:M141,O141:X141)=0,"",IF(Z141="","Yes","No"))</x:f>
      </x:c>
      <x:c r="AB141" s="15"/>
    </x:row>
    <x:row r="142" ht="20" customHeight="1">
      <x:c r="A142" s="15"/>
      <x:c r="B142" s="122"/>
      <x:c r="C142" s="28"/>
      <x:c r="D142" s="15"/>
      <x:c r="E142" s="15"/>
      <x:c r="F142" s="15"/>
      <x:c r="G142" s="15"/>
      <x:c r="H142" s="15"/>
      <x:c r="I142" s="15"/>
      <x:c r="J142" s="15"/>
      <x:c r="K142" s="15"/>
      <x:c r="L142" s="134"/>
      <x:c r="M142" s="134"/>
      <x:c r="N142" s="136" t="str">
        <x:f>IF(OR(L142="",M142=""),"",MAX(0,(M142-L142)*24))</x:f>
      </x:c>
      <x:c r="O142" s="136"/>
      <x:c r="P142" s="138"/>
      <x:c r="Q142" s="15"/>
      <x:c r="R142" s="15"/>
      <x:c r="S142" s="15"/>
      <x:c r="T142" s="15"/>
      <x:c r="U142" s="15"/>
      <x:c r="V142" s="15"/>
      <x:c r="W142" s="15"/>
      <x:c r="X142" s="15"/>
      <x:c r="Y142" s="140" t="str">
        <x:f>IF(COUNTA(C142:M142,O142:X142)=0,"",ROUND((IF(OR(R142&lt;&gt;"Yes",S142&gt;0),1,0)+IF(OR(T142&lt;&gt;"Yes",U142="Yes"),1,0)+IF(W142="Yes",1,0)+IF(X142="Approved",1,0))/4,2))</x:f>
      </x:c>
      <x:c r="Z142" s="15" t="str">
        <x:f>IF(COUNTA(C142:M142,O142:X142)=0,"",TEXTJOIN("; ",TRUE,IF(C142="","Missing work date",""),IF(D142="","Missing project",""),IF(F142="","Missing crew",""),IF(O142="","Missing labor hours",""),IF(P142="","Missing production qty",""),IF(AND(R142="Yes",OR(S142="",S142&lt;=0)),"Missing photo proof",""),IF(AND(T142="Yes",U142&lt;&gt;"Yes"),"Missing redline",""),IF(V142="Yes","Safety follow-up",""),IF(W142&lt;&gt;"Yes","Missing customer signoff",""),IF(X142&lt;&gt;"Approved","Office not approved",""),IF(N142&lt;=0,"Bad shift hours","")))</x:f>
      </x:c>
      <x:c r="AA142" s="15" t="str">
        <x:f>IF(COUNTA(C142:M142,O142:X142)=0,"",IF(Z142="","Yes","No"))</x:f>
      </x:c>
      <x:c r="AB142" s="15"/>
    </x:row>
    <x:row r="143" ht="20" customHeight="1">
      <x:c r="A143" s="15"/>
      <x:c r="B143" s="122"/>
      <x:c r="C143" s="28"/>
      <x:c r="D143" s="15"/>
      <x:c r="E143" s="15"/>
      <x:c r="F143" s="15"/>
      <x:c r="G143" s="15"/>
      <x:c r="H143" s="15"/>
      <x:c r="I143" s="15"/>
      <x:c r="J143" s="15"/>
      <x:c r="K143" s="15"/>
      <x:c r="L143" s="134"/>
      <x:c r="M143" s="134"/>
      <x:c r="N143" s="136" t="str">
        <x:f>IF(OR(L143="",M143=""),"",MAX(0,(M143-L143)*24))</x:f>
      </x:c>
      <x:c r="O143" s="136"/>
      <x:c r="P143" s="138"/>
      <x:c r="Q143" s="15"/>
      <x:c r="R143" s="15"/>
      <x:c r="S143" s="15"/>
      <x:c r="T143" s="15"/>
      <x:c r="U143" s="15"/>
      <x:c r="V143" s="15"/>
      <x:c r="W143" s="15"/>
      <x:c r="X143" s="15"/>
      <x:c r="Y143" s="140" t="str">
        <x:f>IF(COUNTA(C143:M143,O143:X143)=0,"",ROUND((IF(OR(R143&lt;&gt;"Yes",S143&gt;0),1,0)+IF(OR(T143&lt;&gt;"Yes",U143="Yes"),1,0)+IF(W143="Yes",1,0)+IF(X143="Approved",1,0))/4,2))</x:f>
      </x:c>
      <x:c r="Z143" s="15" t="str">
        <x:f>IF(COUNTA(C143:M143,O143:X143)=0,"",TEXTJOIN("; ",TRUE,IF(C143="","Missing work date",""),IF(D143="","Missing project",""),IF(F143="","Missing crew",""),IF(O143="","Missing labor hours",""),IF(P143="","Missing production qty",""),IF(AND(R143="Yes",OR(S143="",S143&lt;=0)),"Missing photo proof",""),IF(AND(T143="Yes",U143&lt;&gt;"Yes"),"Missing redline",""),IF(V143="Yes","Safety follow-up",""),IF(W143&lt;&gt;"Yes","Missing customer signoff",""),IF(X143&lt;&gt;"Approved","Office not approved",""),IF(N143&lt;=0,"Bad shift hours","")))</x:f>
      </x:c>
      <x:c r="AA143" s="15" t="str">
        <x:f>IF(COUNTA(C143:M143,O143:X143)=0,"",IF(Z143="","Yes","No"))</x:f>
      </x:c>
      <x:c r="AB143" s="15"/>
    </x:row>
    <x:row r="144" ht="20" customHeight="1">
      <x:c r="A144" s="15"/>
      <x:c r="B144" s="122"/>
      <x:c r="C144" s="28"/>
      <x:c r="D144" s="15"/>
      <x:c r="E144" s="15"/>
      <x:c r="F144" s="15"/>
      <x:c r="G144" s="15"/>
      <x:c r="H144" s="15"/>
      <x:c r="I144" s="15"/>
      <x:c r="J144" s="15"/>
      <x:c r="K144" s="15"/>
      <x:c r="L144" s="134"/>
      <x:c r="M144" s="134"/>
      <x:c r="N144" s="136" t="str">
        <x:f>IF(OR(L144="",M144=""),"",MAX(0,(M144-L144)*24))</x:f>
      </x:c>
      <x:c r="O144" s="136"/>
      <x:c r="P144" s="138"/>
      <x:c r="Q144" s="15"/>
      <x:c r="R144" s="15"/>
      <x:c r="S144" s="15"/>
      <x:c r="T144" s="15"/>
      <x:c r="U144" s="15"/>
      <x:c r="V144" s="15"/>
      <x:c r="W144" s="15"/>
      <x:c r="X144" s="15"/>
      <x:c r="Y144" s="140" t="str">
        <x:f>IF(COUNTA(C144:M144,O144:X144)=0,"",ROUND((IF(OR(R144&lt;&gt;"Yes",S144&gt;0),1,0)+IF(OR(T144&lt;&gt;"Yes",U144="Yes"),1,0)+IF(W144="Yes",1,0)+IF(X144="Approved",1,0))/4,2))</x:f>
      </x:c>
      <x:c r="Z144" s="15" t="str">
        <x:f>IF(COUNTA(C144:M144,O144:X144)=0,"",TEXTJOIN("; ",TRUE,IF(C144="","Missing work date",""),IF(D144="","Missing project",""),IF(F144="","Missing crew",""),IF(O144="","Missing labor hours",""),IF(P144="","Missing production qty",""),IF(AND(R144="Yes",OR(S144="",S144&lt;=0)),"Missing photo proof",""),IF(AND(T144="Yes",U144&lt;&gt;"Yes"),"Missing redline",""),IF(V144="Yes","Safety follow-up",""),IF(W144&lt;&gt;"Yes","Missing customer signoff",""),IF(X144&lt;&gt;"Approved","Office not approved",""),IF(N144&lt;=0,"Bad shift hours","")))</x:f>
      </x:c>
      <x:c r="AA144" s="15" t="str">
        <x:f>IF(COUNTA(C144:M144,O144:X144)=0,"",IF(Z144="","Yes","No"))</x:f>
      </x:c>
      <x:c r="AB144" s="15"/>
    </x:row>
    <x:row r="145" ht="20" customHeight="1">
      <x:c r="A145" s="15"/>
      <x:c r="B145" s="122"/>
      <x:c r="C145" s="28"/>
      <x:c r="D145" s="15"/>
      <x:c r="E145" s="15"/>
      <x:c r="F145" s="15"/>
      <x:c r="G145" s="15"/>
      <x:c r="H145" s="15"/>
      <x:c r="I145" s="15"/>
      <x:c r="J145" s="15"/>
      <x:c r="K145" s="15"/>
      <x:c r="L145" s="134"/>
      <x:c r="M145" s="134"/>
      <x:c r="N145" s="136" t="str">
        <x:f>IF(OR(L145="",M145=""),"",MAX(0,(M145-L145)*24))</x:f>
      </x:c>
      <x:c r="O145" s="136"/>
      <x:c r="P145" s="138"/>
      <x:c r="Q145" s="15"/>
      <x:c r="R145" s="15"/>
      <x:c r="S145" s="15"/>
      <x:c r="T145" s="15"/>
      <x:c r="U145" s="15"/>
      <x:c r="V145" s="15"/>
      <x:c r="W145" s="15"/>
      <x:c r="X145" s="15"/>
      <x:c r="Y145" s="140" t="str">
        <x:f>IF(COUNTA(C145:M145,O145:X145)=0,"",ROUND((IF(OR(R145&lt;&gt;"Yes",S145&gt;0),1,0)+IF(OR(T145&lt;&gt;"Yes",U145="Yes"),1,0)+IF(W145="Yes",1,0)+IF(X145="Approved",1,0))/4,2))</x:f>
      </x:c>
      <x:c r="Z145" s="15" t="str">
        <x:f>IF(COUNTA(C145:M145,O145:X145)=0,"",TEXTJOIN("; ",TRUE,IF(C145="","Missing work date",""),IF(D145="","Missing project",""),IF(F145="","Missing crew",""),IF(O145="","Missing labor hours",""),IF(P145="","Missing production qty",""),IF(AND(R145="Yes",OR(S145="",S145&lt;=0)),"Missing photo proof",""),IF(AND(T145="Yes",U145&lt;&gt;"Yes"),"Missing redline",""),IF(V145="Yes","Safety follow-up",""),IF(W145&lt;&gt;"Yes","Missing customer signoff",""),IF(X145&lt;&gt;"Approved","Office not approved",""),IF(N145&lt;=0,"Bad shift hours","")))</x:f>
      </x:c>
      <x:c r="AA145" s="15" t="str">
        <x:f>IF(COUNTA(C145:M145,O145:X145)=0,"",IF(Z145="","Yes","No"))</x:f>
      </x:c>
      <x:c r="AB145" s="15"/>
    </x:row>
    <x:row r="146" ht="20" customHeight="1">
      <x:c r="A146" s="15"/>
      <x:c r="B146" s="122"/>
      <x:c r="C146" s="28"/>
      <x:c r="D146" s="15"/>
      <x:c r="E146" s="15"/>
      <x:c r="F146" s="15"/>
      <x:c r="G146" s="15"/>
      <x:c r="H146" s="15"/>
      <x:c r="I146" s="15"/>
      <x:c r="J146" s="15"/>
      <x:c r="K146" s="15"/>
      <x:c r="L146" s="134"/>
      <x:c r="M146" s="134"/>
      <x:c r="N146" s="136" t="str">
        <x:f>IF(OR(L146="",M146=""),"",MAX(0,(M146-L146)*24))</x:f>
      </x:c>
      <x:c r="O146" s="136"/>
      <x:c r="P146" s="138"/>
      <x:c r="Q146" s="15"/>
      <x:c r="R146" s="15"/>
      <x:c r="S146" s="15"/>
      <x:c r="T146" s="15"/>
      <x:c r="U146" s="15"/>
      <x:c r="V146" s="15"/>
      <x:c r="W146" s="15"/>
      <x:c r="X146" s="15"/>
      <x:c r="Y146" s="140" t="str">
        <x:f>IF(COUNTA(C146:M146,O146:X146)=0,"",ROUND((IF(OR(R146&lt;&gt;"Yes",S146&gt;0),1,0)+IF(OR(T146&lt;&gt;"Yes",U146="Yes"),1,0)+IF(W146="Yes",1,0)+IF(X146="Approved",1,0))/4,2))</x:f>
      </x:c>
      <x:c r="Z146" s="15" t="str">
        <x:f>IF(COUNTA(C146:M146,O146:X146)=0,"",TEXTJOIN("; ",TRUE,IF(C146="","Missing work date",""),IF(D146="","Missing project",""),IF(F146="","Missing crew",""),IF(O146="","Missing labor hours",""),IF(P146="","Missing production qty",""),IF(AND(R146="Yes",OR(S146="",S146&lt;=0)),"Missing photo proof",""),IF(AND(T146="Yes",U146&lt;&gt;"Yes"),"Missing redline",""),IF(V146="Yes","Safety follow-up",""),IF(W146&lt;&gt;"Yes","Missing customer signoff",""),IF(X146&lt;&gt;"Approved","Office not approved",""),IF(N146&lt;=0,"Bad shift hours","")))</x:f>
      </x:c>
      <x:c r="AA146" s="15" t="str">
        <x:f>IF(COUNTA(C146:M146,O146:X146)=0,"",IF(Z146="","Yes","No"))</x:f>
      </x:c>
      <x:c r="AB146" s="15"/>
    </x:row>
    <x:row r="147" ht="20" customHeight="1">
      <x:c r="A147" s="15"/>
      <x:c r="B147" s="122"/>
      <x:c r="C147" s="28"/>
      <x:c r="D147" s="15"/>
      <x:c r="E147" s="15"/>
      <x:c r="F147" s="15"/>
      <x:c r="G147" s="15"/>
      <x:c r="H147" s="15"/>
      <x:c r="I147" s="15"/>
      <x:c r="J147" s="15"/>
      <x:c r="K147" s="15"/>
      <x:c r="L147" s="134"/>
      <x:c r="M147" s="134"/>
      <x:c r="N147" s="136" t="str">
        <x:f>IF(OR(L147="",M147=""),"",MAX(0,(M147-L147)*24))</x:f>
      </x:c>
      <x:c r="O147" s="136"/>
      <x:c r="P147" s="138"/>
      <x:c r="Q147" s="15"/>
      <x:c r="R147" s="15"/>
      <x:c r="S147" s="15"/>
      <x:c r="T147" s="15"/>
      <x:c r="U147" s="15"/>
      <x:c r="V147" s="15"/>
      <x:c r="W147" s="15"/>
      <x:c r="X147" s="15"/>
      <x:c r="Y147" s="140" t="str">
        <x:f>IF(COUNTA(C147:M147,O147:X147)=0,"",ROUND((IF(OR(R147&lt;&gt;"Yes",S147&gt;0),1,0)+IF(OR(T147&lt;&gt;"Yes",U147="Yes"),1,0)+IF(W147="Yes",1,0)+IF(X147="Approved",1,0))/4,2))</x:f>
      </x:c>
      <x:c r="Z147" s="15" t="str">
        <x:f>IF(COUNTA(C147:M147,O147:X147)=0,"",TEXTJOIN("; ",TRUE,IF(C147="","Missing work date",""),IF(D147="","Missing project",""),IF(F147="","Missing crew",""),IF(O147="","Missing labor hours",""),IF(P147="","Missing production qty",""),IF(AND(R147="Yes",OR(S147="",S147&lt;=0)),"Missing photo proof",""),IF(AND(T147="Yes",U147&lt;&gt;"Yes"),"Missing redline",""),IF(V147="Yes","Safety follow-up",""),IF(W147&lt;&gt;"Yes","Missing customer signoff",""),IF(X147&lt;&gt;"Approved","Office not approved",""),IF(N147&lt;=0,"Bad shift hours","")))</x:f>
      </x:c>
      <x:c r="AA147" s="15" t="str">
        <x:f>IF(COUNTA(C147:M147,O147:X147)=0,"",IF(Z147="","Yes","No"))</x:f>
      </x:c>
      <x:c r="AB147" s="15"/>
    </x:row>
    <x:row r="148" ht="20" customHeight="1">
      <x:c r="A148" s="15"/>
      <x:c r="B148" s="122"/>
      <x:c r="C148" s="28"/>
      <x:c r="D148" s="15"/>
      <x:c r="E148" s="15"/>
      <x:c r="F148" s="15"/>
      <x:c r="G148" s="15"/>
      <x:c r="H148" s="15"/>
      <x:c r="I148" s="15"/>
      <x:c r="J148" s="15"/>
      <x:c r="K148" s="15"/>
      <x:c r="L148" s="134"/>
      <x:c r="M148" s="134"/>
      <x:c r="N148" s="136" t="str">
        <x:f>IF(OR(L148="",M148=""),"",MAX(0,(M148-L148)*24))</x:f>
      </x:c>
      <x:c r="O148" s="136"/>
      <x:c r="P148" s="138"/>
      <x:c r="Q148" s="15"/>
      <x:c r="R148" s="15"/>
      <x:c r="S148" s="15"/>
      <x:c r="T148" s="15"/>
      <x:c r="U148" s="15"/>
      <x:c r="V148" s="15"/>
      <x:c r="W148" s="15"/>
      <x:c r="X148" s="15"/>
      <x:c r="Y148" s="140" t="str">
        <x:f>IF(COUNTA(C148:M148,O148:X148)=0,"",ROUND((IF(OR(R148&lt;&gt;"Yes",S148&gt;0),1,0)+IF(OR(T148&lt;&gt;"Yes",U148="Yes"),1,0)+IF(W148="Yes",1,0)+IF(X148="Approved",1,0))/4,2))</x:f>
      </x:c>
      <x:c r="Z148" s="15" t="str">
        <x:f>IF(COUNTA(C148:M148,O148:X148)=0,"",TEXTJOIN("; ",TRUE,IF(C148="","Missing work date",""),IF(D148="","Missing project",""),IF(F148="","Missing crew",""),IF(O148="","Missing labor hours",""),IF(P148="","Missing production qty",""),IF(AND(R148="Yes",OR(S148="",S148&lt;=0)),"Missing photo proof",""),IF(AND(T148="Yes",U148&lt;&gt;"Yes"),"Missing redline",""),IF(V148="Yes","Safety follow-up",""),IF(W148&lt;&gt;"Yes","Missing customer signoff",""),IF(X148&lt;&gt;"Approved","Office not approved",""),IF(N148&lt;=0,"Bad shift hours","")))</x:f>
      </x:c>
      <x:c r="AA148" s="15" t="str">
        <x:f>IF(COUNTA(C148:M148,O148:X148)=0,"",IF(Z148="","Yes","No"))</x:f>
      </x:c>
      <x:c r="AB148" s="15"/>
    </x:row>
    <x:row r="149" ht="20" customHeight="1">
      <x:c r="A149" s="15"/>
      <x:c r="B149" s="122"/>
      <x:c r="C149" s="28"/>
      <x:c r="D149" s="15"/>
      <x:c r="E149" s="15"/>
      <x:c r="F149" s="15"/>
      <x:c r="G149" s="15"/>
      <x:c r="H149" s="15"/>
      <x:c r="I149" s="15"/>
      <x:c r="J149" s="15"/>
      <x:c r="K149" s="15"/>
      <x:c r="L149" s="134"/>
      <x:c r="M149" s="134"/>
      <x:c r="N149" s="136" t="str">
        <x:f>IF(OR(L149="",M149=""),"",MAX(0,(M149-L149)*24))</x:f>
      </x:c>
      <x:c r="O149" s="136"/>
      <x:c r="P149" s="138"/>
      <x:c r="Q149" s="15"/>
      <x:c r="R149" s="15"/>
      <x:c r="S149" s="15"/>
      <x:c r="T149" s="15"/>
      <x:c r="U149" s="15"/>
      <x:c r="V149" s="15"/>
      <x:c r="W149" s="15"/>
      <x:c r="X149" s="15"/>
      <x:c r="Y149" s="140" t="str">
        <x:f>IF(COUNTA(C149:M149,O149:X149)=0,"",ROUND((IF(OR(R149&lt;&gt;"Yes",S149&gt;0),1,0)+IF(OR(T149&lt;&gt;"Yes",U149="Yes"),1,0)+IF(W149="Yes",1,0)+IF(X149="Approved",1,0))/4,2))</x:f>
      </x:c>
      <x:c r="Z149" s="15" t="str">
        <x:f>IF(COUNTA(C149:M149,O149:X149)=0,"",TEXTJOIN("; ",TRUE,IF(C149="","Missing work date",""),IF(D149="","Missing project",""),IF(F149="","Missing crew",""),IF(O149="","Missing labor hours",""),IF(P149="","Missing production qty",""),IF(AND(R149="Yes",OR(S149="",S149&lt;=0)),"Missing photo proof",""),IF(AND(T149="Yes",U149&lt;&gt;"Yes"),"Missing redline",""),IF(V149="Yes","Safety follow-up",""),IF(W149&lt;&gt;"Yes","Missing customer signoff",""),IF(X149&lt;&gt;"Approved","Office not approved",""),IF(N149&lt;=0,"Bad shift hours","")))</x:f>
      </x:c>
      <x:c r="AA149" s="15" t="str">
        <x:f>IF(COUNTA(C149:M149,O149:X149)=0,"",IF(Z149="","Yes","No"))</x:f>
      </x:c>
      <x:c r="AB149" s="15"/>
    </x:row>
    <x:row r="150" ht="20" customHeight="1">
      <x:c r="A150" s="15"/>
      <x:c r="B150" s="122"/>
      <x:c r="C150" s="28"/>
      <x:c r="D150" s="15"/>
      <x:c r="E150" s="15"/>
      <x:c r="F150" s="15"/>
      <x:c r="G150" s="15"/>
      <x:c r="H150" s="15"/>
      <x:c r="I150" s="15"/>
      <x:c r="J150" s="15"/>
      <x:c r="K150" s="15"/>
      <x:c r="L150" s="134"/>
      <x:c r="M150" s="134"/>
      <x:c r="N150" s="136" t="str">
        <x:f>IF(OR(L150="",M150=""),"",MAX(0,(M150-L150)*24))</x:f>
      </x:c>
      <x:c r="O150" s="136"/>
      <x:c r="P150" s="138"/>
      <x:c r="Q150" s="15"/>
      <x:c r="R150" s="15"/>
      <x:c r="S150" s="15"/>
      <x:c r="T150" s="15"/>
      <x:c r="U150" s="15"/>
      <x:c r="V150" s="15"/>
      <x:c r="W150" s="15"/>
      <x:c r="X150" s="15"/>
      <x:c r="Y150" s="140" t="str">
        <x:f>IF(COUNTA(C150:M150,O150:X150)=0,"",ROUND((IF(OR(R150&lt;&gt;"Yes",S150&gt;0),1,0)+IF(OR(T150&lt;&gt;"Yes",U150="Yes"),1,0)+IF(W150="Yes",1,0)+IF(X150="Approved",1,0))/4,2))</x:f>
      </x:c>
      <x:c r="Z150" s="15" t="str">
        <x:f>IF(COUNTA(C150:M150,O150:X150)=0,"",TEXTJOIN("; ",TRUE,IF(C150="","Missing work date",""),IF(D150="","Missing project",""),IF(F150="","Missing crew",""),IF(O150="","Missing labor hours",""),IF(P150="","Missing production qty",""),IF(AND(R150="Yes",OR(S150="",S150&lt;=0)),"Missing photo proof",""),IF(AND(T150="Yes",U150&lt;&gt;"Yes"),"Missing redline",""),IF(V150="Yes","Safety follow-up",""),IF(W150&lt;&gt;"Yes","Missing customer signoff",""),IF(X150&lt;&gt;"Approved","Office not approved",""),IF(N150&lt;=0,"Bad shift hours","")))</x:f>
      </x:c>
      <x:c r="AA150" s="15" t="str">
        <x:f>IF(COUNTA(C150:M150,O150:X150)=0,"",IF(Z150="","Yes","No"))</x:f>
      </x:c>
      <x:c r="AB150" s="15"/>
    </x:row>
    <x:row r="151" ht="20" customHeight="1">
      <x:c r="A151" s="15"/>
      <x:c r="B151" s="122"/>
      <x:c r="C151" s="28"/>
      <x:c r="D151" s="15"/>
      <x:c r="E151" s="15"/>
      <x:c r="F151" s="15"/>
      <x:c r="G151" s="15"/>
      <x:c r="H151" s="15"/>
      <x:c r="I151" s="15"/>
      <x:c r="J151" s="15"/>
      <x:c r="K151" s="15"/>
      <x:c r="L151" s="134"/>
      <x:c r="M151" s="134"/>
      <x:c r="N151" s="136" t="str">
        <x:f>IF(OR(L151="",M151=""),"",MAX(0,(M151-L151)*24))</x:f>
      </x:c>
      <x:c r="O151" s="136"/>
      <x:c r="P151" s="138"/>
      <x:c r="Q151" s="15"/>
      <x:c r="R151" s="15"/>
      <x:c r="S151" s="15"/>
      <x:c r="T151" s="15"/>
      <x:c r="U151" s="15"/>
      <x:c r="V151" s="15"/>
      <x:c r="W151" s="15"/>
      <x:c r="X151" s="15"/>
      <x:c r="Y151" s="140" t="str">
        <x:f>IF(COUNTA(C151:M151,O151:X151)=0,"",ROUND((IF(OR(R151&lt;&gt;"Yes",S151&gt;0),1,0)+IF(OR(T151&lt;&gt;"Yes",U151="Yes"),1,0)+IF(W151="Yes",1,0)+IF(X151="Approved",1,0))/4,2))</x:f>
      </x:c>
      <x:c r="Z151" s="15" t="str">
        <x:f>IF(COUNTA(C151:M151,O151:X151)=0,"",TEXTJOIN("; ",TRUE,IF(C151="","Missing work date",""),IF(D151="","Missing project",""),IF(F151="","Missing crew",""),IF(O151="","Missing labor hours",""),IF(P151="","Missing production qty",""),IF(AND(R151="Yes",OR(S151="",S151&lt;=0)),"Missing photo proof",""),IF(AND(T151="Yes",U151&lt;&gt;"Yes"),"Missing redline",""),IF(V151="Yes","Safety follow-up",""),IF(W151&lt;&gt;"Yes","Missing customer signoff",""),IF(X151&lt;&gt;"Approved","Office not approved",""),IF(N151&lt;=0,"Bad shift hours","")))</x:f>
      </x:c>
      <x:c r="AA151" s="15" t="str">
        <x:f>IF(COUNTA(C151:M151,O151:X151)=0,"",IF(Z151="","Yes","No"))</x:f>
      </x:c>
      <x:c r="AB151" s="15"/>
    </x:row>
    <x:row r="152" ht="20" customHeight="1">
      <x:c r="A152" s="15"/>
      <x:c r="B152" s="122"/>
      <x:c r="C152" s="28"/>
      <x:c r="D152" s="15"/>
      <x:c r="E152" s="15"/>
      <x:c r="F152" s="15"/>
      <x:c r="G152" s="15"/>
      <x:c r="H152" s="15"/>
      <x:c r="I152" s="15"/>
      <x:c r="J152" s="15"/>
      <x:c r="K152" s="15"/>
      <x:c r="L152" s="134"/>
      <x:c r="M152" s="134"/>
      <x:c r="N152" s="136" t="str">
        <x:f>IF(OR(L152="",M152=""),"",MAX(0,(M152-L152)*24))</x:f>
      </x:c>
      <x:c r="O152" s="136"/>
      <x:c r="P152" s="138"/>
      <x:c r="Q152" s="15"/>
      <x:c r="R152" s="15"/>
      <x:c r="S152" s="15"/>
      <x:c r="T152" s="15"/>
      <x:c r="U152" s="15"/>
      <x:c r="V152" s="15"/>
      <x:c r="W152" s="15"/>
      <x:c r="X152" s="15"/>
      <x:c r="Y152" s="140" t="str">
        <x:f>IF(COUNTA(C152:M152,O152:X152)=0,"",ROUND((IF(OR(R152&lt;&gt;"Yes",S152&gt;0),1,0)+IF(OR(T152&lt;&gt;"Yes",U152="Yes"),1,0)+IF(W152="Yes",1,0)+IF(X152="Approved",1,0))/4,2))</x:f>
      </x:c>
      <x:c r="Z152" s="15" t="str">
        <x:f>IF(COUNTA(C152:M152,O152:X152)=0,"",TEXTJOIN("; ",TRUE,IF(C152="","Missing work date",""),IF(D152="","Missing project",""),IF(F152="","Missing crew",""),IF(O152="","Missing labor hours",""),IF(P152="","Missing production qty",""),IF(AND(R152="Yes",OR(S152="",S152&lt;=0)),"Missing photo proof",""),IF(AND(T152="Yes",U152&lt;&gt;"Yes"),"Missing redline",""),IF(V152="Yes","Safety follow-up",""),IF(W152&lt;&gt;"Yes","Missing customer signoff",""),IF(X152&lt;&gt;"Approved","Office not approved",""),IF(N152&lt;=0,"Bad shift hours","")))</x:f>
      </x:c>
      <x:c r="AA152" s="15" t="str">
        <x:f>IF(COUNTA(C152:M152,O152:X152)=0,"",IF(Z152="","Yes","No"))</x:f>
      </x:c>
      <x:c r="AB152" s="15"/>
    </x:row>
    <x:row r="153" ht="20" customHeight="1">
      <x:c r="A153" s="15"/>
      <x:c r="B153" s="122"/>
      <x:c r="C153" s="28"/>
      <x:c r="D153" s="15"/>
      <x:c r="E153" s="15"/>
      <x:c r="F153" s="15"/>
      <x:c r="G153" s="15"/>
      <x:c r="H153" s="15"/>
      <x:c r="I153" s="15"/>
      <x:c r="J153" s="15"/>
      <x:c r="K153" s="15"/>
      <x:c r="L153" s="134"/>
      <x:c r="M153" s="134"/>
      <x:c r="N153" s="136" t="str">
        <x:f>IF(OR(L153="",M153=""),"",MAX(0,(M153-L153)*24))</x:f>
      </x:c>
      <x:c r="O153" s="136"/>
      <x:c r="P153" s="138"/>
      <x:c r="Q153" s="15"/>
      <x:c r="R153" s="15"/>
      <x:c r="S153" s="15"/>
      <x:c r="T153" s="15"/>
      <x:c r="U153" s="15"/>
      <x:c r="V153" s="15"/>
      <x:c r="W153" s="15"/>
      <x:c r="X153" s="15"/>
      <x:c r="Y153" s="140" t="str">
        <x:f>IF(COUNTA(C153:M153,O153:X153)=0,"",ROUND((IF(OR(R153&lt;&gt;"Yes",S153&gt;0),1,0)+IF(OR(T153&lt;&gt;"Yes",U153="Yes"),1,0)+IF(W153="Yes",1,0)+IF(X153="Approved",1,0))/4,2))</x:f>
      </x:c>
      <x:c r="Z153" s="15" t="str">
        <x:f>IF(COUNTA(C153:M153,O153:X153)=0,"",TEXTJOIN("; ",TRUE,IF(C153="","Missing work date",""),IF(D153="","Missing project",""),IF(F153="","Missing crew",""),IF(O153="","Missing labor hours",""),IF(P153="","Missing production qty",""),IF(AND(R153="Yes",OR(S153="",S153&lt;=0)),"Missing photo proof",""),IF(AND(T153="Yes",U153&lt;&gt;"Yes"),"Missing redline",""),IF(V153="Yes","Safety follow-up",""),IF(W153&lt;&gt;"Yes","Missing customer signoff",""),IF(X153&lt;&gt;"Approved","Office not approved",""),IF(N153&lt;=0,"Bad shift hours","")))</x:f>
      </x:c>
      <x:c r="AA153" s="15" t="str">
        <x:f>IF(COUNTA(C153:M153,O153:X153)=0,"",IF(Z153="","Yes","No"))</x:f>
      </x:c>
      <x:c r="AB153" s="15"/>
    </x:row>
    <x:row r="154" ht="20" customHeight="1">
      <x:c r="A154" s="15"/>
      <x:c r="B154" s="122"/>
      <x:c r="C154" s="28"/>
      <x:c r="D154" s="15"/>
      <x:c r="E154" s="15"/>
      <x:c r="F154" s="15"/>
      <x:c r="G154" s="15"/>
      <x:c r="H154" s="15"/>
      <x:c r="I154" s="15"/>
      <x:c r="J154" s="15"/>
      <x:c r="K154" s="15"/>
      <x:c r="L154" s="134"/>
      <x:c r="M154" s="134"/>
      <x:c r="N154" s="136" t="str">
        <x:f>IF(OR(L154="",M154=""),"",MAX(0,(M154-L154)*24))</x:f>
      </x:c>
      <x:c r="O154" s="136"/>
      <x:c r="P154" s="138"/>
      <x:c r="Q154" s="15"/>
      <x:c r="R154" s="15"/>
      <x:c r="S154" s="15"/>
      <x:c r="T154" s="15"/>
      <x:c r="U154" s="15"/>
      <x:c r="V154" s="15"/>
      <x:c r="W154" s="15"/>
      <x:c r="X154" s="15"/>
      <x:c r="Y154" s="140" t="str">
        <x:f>IF(COUNTA(C154:M154,O154:X154)=0,"",ROUND((IF(OR(R154&lt;&gt;"Yes",S154&gt;0),1,0)+IF(OR(T154&lt;&gt;"Yes",U154="Yes"),1,0)+IF(W154="Yes",1,0)+IF(X154="Approved",1,0))/4,2))</x:f>
      </x:c>
      <x:c r="Z154" s="15" t="str">
        <x:f>IF(COUNTA(C154:M154,O154:X154)=0,"",TEXTJOIN("; ",TRUE,IF(C154="","Missing work date",""),IF(D154="","Missing project",""),IF(F154="","Missing crew",""),IF(O154="","Missing labor hours",""),IF(P154="","Missing production qty",""),IF(AND(R154="Yes",OR(S154="",S154&lt;=0)),"Missing photo proof",""),IF(AND(T154="Yes",U154&lt;&gt;"Yes"),"Missing redline",""),IF(V154="Yes","Safety follow-up",""),IF(W154&lt;&gt;"Yes","Missing customer signoff",""),IF(X154&lt;&gt;"Approved","Office not approved",""),IF(N154&lt;=0,"Bad shift hours","")))</x:f>
      </x:c>
      <x:c r="AA154" s="15" t="str">
        <x:f>IF(COUNTA(C154:M154,O154:X154)=0,"",IF(Z154="","Yes","No"))</x:f>
      </x:c>
      <x:c r="AB154" s="15"/>
    </x:row>
    <x:row r="155" ht="20" customHeight="1">
      <x:c r="A155" s="15"/>
      <x:c r="B155" s="122"/>
      <x:c r="C155" s="28"/>
      <x:c r="D155" s="15"/>
      <x:c r="E155" s="15"/>
      <x:c r="F155" s="15"/>
      <x:c r="G155" s="15"/>
      <x:c r="H155" s="15"/>
      <x:c r="I155" s="15"/>
      <x:c r="J155" s="15"/>
      <x:c r="K155" s="15"/>
      <x:c r="L155" s="134"/>
      <x:c r="M155" s="134"/>
      <x:c r="N155" s="136" t="str">
        <x:f>IF(OR(L155="",M155=""),"",MAX(0,(M155-L155)*24))</x:f>
      </x:c>
      <x:c r="O155" s="136"/>
      <x:c r="P155" s="138"/>
      <x:c r="Q155" s="15"/>
      <x:c r="R155" s="15"/>
      <x:c r="S155" s="15"/>
      <x:c r="T155" s="15"/>
      <x:c r="U155" s="15"/>
      <x:c r="V155" s="15"/>
      <x:c r="W155" s="15"/>
      <x:c r="X155" s="15"/>
      <x:c r="Y155" s="140" t="str">
        <x:f>IF(COUNTA(C155:M155,O155:X155)=0,"",ROUND((IF(OR(R155&lt;&gt;"Yes",S155&gt;0),1,0)+IF(OR(T155&lt;&gt;"Yes",U155="Yes"),1,0)+IF(W155="Yes",1,0)+IF(X155="Approved",1,0))/4,2))</x:f>
      </x:c>
      <x:c r="Z155" s="15" t="str">
        <x:f>IF(COUNTA(C155:M155,O155:X155)=0,"",TEXTJOIN("; ",TRUE,IF(C155="","Missing work date",""),IF(D155="","Missing project",""),IF(F155="","Missing crew",""),IF(O155="","Missing labor hours",""),IF(P155="","Missing production qty",""),IF(AND(R155="Yes",OR(S155="",S155&lt;=0)),"Missing photo proof",""),IF(AND(T155="Yes",U155&lt;&gt;"Yes"),"Missing redline",""),IF(V155="Yes","Safety follow-up",""),IF(W155&lt;&gt;"Yes","Missing customer signoff",""),IF(X155&lt;&gt;"Approved","Office not approved",""),IF(N155&lt;=0,"Bad shift hours","")))</x:f>
      </x:c>
      <x:c r="AA155" s="15" t="str">
        <x:f>IF(COUNTA(C155:M155,O155:X155)=0,"",IF(Z155="","Yes","No"))</x:f>
      </x:c>
      <x:c r="AB155" s="15"/>
    </x:row>
    <x:row r="156" ht="20" customHeight="1">
      <x:c r="A156" s="15"/>
      <x:c r="B156" s="122"/>
      <x:c r="C156" s="28"/>
      <x:c r="D156" s="15"/>
      <x:c r="E156" s="15"/>
      <x:c r="F156" s="15"/>
      <x:c r="G156" s="15"/>
      <x:c r="H156" s="15"/>
      <x:c r="I156" s="15"/>
      <x:c r="J156" s="15"/>
      <x:c r="K156" s="15"/>
      <x:c r="L156" s="134"/>
      <x:c r="M156" s="134"/>
      <x:c r="N156" s="136" t="str">
        <x:f>IF(OR(L156="",M156=""),"",MAX(0,(M156-L156)*24))</x:f>
      </x:c>
      <x:c r="O156" s="136"/>
      <x:c r="P156" s="138"/>
      <x:c r="Q156" s="15"/>
      <x:c r="R156" s="15"/>
      <x:c r="S156" s="15"/>
      <x:c r="T156" s="15"/>
      <x:c r="U156" s="15"/>
      <x:c r="V156" s="15"/>
      <x:c r="W156" s="15"/>
      <x:c r="X156" s="15"/>
      <x:c r="Y156" s="140" t="str">
        <x:f>IF(COUNTA(C156:M156,O156:X156)=0,"",ROUND((IF(OR(R156&lt;&gt;"Yes",S156&gt;0),1,0)+IF(OR(T156&lt;&gt;"Yes",U156="Yes"),1,0)+IF(W156="Yes",1,0)+IF(X156="Approved",1,0))/4,2))</x:f>
      </x:c>
      <x:c r="Z156" s="15" t="str">
        <x:f>IF(COUNTA(C156:M156,O156:X156)=0,"",TEXTJOIN("; ",TRUE,IF(C156="","Missing work date",""),IF(D156="","Missing project",""),IF(F156="","Missing crew",""),IF(O156="","Missing labor hours",""),IF(P156="","Missing production qty",""),IF(AND(R156="Yes",OR(S156="",S156&lt;=0)),"Missing photo proof",""),IF(AND(T156="Yes",U156&lt;&gt;"Yes"),"Missing redline",""),IF(V156="Yes","Safety follow-up",""),IF(W156&lt;&gt;"Yes","Missing customer signoff",""),IF(X156&lt;&gt;"Approved","Office not approved",""),IF(N156&lt;=0,"Bad shift hours","")))</x:f>
      </x:c>
      <x:c r="AA156" s="15" t="str">
        <x:f>IF(COUNTA(C156:M156,O156:X156)=0,"",IF(Z156="","Yes","No"))</x:f>
      </x:c>
      <x:c r="AB156" s="15"/>
    </x:row>
    <x:row r="157" ht="20" customHeight="1">
      <x:c r="A157" s="15"/>
      <x:c r="B157" s="122"/>
      <x:c r="C157" s="28"/>
      <x:c r="D157" s="15"/>
      <x:c r="E157" s="15"/>
      <x:c r="F157" s="15"/>
      <x:c r="G157" s="15"/>
      <x:c r="H157" s="15"/>
      <x:c r="I157" s="15"/>
      <x:c r="J157" s="15"/>
      <x:c r="K157" s="15"/>
      <x:c r="L157" s="134"/>
      <x:c r="M157" s="134"/>
      <x:c r="N157" s="136" t="str">
        <x:f>IF(OR(L157="",M157=""),"",MAX(0,(M157-L157)*24))</x:f>
      </x:c>
      <x:c r="O157" s="136"/>
      <x:c r="P157" s="138"/>
      <x:c r="Q157" s="15"/>
      <x:c r="R157" s="15"/>
      <x:c r="S157" s="15"/>
      <x:c r="T157" s="15"/>
      <x:c r="U157" s="15"/>
      <x:c r="V157" s="15"/>
      <x:c r="W157" s="15"/>
      <x:c r="X157" s="15"/>
      <x:c r="Y157" s="140" t="str">
        <x:f>IF(COUNTA(C157:M157,O157:X157)=0,"",ROUND((IF(OR(R157&lt;&gt;"Yes",S157&gt;0),1,0)+IF(OR(T157&lt;&gt;"Yes",U157="Yes"),1,0)+IF(W157="Yes",1,0)+IF(X157="Approved",1,0))/4,2))</x:f>
      </x:c>
      <x:c r="Z157" s="15" t="str">
        <x:f>IF(COUNTA(C157:M157,O157:X157)=0,"",TEXTJOIN("; ",TRUE,IF(C157="","Missing work date",""),IF(D157="","Missing project",""),IF(F157="","Missing crew",""),IF(O157="","Missing labor hours",""),IF(P157="","Missing production qty",""),IF(AND(R157="Yes",OR(S157="",S157&lt;=0)),"Missing photo proof",""),IF(AND(T157="Yes",U157&lt;&gt;"Yes"),"Missing redline",""),IF(V157="Yes","Safety follow-up",""),IF(W157&lt;&gt;"Yes","Missing customer signoff",""),IF(X157&lt;&gt;"Approved","Office not approved",""),IF(N157&lt;=0,"Bad shift hours","")))</x:f>
      </x:c>
      <x:c r="AA157" s="15" t="str">
        <x:f>IF(COUNTA(C157:M157,O157:X157)=0,"",IF(Z157="","Yes","No"))</x:f>
      </x:c>
      <x:c r="AB157" s="15"/>
    </x:row>
    <x:row r="158" ht="20" customHeight="1">
      <x:c r="A158" s="15"/>
      <x:c r="B158" s="122"/>
      <x:c r="C158" s="28"/>
      <x:c r="D158" s="15"/>
      <x:c r="E158" s="15"/>
      <x:c r="F158" s="15"/>
      <x:c r="G158" s="15"/>
      <x:c r="H158" s="15"/>
      <x:c r="I158" s="15"/>
      <x:c r="J158" s="15"/>
      <x:c r="K158" s="15"/>
      <x:c r="L158" s="134"/>
      <x:c r="M158" s="134"/>
      <x:c r="N158" s="136" t="str">
        <x:f>IF(OR(L158="",M158=""),"",MAX(0,(M158-L158)*24))</x:f>
      </x:c>
      <x:c r="O158" s="136"/>
      <x:c r="P158" s="138"/>
      <x:c r="Q158" s="15"/>
      <x:c r="R158" s="15"/>
      <x:c r="S158" s="15"/>
      <x:c r="T158" s="15"/>
      <x:c r="U158" s="15"/>
      <x:c r="V158" s="15"/>
      <x:c r="W158" s="15"/>
      <x:c r="X158" s="15"/>
      <x:c r="Y158" s="140" t="str">
        <x:f>IF(COUNTA(C158:M158,O158:X158)=0,"",ROUND((IF(OR(R158&lt;&gt;"Yes",S158&gt;0),1,0)+IF(OR(T158&lt;&gt;"Yes",U158="Yes"),1,0)+IF(W158="Yes",1,0)+IF(X158="Approved",1,0))/4,2))</x:f>
      </x:c>
      <x:c r="Z158" s="15" t="str">
        <x:f>IF(COUNTA(C158:M158,O158:X158)=0,"",TEXTJOIN("; ",TRUE,IF(C158="","Missing work date",""),IF(D158="","Missing project",""),IF(F158="","Missing crew",""),IF(O158="","Missing labor hours",""),IF(P158="","Missing production qty",""),IF(AND(R158="Yes",OR(S158="",S158&lt;=0)),"Missing photo proof",""),IF(AND(T158="Yes",U158&lt;&gt;"Yes"),"Missing redline",""),IF(V158="Yes","Safety follow-up",""),IF(W158&lt;&gt;"Yes","Missing customer signoff",""),IF(X158&lt;&gt;"Approved","Office not approved",""),IF(N158&lt;=0,"Bad shift hours","")))</x:f>
      </x:c>
      <x:c r="AA158" s="15" t="str">
        <x:f>IF(COUNTA(C158:M158,O158:X158)=0,"",IF(Z158="","Yes","No"))</x:f>
      </x:c>
      <x:c r="AB158" s="15"/>
    </x:row>
    <x:row r="159" ht="20" customHeight="1">
      <x:c r="A159" s="15"/>
      <x:c r="B159" s="122"/>
      <x:c r="C159" s="28"/>
      <x:c r="D159" s="15"/>
      <x:c r="E159" s="15"/>
      <x:c r="F159" s="15"/>
      <x:c r="G159" s="15"/>
      <x:c r="H159" s="15"/>
      <x:c r="I159" s="15"/>
      <x:c r="J159" s="15"/>
      <x:c r="K159" s="15"/>
      <x:c r="L159" s="134"/>
      <x:c r="M159" s="134"/>
      <x:c r="N159" s="136" t="str">
        <x:f>IF(OR(L159="",M159=""),"",MAX(0,(M159-L159)*24))</x:f>
      </x:c>
      <x:c r="O159" s="136"/>
      <x:c r="P159" s="138"/>
      <x:c r="Q159" s="15"/>
      <x:c r="R159" s="15"/>
      <x:c r="S159" s="15"/>
      <x:c r="T159" s="15"/>
      <x:c r="U159" s="15"/>
      <x:c r="V159" s="15"/>
      <x:c r="W159" s="15"/>
      <x:c r="X159" s="15"/>
      <x:c r="Y159" s="140" t="str">
        <x:f>IF(COUNTA(C159:M159,O159:X159)=0,"",ROUND((IF(OR(R159&lt;&gt;"Yes",S159&gt;0),1,0)+IF(OR(T159&lt;&gt;"Yes",U159="Yes"),1,0)+IF(W159="Yes",1,0)+IF(X159="Approved",1,0))/4,2))</x:f>
      </x:c>
      <x:c r="Z159" s="15" t="str">
        <x:f>IF(COUNTA(C159:M159,O159:X159)=0,"",TEXTJOIN("; ",TRUE,IF(C159="","Missing work date",""),IF(D159="","Missing project",""),IF(F159="","Missing crew",""),IF(O159="","Missing labor hours",""),IF(P159="","Missing production qty",""),IF(AND(R159="Yes",OR(S159="",S159&lt;=0)),"Missing photo proof",""),IF(AND(T159="Yes",U159&lt;&gt;"Yes"),"Missing redline",""),IF(V159="Yes","Safety follow-up",""),IF(W159&lt;&gt;"Yes","Missing customer signoff",""),IF(X159&lt;&gt;"Approved","Office not approved",""),IF(N159&lt;=0,"Bad shift hours","")))</x:f>
      </x:c>
      <x:c r="AA159" s="15" t="str">
        <x:f>IF(COUNTA(C159:M159,O159:X159)=0,"",IF(Z159="","Yes","No"))</x:f>
      </x:c>
      <x:c r="AB159" s="15"/>
    </x:row>
    <x:row r="160" ht="20" customHeight="1">
      <x:c r="A160" s="15"/>
      <x:c r="B160" s="122"/>
      <x:c r="C160" s="28"/>
      <x:c r="D160" s="15"/>
      <x:c r="E160" s="15"/>
      <x:c r="F160" s="15"/>
      <x:c r="G160" s="15"/>
      <x:c r="H160" s="15"/>
      <x:c r="I160" s="15"/>
      <x:c r="J160" s="15"/>
      <x:c r="K160" s="15"/>
      <x:c r="L160" s="134"/>
      <x:c r="M160" s="134"/>
      <x:c r="N160" s="136" t="str">
        <x:f>IF(OR(L160="",M160=""),"",MAX(0,(M160-L160)*24))</x:f>
      </x:c>
      <x:c r="O160" s="136"/>
      <x:c r="P160" s="138"/>
      <x:c r="Q160" s="15"/>
      <x:c r="R160" s="15"/>
      <x:c r="S160" s="15"/>
      <x:c r="T160" s="15"/>
      <x:c r="U160" s="15"/>
      <x:c r="V160" s="15"/>
      <x:c r="W160" s="15"/>
      <x:c r="X160" s="15"/>
      <x:c r="Y160" s="140" t="str">
        <x:f>IF(COUNTA(C160:M160,O160:X160)=0,"",ROUND((IF(OR(R160&lt;&gt;"Yes",S160&gt;0),1,0)+IF(OR(T160&lt;&gt;"Yes",U160="Yes"),1,0)+IF(W160="Yes",1,0)+IF(X160="Approved",1,0))/4,2))</x:f>
      </x:c>
      <x:c r="Z160" s="15" t="str">
        <x:f>IF(COUNTA(C160:M160,O160:X160)=0,"",TEXTJOIN("; ",TRUE,IF(C160="","Missing work date",""),IF(D160="","Missing project",""),IF(F160="","Missing crew",""),IF(O160="","Missing labor hours",""),IF(P160="","Missing production qty",""),IF(AND(R160="Yes",OR(S160="",S160&lt;=0)),"Missing photo proof",""),IF(AND(T160="Yes",U160&lt;&gt;"Yes"),"Missing redline",""),IF(V160="Yes","Safety follow-up",""),IF(W160&lt;&gt;"Yes","Missing customer signoff",""),IF(X160&lt;&gt;"Approved","Office not approved",""),IF(N160&lt;=0,"Bad shift hours","")))</x:f>
      </x:c>
      <x:c r="AA160" s="15" t="str">
        <x:f>IF(COUNTA(C160:M160,O160:X160)=0,"",IF(Z160="","Yes","No"))</x:f>
      </x:c>
      <x:c r="AB160" s="15"/>
    </x:row>
    <x:row r="161" ht="20" customHeight="1">
      <x:c r="A161" s="15"/>
      <x:c r="B161" s="122"/>
      <x:c r="C161" s="28"/>
      <x:c r="D161" s="15"/>
      <x:c r="E161" s="15"/>
      <x:c r="F161" s="15"/>
      <x:c r="G161" s="15"/>
      <x:c r="H161" s="15"/>
      <x:c r="I161" s="15"/>
      <x:c r="J161" s="15"/>
      <x:c r="K161" s="15"/>
      <x:c r="L161" s="134"/>
      <x:c r="M161" s="134"/>
      <x:c r="N161" s="136" t="str">
        <x:f>IF(OR(L161="",M161=""),"",MAX(0,(M161-L161)*24))</x:f>
      </x:c>
      <x:c r="O161" s="136"/>
      <x:c r="P161" s="138"/>
      <x:c r="Q161" s="15"/>
      <x:c r="R161" s="15"/>
      <x:c r="S161" s="15"/>
      <x:c r="T161" s="15"/>
      <x:c r="U161" s="15"/>
      <x:c r="V161" s="15"/>
      <x:c r="W161" s="15"/>
      <x:c r="X161" s="15"/>
      <x:c r="Y161" s="140" t="str">
        <x:f>IF(COUNTA(C161:M161,O161:X161)=0,"",ROUND((IF(OR(R161&lt;&gt;"Yes",S161&gt;0),1,0)+IF(OR(T161&lt;&gt;"Yes",U161="Yes"),1,0)+IF(W161="Yes",1,0)+IF(X161="Approved",1,0))/4,2))</x:f>
      </x:c>
      <x:c r="Z161" s="15" t="str">
        <x:f>IF(COUNTA(C161:M161,O161:X161)=0,"",TEXTJOIN("; ",TRUE,IF(C161="","Missing work date",""),IF(D161="","Missing project",""),IF(F161="","Missing crew",""),IF(O161="","Missing labor hours",""),IF(P161="","Missing production qty",""),IF(AND(R161="Yes",OR(S161="",S161&lt;=0)),"Missing photo proof",""),IF(AND(T161="Yes",U161&lt;&gt;"Yes"),"Missing redline",""),IF(V161="Yes","Safety follow-up",""),IF(W161&lt;&gt;"Yes","Missing customer signoff",""),IF(X161&lt;&gt;"Approved","Office not approved",""),IF(N161&lt;=0,"Bad shift hours","")))</x:f>
      </x:c>
      <x:c r="AA161" s="15" t="str">
        <x:f>IF(COUNTA(C161:M161,O161:X161)=0,"",IF(Z161="","Yes","No"))</x:f>
      </x:c>
      <x:c r="AB161" s="15"/>
    </x:row>
    <x:row r="162" ht="20" customHeight="1">
      <x:c r="A162" s="15"/>
      <x:c r="B162" s="122"/>
      <x:c r="C162" s="28"/>
      <x:c r="D162" s="15"/>
      <x:c r="E162" s="15"/>
      <x:c r="F162" s="15"/>
      <x:c r="G162" s="15"/>
      <x:c r="H162" s="15"/>
      <x:c r="I162" s="15"/>
      <x:c r="J162" s="15"/>
      <x:c r="K162" s="15"/>
      <x:c r="L162" s="134"/>
      <x:c r="M162" s="134"/>
      <x:c r="N162" s="136" t="str">
        <x:f>IF(OR(L162="",M162=""),"",MAX(0,(M162-L162)*24))</x:f>
      </x:c>
      <x:c r="O162" s="136"/>
      <x:c r="P162" s="138"/>
      <x:c r="Q162" s="15"/>
      <x:c r="R162" s="15"/>
      <x:c r="S162" s="15"/>
      <x:c r="T162" s="15"/>
      <x:c r="U162" s="15"/>
      <x:c r="V162" s="15"/>
      <x:c r="W162" s="15"/>
      <x:c r="X162" s="15"/>
      <x:c r="Y162" s="140" t="str">
        <x:f>IF(COUNTA(C162:M162,O162:X162)=0,"",ROUND((IF(OR(R162&lt;&gt;"Yes",S162&gt;0),1,0)+IF(OR(T162&lt;&gt;"Yes",U162="Yes"),1,0)+IF(W162="Yes",1,0)+IF(X162="Approved",1,0))/4,2))</x:f>
      </x:c>
      <x:c r="Z162" s="15" t="str">
        <x:f>IF(COUNTA(C162:M162,O162:X162)=0,"",TEXTJOIN("; ",TRUE,IF(C162="","Missing work date",""),IF(D162="","Missing project",""),IF(F162="","Missing crew",""),IF(O162="","Missing labor hours",""),IF(P162="","Missing production qty",""),IF(AND(R162="Yes",OR(S162="",S162&lt;=0)),"Missing photo proof",""),IF(AND(T162="Yes",U162&lt;&gt;"Yes"),"Missing redline",""),IF(V162="Yes","Safety follow-up",""),IF(W162&lt;&gt;"Yes","Missing customer signoff",""),IF(X162&lt;&gt;"Approved","Office not approved",""),IF(N162&lt;=0,"Bad shift hours","")))</x:f>
      </x:c>
      <x:c r="AA162" s="15" t="str">
        <x:f>IF(COUNTA(C162:M162,O162:X162)=0,"",IF(Z162="","Yes","No"))</x:f>
      </x:c>
      <x:c r="AB162" s="15"/>
    </x:row>
    <x:row r="163" ht="20" customHeight="1">
      <x:c r="A163" s="15"/>
      <x:c r="B163" s="122"/>
      <x:c r="C163" s="28"/>
      <x:c r="D163" s="15"/>
      <x:c r="E163" s="15"/>
      <x:c r="F163" s="15"/>
      <x:c r="G163" s="15"/>
      <x:c r="H163" s="15"/>
      <x:c r="I163" s="15"/>
      <x:c r="J163" s="15"/>
      <x:c r="K163" s="15"/>
      <x:c r="L163" s="134"/>
      <x:c r="M163" s="134"/>
      <x:c r="N163" s="136" t="str">
        <x:f>IF(OR(L163="",M163=""),"",MAX(0,(M163-L163)*24))</x:f>
      </x:c>
      <x:c r="O163" s="136"/>
      <x:c r="P163" s="138"/>
      <x:c r="Q163" s="15"/>
      <x:c r="R163" s="15"/>
      <x:c r="S163" s="15"/>
      <x:c r="T163" s="15"/>
      <x:c r="U163" s="15"/>
      <x:c r="V163" s="15"/>
      <x:c r="W163" s="15"/>
      <x:c r="X163" s="15"/>
      <x:c r="Y163" s="140" t="str">
        <x:f>IF(COUNTA(C163:M163,O163:X163)=0,"",ROUND((IF(OR(R163&lt;&gt;"Yes",S163&gt;0),1,0)+IF(OR(T163&lt;&gt;"Yes",U163="Yes"),1,0)+IF(W163="Yes",1,0)+IF(X163="Approved",1,0))/4,2))</x:f>
      </x:c>
      <x:c r="Z163" s="15" t="str">
        <x:f>IF(COUNTA(C163:M163,O163:X163)=0,"",TEXTJOIN("; ",TRUE,IF(C163="","Missing work date",""),IF(D163="","Missing project",""),IF(F163="","Missing crew",""),IF(O163="","Missing labor hours",""),IF(P163="","Missing production qty",""),IF(AND(R163="Yes",OR(S163="",S163&lt;=0)),"Missing photo proof",""),IF(AND(T163="Yes",U163&lt;&gt;"Yes"),"Missing redline",""),IF(V163="Yes","Safety follow-up",""),IF(W163&lt;&gt;"Yes","Missing customer signoff",""),IF(X163&lt;&gt;"Approved","Office not approved",""),IF(N163&lt;=0,"Bad shift hours","")))</x:f>
      </x:c>
      <x:c r="AA163" s="15" t="str">
        <x:f>IF(COUNTA(C163:M163,O163:X163)=0,"",IF(Z163="","Yes","No"))</x:f>
      </x:c>
      <x:c r="AB163" s="15"/>
    </x:row>
    <x:row r="164" ht="20" customHeight="1">
      <x:c r="A164" s="15"/>
      <x:c r="B164" s="122"/>
      <x:c r="C164" s="28"/>
      <x:c r="D164" s="15"/>
      <x:c r="E164" s="15"/>
      <x:c r="F164" s="15"/>
      <x:c r="G164" s="15"/>
      <x:c r="H164" s="15"/>
      <x:c r="I164" s="15"/>
      <x:c r="J164" s="15"/>
      <x:c r="K164" s="15"/>
      <x:c r="L164" s="134"/>
      <x:c r="M164" s="134"/>
      <x:c r="N164" s="136" t="str">
        <x:f>IF(OR(L164="",M164=""),"",MAX(0,(M164-L164)*24))</x:f>
      </x:c>
      <x:c r="O164" s="136"/>
      <x:c r="P164" s="138"/>
      <x:c r="Q164" s="15"/>
      <x:c r="R164" s="15"/>
      <x:c r="S164" s="15"/>
      <x:c r="T164" s="15"/>
      <x:c r="U164" s="15"/>
      <x:c r="V164" s="15"/>
      <x:c r="W164" s="15"/>
      <x:c r="X164" s="15"/>
      <x:c r="Y164" s="140" t="str">
        <x:f>IF(COUNTA(C164:M164,O164:X164)=0,"",ROUND((IF(OR(R164&lt;&gt;"Yes",S164&gt;0),1,0)+IF(OR(T164&lt;&gt;"Yes",U164="Yes"),1,0)+IF(W164="Yes",1,0)+IF(X164="Approved",1,0))/4,2))</x:f>
      </x:c>
      <x:c r="Z164" s="15" t="str">
        <x:f>IF(COUNTA(C164:M164,O164:X164)=0,"",TEXTJOIN("; ",TRUE,IF(C164="","Missing work date",""),IF(D164="","Missing project",""),IF(F164="","Missing crew",""),IF(O164="","Missing labor hours",""),IF(P164="","Missing production qty",""),IF(AND(R164="Yes",OR(S164="",S164&lt;=0)),"Missing photo proof",""),IF(AND(T164="Yes",U164&lt;&gt;"Yes"),"Missing redline",""),IF(V164="Yes","Safety follow-up",""),IF(W164&lt;&gt;"Yes","Missing customer signoff",""),IF(X164&lt;&gt;"Approved","Office not approved",""),IF(N164&lt;=0,"Bad shift hours","")))</x:f>
      </x:c>
      <x:c r="AA164" s="15" t="str">
        <x:f>IF(COUNTA(C164:M164,O164:X164)=0,"",IF(Z164="","Yes","No"))</x:f>
      </x:c>
      <x:c r="AB164" s="15"/>
    </x:row>
    <x:row r="165" ht="20" customHeight="1">
      <x:c r="A165" s="15"/>
      <x:c r="B165" s="122"/>
      <x:c r="C165" s="28"/>
      <x:c r="D165" s="15"/>
      <x:c r="E165" s="15"/>
      <x:c r="F165" s="15"/>
      <x:c r="G165" s="15"/>
      <x:c r="H165" s="15"/>
      <x:c r="I165" s="15"/>
      <x:c r="J165" s="15"/>
      <x:c r="K165" s="15"/>
      <x:c r="L165" s="134"/>
      <x:c r="M165" s="134"/>
      <x:c r="N165" s="136" t="str">
        <x:f>IF(OR(L165="",M165=""),"",MAX(0,(M165-L165)*24))</x:f>
      </x:c>
      <x:c r="O165" s="136"/>
      <x:c r="P165" s="138"/>
      <x:c r="Q165" s="15"/>
      <x:c r="R165" s="15"/>
      <x:c r="S165" s="15"/>
      <x:c r="T165" s="15"/>
      <x:c r="U165" s="15"/>
      <x:c r="V165" s="15"/>
      <x:c r="W165" s="15"/>
      <x:c r="X165" s="15"/>
      <x:c r="Y165" s="140" t="str">
        <x:f>IF(COUNTA(C165:M165,O165:X165)=0,"",ROUND((IF(OR(R165&lt;&gt;"Yes",S165&gt;0),1,0)+IF(OR(T165&lt;&gt;"Yes",U165="Yes"),1,0)+IF(W165="Yes",1,0)+IF(X165="Approved",1,0))/4,2))</x:f>
      </x:c>
      <x:c r="Z165" s="15" t="str">
        <x:f>IF(COUNTA(C165:M165,O165:X165)=0,"",TEXTJOIN("; ",TRUE,IF(C165="","Missing work date",""),IF(D165="","Missing project",""),IF(F165="","Missing crew",""),IF(O165="","Missing labor hours",""),IF(P165="","Missing production qty",""),IF(AND(R165="Yes",OR(S165="",S165&lt;=0)),"Missing photo proof",""),IF(AND(T165="Yes",U165&lt;&gt;"Yes"),"Missing redline",""),IF(V165="Yes","Safety follow-up",""),IF(W165&lt;&gt;"Yes","Missing customer signoff",""),IF(X165&lt;&gt;"Approved","Office not approved",""),IF(N165&lt;=0,"Bad shift hours","")))</x:f>
      </x:c>
      <x:c r="AA165" s="15" t="str">
        <x:f>IF(COUNTA(C165:M165,O165:X165)=0,"",IF(Z165="","Yes","No"))</x:f>
      </x:c>
      <x:c r="AB165" s="15"/>
    </x:row>
    <x:row r="166" ht="20" customHeight="1">
      <x:c r="A166" s="15"/>
      <x:c r="B166" s="122"/>
      <x:c r="C166" s="28"/>
      <x:c r="D166" s="15"/>
      <x:c r="E166" s="15"/>
      <x:c r="F166" s="15"/>
      <x:c r="G166" s="15"/>
      <x:c r="H166" s="15"/>
      <x:c r="I166" s="15"/>
      <x:c r="J166" s="15"/>
      <x:c r="K166" s="15"/>
      <x:c r="L166" s="134"/>
      <x:c r="M166" s="134"/>
      <x:c r="N166" s="136" t="str">
        <x:f>IF(OR(L166="",M166=""),"",MAX(0,(M166-L166)*24))</x:f>
      </x:c>
      <x:c r="O166" s="136"/>
      <x:c r="P166" s="138"/>
      <x:c r="Q166" s="15"/>
      <x:c r="R166" s="15"/>
      <x:c r="S166" s="15"/>
      <x:c r="T166" s="15"/>
      <x:c r="U166" s="15"/>
      <x:c r="V166" s="15"/>
      <x:c r="W166" s="15"/>
      <x:c r="X166" s="15"/>
      <x:c r="Y166" s="140" t="str">
        <x:f>IF(COUNTA(C166:M166,O166:X166)=0,"",ROUND((IF(OR(R166&lt;&gt;"Yes",S166&gt;0),1,0)+IF(OR(T166&lt;&gt;"Yes",U166="Yes"),1,0)+IF(W166="Yes",1,0)+IF(X166="Approved",1,0))/4,2))</x:f>
      </x:c>
      <x:c r="Z166" s="15" t="str">
        <x:f>IF(COUNTA(C166:M166,O166:X166)=0,"",TEXTJOIN("; ",TRUE,IF(C166="","Missing work date",""),IF(D166="","Missing project",""),IF(F166="","Missing crew",""),IF(O166="","Missing labor hours",""),IF(P166="","Missing production qty",""),IF(AND(R166="Yes",OR(S166="",S166&lt;=0)),"Missing photo proof",""),IF(AND(T166="Yes",U166&lt;&gt;"Yes"),"Missing redline",""),IF(V166="Yes","Safety follow-up",""),IF(W166&lt;&gt;"Yes","Missing customer signoff",""),IF(X166&lt;&gt;"Approved","Office not approved",""),IF(N166&lt;=0,"Bad shift hours","")))</x:f>
      </x:c>
      <x:c r="AA166" s="15" t="str">
        <x:f>IF(COUNTA(C166:M166,O166:X166)=0,"",IF(Z166="","Yes","No"))</x:f>
      </x:c>
      <x:c r="AB166" s="15"/>
    </x:row>
    <x:row r="167" ht="20" customHeight="1">
      <x:c r="A167" s="15"/>
      <x:c r="B167" s="122"/>
      <x:c r="C167" s="28"/>
      <x:c r="D167" s="15"/>
      <x:c r="E167" s="15"/>
      <x:c r="F167" s="15"/>
      <x:c r="G167" s="15"/>
      <x:c r="H167" s="15"/>
      <x:c r="I167" s="15"/>
      <x:c r="J167" s="15"/>
      <x:c r="K167" s="15"/>
      <x:c r="L167" s="134"/>
      <x:c r="M167" s="134"/>
      <x:c r="N167" s="136" t="str">
        <x:f>IF(OR(L167="",M167=""),"",MAX(0,(M167-L167)*24))</x:f>
      </x:c>
      <x:c r="O167" s="136"/>
      <x:c r="P167" s="138"/>
      <x:c r="Q167" s="15"/>
      <x:c r="R167" s="15"/>
      <x:c r="S167" s="15"/>
      <x:c r="T167" s="15"/>
      <x:c r="U167" s="15"/>
      <x:c r="V167" s="15"/>
      <x:c r="W167" s="15"/>
      <x:c r="X167" s="15"/>
      <x:c r="Y167" s="140" t="str">
        <x:f>IF(COUNTA(C167:M167,O167:X167)=0,"",ROUND((IF(OR(R167&lt;&gt;"Yes",S167&gt;0),1,0)+IF(OR(T167&lt;&gt;"Yes",U167="Yes"),1,0)+IF(W167="Yes",1,0)+IF(X167="Approved",1,0))/4,2))</x:f>
      </x:c>
      <x:c r="Z167" s="15" t="str">
        <x:f>IF(COUNTA(C167:M167,O167:X167)=0,"",TEXTJOIN("; ",TRUE,IF(C167="","Missing work date",""),IF(D167="","Missing project",""),IF(F167="","Missing crew",""),IF(O167="","Missing labor hours",""),IF(P167="","Missing production qty",""),IF(AND(R167="Yes",OR(S167="",S167&lt;=0)),"Missing photo proof",""),IF(AND(T167="Yes",U167&lt;&gt;"Yes"),"Missing redline",""),IF(V167="Yes","Safety follow-up",""),IF(W167&lt;&gt;"Yes","Missing customer signoff",""),IF(X167&lt;&gt;"Approved","Office not approved",""),IF(N167&lt;=0,"Bad shift hours","")))</x:f>
      </x:c>
      <x:c r="AA167" s="15" t="str">
        <x:f>IF(COUNTA(C167:M167,O167:X167)=0,"",IF(Z167="","Yes","No"))</x:f>
      </x:c>
      <x:c r="AB167" s="15"/>
    </x:row>
    <x:row r="168" ht="20" customHeight="1">
      <x:c r="A168" s="15"/>
      <x:c r="B168" s="122"/>
      <x:c r="C168" s="28"/>
      <x:c r="D168" s="15"/>
      <x:c r="E168" s="15"/>
      <x:c r="F168" s="15"/>
      <x:c r="G168" s="15"/>
      <x:c r="H168" s="15"/>
      <x:c r="I168" s="15"/>
      <x:c r="J168" s="15"/>
      <x:c r="K168" s="15"/>
      <x:c r="L168" s="134"/>
      <x:c r="M168" s="134"/>
      <x:c r="N168" s="136" t="str">
        <x:f>IF(OR(L168="",M168=""),"",MAX(0,(M168-L168)*24))</x:f>
      </x:c>
      <x:c r="O168" s="136"/>
      <x:c r="P168" s="138"/>
      <x:c r="Q168" s="15"/>
      <x:c r="R168" s="15"/>
      <x:c r="S168" s="15"/>
      <x:c r="T168" s="15"/>
      <x:c r="U168" s="15"/>
      <x:c r="V168" s="15"/>
      <x:c r="W168" s="15"/>
      <x:c r="X168" s="15"/>
      <x:c r="Y168" s="140" t="str">
        <x:f>IF(COUNTA(C168:M168,O168:X168)=0,"",ROUND((IF(OR(R168&lt;&gt;"Yes",S168&gt;0),1,0)+IF(OR(T168&lt;&gt;"Yes",U168="Yes"),1,0)+IF(W168="Yes",1,0)+IF(X168="Approved",1,0))/4,2))</x:f>
      </x:c>
      <x:c r="Z168" s="15" t="str">
        <x:f>IF(COUNTA(C168:M168,O168:X168)=0,"",TEXTJOIN("; ",TRUE,IF(C168="","Missing work date",""),IF(D168="","Missing project",""),IF(F168="","Missing crew",""),IF(O168="","Missing labor hours",""),IF(P168="","Missing production qty",""),IF(AND(R168="Yes",OR(S168="",S168&lt;=0)),"Missing photo proof",""),IF(AND(T168="Yes",U168&lt;&gt;"Yes"),"Missing redline",""),IF(V168="Yes","Safety follow-up",""),IF(W168&lt;&gt;"Yes","Missing customer signoff",""),IF(X168&lt;&gt;"Approved","Office not approved",""),IF(N168&lt;=0,"Bad shift hours","")))</x:f>
      </x:c>
      <x:c r="AA168" s="15" t="str">
        <x:f>IF(COUNTA(C168:M168,O168:X168)=0,"",IF(Z168="","Yes","No"))</x:f>
      </x:c>
      <x:c r="AB168" s="15"/>
    </x:row>
    <x:row r="169" ht="20" customHeight="1">
      <x:c r="A169" s="15"/>
      <x:c r="B169" s="122"/>
      <x:c r="C169" s="28"/>
      <x:c r="D169" s="15"/>
      <x:c r="E169" s="15"/>
      <x:c r="F169" s="15"/>
      <x:c r="G169" s="15"/>
      <x:c r="H169" s="15"/>
      <x:c r="I169" s="15"/>
      <x:c r="J169" s="15"/>
      <x:c r="K169" s="15"/>
      <x:c r="L169" s="134"/>
      <x:c r="M169" s="134"/>
      <x:c r="N169" s="136" t="str">
        <x:f>IF(OR(L169="",M169=""),"",MAX(0,(M169-L169)*24))</x:f>
      </x:c>
      <x:c r="O169" s="136"/>
      <x:c r="P169" s="138"/>
      <x:c r="Q169" s="15"/>
      <x:c r="R169" s="15"/>
      <x:c r="S169" s="15"/>
      <x:c r="T169" s="15"/>
      <x:c r="U169" s="15"/>
      <x:c r="V169" s="15"/>
      <x:c r="W169" s="15"/>
      <x:c r="X169" s="15"/>
      <x:c r="Y169" s="140" t="str">
        <x:f>IF(COUNTA(C169:M169,O169:X169)=0,"",ROUND((IF(OR(R169&lt;&gt;"Yes",S169&gt;0),1,0)+IF(OR(T169&lt;&gt;"Yes",U169="Yes"),1,0)+IF(W169="Yes",1,0)+IF(X169="Approved",1,0))/4,2))</x:f>
      </x:c>
      <x:c r="Z169" s="15" t="str">
        <x:f>IF(COUNTA(C169:M169,O169:X169)=0,"",TEXTJOIN("; ",TRUE,IF(C169="","Missing work date",""),IF(D169="","Missing project",""),IF(F169="","Missing crew",""),IF(O169="","Missing labor hours",""),IF(P169="","Missing production qty",""),IF(AND(R169="Yes",OR(S169="",S169&lt;=0)),"Missing photo proof",""),IF(AND(T169="Yes",U169&lt;&gt;"Yes"),"Missing redline",""),IF(V169="Yes","Safety follow-up",""),IF(W169&lt;&gt;"Yes","Missing customer signoff",""),IF(X169&lt;&gt;"Approved","Office not approved",""),IF(N169&lt;=0,"Bad shift hours","")))</x:f>
      </x:c>
      <x:c r="AA169" s="15" t="str">
        <x:f>IF(COUNTA(C169:M169,O169:X169)=0,"",IF(Z169="","Yes","No"))</x:f>
      </x:c>
      <x:c r="AB169" s="15"/>
    </x:row>
    <x:row r="170" ht="20" customHeight="1">
      <x:c r="A170" s="15"/>
      <x:c r="B170" s="122"/>
      <x:c r="C170" s="28"/>
      <x:c r="D170" s="15"/>
      <x:c r="E170" s="15"/>
      <x:c r="F170" s="15"/>
      <x:c r="G170" s="15"/>
      <x:c r="H170" s="15"/>
      <x:c r="I170" s="15"/>
      <x:c r="J170" s="15"/>
      <x:c r="K170" s="15"/>
      <x:c r="L170" s="134"/>
      <x:c r="M170" s="134"/>
      <x:c r="N170" s="136" t="str">
        <x:f>IF(OR(L170="",M170=""),"",MAX(0,(M170-L170)*24))</x:f>
      </x:c>
      <x:c r="O170" s="136"/>
      <x:c r="P170" s="138"/>
      <x:c r="Q170" s="15"/>
      <x:c r="R170" s="15"/>
      <x:c r="S170" s="15"/>
      <x:c r="T170" s="15"/>
      <x:c r="U170" s="15"/>
      <x:c r="V170" s="15"/>
      <x:c r="W170" s="15"/>
      <x:c r="X170" s="15"/>
      <x:c r="Y170" s="140" t="str">
        <x:f>IF(COUNTA(C170:M170,O170:X170)=0,"",ROUND((IF(OR(R170&lt;&gt;"Yes",S170&gt;0),1,0)+IF(OR(T170&lt;&gt;"Yes",U170="Yes"),1,0)+IF(W170="Yes",1,0)+IF(X170="Approved",1,0))/4,2))</x:f>
      </x:c>
      <x:c r="Z170" s="15" t="str">
        <x:f>IF(COUNTA(C170:M170,O170:X170)=0,"",TEXTJOIN("; ",TRUE,IF(C170="","Missing work date",""),IF(D170="","Missing project",""),IF(F170="","Missing crew",""),IF(O170="","Missing labor hours",""),IF(P170="","Missing production qty",""),IF(AND(R170="Yes",OR(S170="",S170&lt;=0)),"Missing photo proof",""),IF(AND(T170="Yes",U170&lt;&gt;"Yes"),"Missing redline",""),IF(V170="Yes","Safety follow-up",""),IF(W170&lt;&gt;"Yes","Missing customer signoff",""),IF(X170&lt;&gt;"Approved","Office not approved",""),IF(N170&lt;=0,"Bad shift hours","")))</x:f>
      </x:c>
      <x:c r="AA170" s="15" t="str">
        <x:f>IF(COUNTA(C170:M170,O170:X170)=0,"",IF(Z170="","Yes","No"))</x:f>
      </x:c>
      <x:c r="AB170" s="15"/>
    </x:row>
    <x:row r="171" ht="20" customHeight="1">
      <x:c r="A171" s="15"/>
      <x:c r="B171" s="122"/>
      <x:c r="C171" s="28"/>
      <x:c r="D171" s="15"/>
      <x:c r="E171" s="15"/>
      <x:c r="F171" s="15"/>
      <x:c r="G171" s="15"/>
      <x:c r="H171" s="15"/>
      <x:c r="I171" s="15"/>
      <x:c r="J171" s="15"/>
      <x:c r="K171" s="15"/>
      <x:c r="L171" s="134"/>
      <x:c r="M171" s="134"/>
      <x:c r="N171" s="136" t="str">
        <x:f>IF(OR(L171="",M171=""),"",MAX(0,(M171-L171)*24))</x:f>
      </x:c>
      <x:c r="O171" s="136"/>
      <x:c r="P171" s="138"/>
      <x:c r="Q171" s="15"/>
      <x:c r="R171" s="15"/>
      <x:c r="S171" s="15"/>
      <x:c r="T171" s="15"/>
      <x:c r="U171" s="15"/>
      <x:c r="V171" s="15"/>
      <x:c r="W171" s="15"/>
      <x:c r="X171" s="15"/>
      <x:c r="Y171" s="140" t="str">
        <x:f>IF(COUNTA(C171:M171,O171:X171)=0,"",ROUND((IF(OR(R171&lt;&gt;"Yes",S171&gt;0),1,0)+IF(OR(T171&lt;&gt;"Yes",U171="Yes"),1,0)+IF(W171="Yes",1,0)+IF(X171="Approved",1,0))/4,2))</x:f>
      </x:c>
      <x:c r="Z171" s="15" t="str">
        <x:f>IF(COUNTA(C171:M171,O171:X171)=0,"",TEXTJOIN("; ",TRUE,IF(C171="","Missing work date",""),IF(D171="","Missing project",""),IF(F171="","Missing crew",""),IF(O171="","Missing labor hours",""),IF(P171="","Missing production qty",""),IF(AND(R171="Yes",OR(S171="",S171&lt;=0)),"Missing photo proof",""),IF(AND(T171="Yes",U171&lt;&gt;"Yes"),"Missing redline",""),IF(V171="Yes","Safety follow-up",""),IF(W171&lt;&gt;"Yes","Missing customer signoff",""),IF(X171&lt;&gt;"Approved","Office not approved",""),IF(N171&lt;=0,"Bad shift hours","")))</x:f>
      </x:c>
      <x:c r="AA171" s="15" t="str">
        <x:f>IF(COUNTA(C171:M171,O171:X171)=0,"",IF(Z171="","Yes","No"))</x:f>
      </x:c>
      <x:c r="AB171" s="15"/>
    </x:row>
    <x:row r="172" ht="20" customHeight="1">
      <x:c r="A172" s="15"/>
      <x:c r="B172" s="122"/>
      <x:c r="C172" s="28"/>
      <x:c r="D172" s="15"/>
      <x:c r="E172" s="15"/>
      <x:c r="F172" s="15"/>
      <x:c r="G172" s="15"/>
      <x:c r="H172" s="15"/>
      <x:c r="I172" s="15"/>
      <x:c r="J172" s="15"/>
      <x:c r="K172" s="15"/>
      <x:c r="L172" s="134"/>
      <x:c r="M172" s="134"/>
      <x:c r="N172" s="136" t="str">
        <x:f>IF(OR(L172="",M172=""),"",MAX(0,(M172-L172)*24))</x:f>
      </x:c>
      <x:c r="O172" s="136"/>
      <x:c r="P172" s="138"/>
      <x:c r="Q172" s="15"/>
      <x:c r="R172" s="15"/>
      <x:c r="S172" s="15"/>
      <x:c r="T172" s="15"/>
      <x:c r="U172" s="15"/>
      <x:c r="V172" s="15"/>
      <x:c r="W172" s="15"/>
      <x:c r="X172" s="15"/>
      <x:c r="Y172" s="140" t="str">
        <x:f>IF(COUNTA(C172:M172,O172:X172)=0,"",ROUND((IF(OR(R172&lt;&gt;"Yes",S172&gt;0),1,0)+IF(OR(T172&lt;&gt;"Yes",U172="Yes"),1,0)+IF(W172="Yes",1,0)+IF(X172="Approved",1,0))/4,2))</x:f>
      </x:c>
      <x:c r="Z172" s="15" t="str">
        <x:f>IF(COUNTA(C172:M172,O172:X172)=0,"",TEXTJOIN("; ",TRUE,IF(C172="","Missing work date",""),IF(D172="","Missing project",""),IF(F172="","Missing crew",""),IF(O172="","Missing labor hours",""),IF(P172="","Missing production qty",""),IF(AND(R172="Yes",OR(S172="",S172&lt;=0)),"Missing photo proof",""),IF(AND(T172="Yes",U172&lt;&gt;"Yes"),"Missing redline",""),IF(V172="Yes","Safety follow-up",""),IF(W172&lt;&gt;"Yes","Missing customer signoff",""),IF(X172&lt;&gt;"Approved","Office not approved",""),IF(N172&lt;=0,"Bad shift hours","")))</x:f>
      </x:c>
      <x:c r="AA172" s="15" t="str">
        <x:f>IF(COUNTA(C172:M172,O172:X172)=0,"",IF(Z172="","Yes","No"))</x:f>
      </x:c>
      <x:c r="AB172" s="15"/>
    </x:row>
    <x:row r="173" ht="20" customHeight="1">
      <x:c r="A173" s="15"/>
      <x:c r="B173" s="122"/>
      <x:c r="C173" s="28"/>
      <x:c r="D173" s="15"/>
      <x:c r="E173" s="15"/>
      <x:c r="F173" s="15"/>
      <x:c r="G173" s="15"/>
      <x:c r="H173" s="15"/>
      <x:c r="I173" s="15"/>
      <x:c r="J173" s="15"/>
      <x:c r="K173" s="15"/>
      <x:c r="L173" s="134"/>
      <x:c r="M173" s="134"/>
      <x:c r="N173" s="136" t="str">
        <x:f>IF(OR(L173="",M173=""),"",MAX(0,(M173-L173)*24))</x:f>
      </x:c>
      <x:c r="O173" s="136"/>
      <x:c r="P173" s="138"/>
      <x:c r="Q173" s="15"/>
      <x:c r="R173" s="15"/>
      <x:c r="S173" s="15"/>
      <x:c r="T173" s="15"/>
      <x:c r="U173" s="15"/>
      <x:c r="V173" s="15"/>
      <x:c r="W173" s="15"/>
      <x:c r="X173" s="15"/>
      <x:c r="Y173" s="140" t="str">
        <x:f>IF(COUNTA(C173:M173,O173:X173)=0,"",ROUND((IF(OR(R173&lt;&gt;"Yes",S173&gt;0),1,0)+IF(OR(T173&lt;&gt;"Yes",U173="Yes"),1,0)+IF(W173="Yes",1,0)+IF(X173="Approved",1,0))/4,2))</x:f>
      </x:c>
      <x:c r="Z173" s="15" t="str">
        <x:f>IF(COUNTA(C173:M173,O173:X173)=0,"",TEXTJOIN("; ",TRUE,IF(C173="","Missing work date",""),IF(D173="","Missing project",""),IF(F173="","Missing crew",""),IF(O173="","Missing labor hours",""),IF(P173="","Missing production qty",""),IF(AND(R173="Yes",OR(S173="",S173&lt;=0)),"Missing photo proof",""),IF(AND(T173="Yes",U173&lt;&gt;"Yes"),"Missing redline",""),IF(V173="Yes","Safety follow-up",""),IF(W173&lt;&gt;"Yes","Missing customer signoff",""),IF(X173&lt;&gt;"Approved","Office not approved",""),IF(N173&lt;=0,"Bad shift hours","")))</x:f>
      </x:c>
      <x:c r="AA173" s="15" t="str">
        <x:f>IF(COUNTA(C173:M173,O173:X173)=0,"",IF(Z173="","Yes","No"))</x:f>
      </x:c>
      <x:c r="AB173" s="15"/>
    </x:row>
    <x:row r="174" ht="20" customHeight="1">
      <x:c r="A174" s="15"/>
      <x:c r="B174" s="122"/>
      <x:c r="C174" s="28"/>
      <x:c r="D174" s="15"/>
      <x:c r="E174" s="15"/>
      <x:c r="F174" s="15"/>
      <x:c r="G174" s="15"/>
      <x:c r="H174" s="15"/>
      <x:c r="I174" s="15"/>
      <x:c r="J174" s="15"/>
      <x:c r="K174" s="15"/>
      <x:c r="L174" s="134"/>
      <x:c r="M174" s="134"/>
      <x:c r="N174" s="136" t="str">
        <x:f>IF(OR(L174="",M174=""),"",MAX(0,(M174-L174)*24))</x:f>
      </x:c>
      <x:c r="O174" s="136"/>
      <x:c r="P174" s="138"/>
      <x:c r="Q174" s="15"/>
      <x:c r="R174" s="15"/>
      <x:c r="S174" s="15"/>
      <x:c r="T174" s="15"/>
      <x:c r="U174" s="15"/>
      <x:c r="V174" s="15"/>
      <x:c r="W174" s="15"/>
      <x:c r="X174" s="15"/>
      <x:c r="Y174" s="140" t="str">
        <x:f>IF(COUNTA(C174:M174,O174:X174)=0,"",ROUND((IF(OR(R174&lt;&gt;"Yes",S174&gt;0),1,0)+IF(OR(T174&lt;&gt;"Yes",U174="Yes"),1,0)+IF(W174="Yes",1,0)+IF(X174="Approved",1,0))/4,2))</x:f>
      </x:c>
      <x:c r="Z174" s="15" t="str">
        <x:f>IF(COUNTA(C174:M174,O174:X174)=0,"",TEXTJOIN("; ",TRUE,IF(C174="","Missing work date",""),IF(D174="","Missing project",""),IF(F174="","Missing crew",""),IF(O174="","Missing labor hours",""),IF(P174="","Missing production qty",""),IF(AND(R174="Yes",OR(S174="",S174&lt;=0)),"Missing photo proof",""),IF(AND(T174="Yes",U174&lt;&gt;"Yes"),"Missing redline",""),IF(V174="Yes","Safety follow-up",""),IF(W174&lt;&gt;"Yes","Missing customer signoff",""),IF(X174&lt;&gt;"Approved","Office not approved",""),IF(N174&lt;=0,"Bad shift hours","")))</x:f>
      </x:c>
      <x:c r="AA174" s="15" t="str">
        <x:f>IF(COUNTA(C174:M174,O174:X174)=0,"",IF(Z174="","Yes","No"))</x:f>
      </x:c>
      <x:c r="AB174" s="15"/>
    </x:row>
    <x:row r="175" ht="20" customHeight="1">
      <x:c r="A175" s="15"/>
      <x:c r="B175" s="122"/>
      <x:c r="C175" s="28"/>
      <x:c r="D175" s="15"/>
      <x:c r="E175" s="15"/>
      <x:c r="F175" s="15"/>
      <x:c r="G175" s="15"/>
      <x:c r="H175" s="15"/>
      <x:c r="I175" s="15"/>
      <x:c r="J175" s="15"/>
      <x:c r="K175" s="15"/>
      <x:c r="L175" s="134"/>
      <x:c r="M175" s="134"/>
      <x:c r="N175" s="136" t="str">
        <x:f>IF(OR(L175="",M175=""),"",MAX(0,(M175-L175)*24))</x:f>
      </x:c>
      <x:c r="O175" s="136"/>
      <x:c r="P175" s="138"/>
      <x:c r="Q175" s="15"/>
      <x:c r="R175" s="15"/>
      <x:c r="S175" s="15"/>
      <x:c r="T175" s="15"/>
      <x:c r="U175" s="15"/>
      <x:c r="V175" s="15"/>
      <x:c r="W175" s="15"/>
      <x:c r="X175" s="15"/>
      <x:c r="Y175" s="140" t="str">
        <x:f>IF(COUNTA(C175:M175,O175:X175)=0,"",ROUND((IF(OR(R175&lt;&gt;"Yes",S175&gt;0),1,0)+IF(OR(T175&lt;&gt;"Yes",U175="Yes"),1,0)+IF(W175="Yes",1,0)+IF(X175="Approved",1,0))/4,2))</x:f>
      </x:c>
      <x:c r="Z175" s="15" t="str">
        <x:f>IF(COUNTA(C175:M175,O175:X175)=0,"",TEXTJOIN("; ",TRUE,IF(C175="","Missing work date",""),IF(D175="","Missing project",""),IF(F175="","Missing crew",""),IF(O175="","Missing labor hours",""),IF(P175="","Missing production qty",""),IF(AND(R175="Yes",OR(S175="",S175&lt;=0)),"Missing photo proof",""),IF(AND(T175="Yes",U175&lt;&gt;"Yes"),"Missing redline",""),IF(V175="Yes","Safety follow-up",""),IF(W175&lt;&gt;"Yes","Missing customer signoff",""),IF(X175&lt;&gt;"Approved","Office not approved",""),IF(N175&lt;=0,"Bad shift hours","")))</x:f>
      </x:c>
      <x:c r="AA175" s="15" t="str">
        <x:f>IF(COUNTA(C175:M175,O175:X175)=0,"",IF(Z175="","Yes","No"))</x:f>
      </x:c>
      <x:c r="AB175" s="15"/>
    </x:row>
    <x:row r="176" ht="20" customHeight="1">
      <x:c r="A176" s="15"/>
      <x:c r="B176" s="122"/>
      <x:c r="C176" s="28"/>
      <x:c r="D176" s="15"/>
      <x:c r="E176" s="15"/>
      <x:c r="F176" s="15"/>
      <x:c r="G176" s="15"/>
      <x:c r="H176" s="15"/>
      <x:c r="I176" s="15"/>
      <x:c r="J176" s="15"/>
      <x:c r="K176" s="15"/>
      <x:c r="L176" s="134"/>
      <x:c r="M176" s="134"/>
      <x:c r="N176" s="136" t="str">
        <x:f>IF(OR(L176="",M176=""),"",MAX(0,(M176-L176)*24))</x:f>
      </x:c>
      <x:c r="O176" s="136"/>
      <x:c r="P176" s="138"/>
      <x:c r="Q176" s="15"/>
      <x:c r="R176" s="15"/>
      <x:c r="S176" s="15"/>
      <x:c r="T176" s="15"/>
      <x:c r="U176" s="15"/>
      <x:c r="V176" s="15"/>
      <x:c r="W176" s="15"/>
      <x:c r="X176" s="15"/>
      <x:c r="Y176" s="140" t="str">
        <x:f>IF(COUNTA(C176:M176,O176:X176)=0,"",ROUND((IF(OR(R176&lt;&gt;"Yes",S176&gt;0),1,0)+IF(OR(T176&lt;&gt;"Yes",U176="Yes"),1,0)+IF(W176="Yes",1,0)+IF(X176="Approved",1,0))/4,2))</x:f>
      </x:c>
      <x:c r="Z176" s="15" t="str">
        <x:f>IF(COUNTA(C176:M176,O176:X176)=0,"",TEXTJOIN("; ",TRUE,IF(C176="","Missing work date",""),IF(D176="","Missing project",""),IF(F176="","Missing crew",""),IF(O176="","Missing labor hours",""),IF(P176="","Missing production qty",""),IF(AND(R176="Yes",OR(S176="",S176&lt;=0)),"Missing photo proof",""),IF(AND(T176="Yes",U176&lt;&gt;"Yes"),"Missing redline",""),IF(V176="Yes","Safety follow-up",""),IF(W176&lt;&gt;"Yes","Missing customer signoff",""),IF(X176&lt;&gt;"Approved","Office not approved",""),IF(N176&lt;=0,"Bad shift hours","")))</x:f>
      </x:c>
      <x:c r="AA176" s="15" t="str">
        <x:f>IF(COUNTA(C176:M176,O176:X176)=0,"",IF(Z176="","Yes","No"))</x:f>
      </x:c>
      <x:c r="AB176" s="15"/>
    </x:row>
    <x:row r="177" ht="20" customHeight="1">
      <x:c r="A177" s="15"/>
      <x:c r="B177" s="122"/>
      <x:c r="C177" s="28"/>
      <x:c r="D177" s="15"/>
      <x:c r="E177" s="15"/>
      <x:c r="F177" s="15"/>
      <x:c r="G177" s="15"/>
      <x:c r="H177" s="15"/>
      <x:c r="I177" s="15"/>
      <x:c r="J177" s="15"/>
      <x:c r="K177" s="15"/>
      <x:c r="L177" s="134"/>
      <x:c r="M177" s="134"/>
      <x:c r="N177" s="136" t="str">
        <x:f>IF(OR(L177="",M177=""),"",MAX(0,(M177-L177)*24))</x:f>
      </x:c>
      <x:c r="O177" s="136"/>
      <x:c r="P177" s="138"/>
      <x:c r="Q177" s="15"/>
      <x:c r="R177" s="15"/>
      <x:c r="S177" s="15"/>
      <x:c r="T177" s="15"/>
      <x:c r="U177" s="15"/>
      <x:c r="V177" s="15"/>
      <x:c r="W177" s="15"/>
      <x:c r="X177" s="15"/>
      <x:c r="Y177" s="140" t="str">
        <x:f>IF(COUNTA(C177:M177,O177:X177)=0,"",ROUND((IF(OR(R177&lt;&gt;"Yes",S177&gt;0),1,0)+IF(OR(T177&lt;&gt;"Yes",U177="Yes"),1,0)+IF(W177="Yes",1,0)+IF(X177="Approved",1,0))/4,2))</x:f>
      </x:c>
      <x:c r="Z177" s="15" t="str">
        <x:f>IF(COUNTA(C177:M177,O177:X177)=0,"",TEXTJOIN("; ",TRUE,IF(C177="","Missing work date",""),IF(D177="","Missing project",""),IF(F177="","Missing crew",""),IF(O177="","Missing labor hours",""),IF(P177="","Missing production qty",""),IF(AND(R177="Yes",OR(S177="",S177&lt;=0)),"Missing photo proof",""),IF(AND(T177="Yes",U177&lt;&gt;"Yes"),"Missing redline",""),IF(V177="Yes","Safety follow-up",""),IF(W177&lt;&gt;"Yes","Missing customer signoff",""),IF(X177&lt;&gt;"Approved","Office not approved",""),IF(N177&lt;=0,"Bad shift hours","")))</x:f>
      </x:c>
      <x:c r="AA177" s="15" t="str">
        <x:f>IF(COUNTA(C177:M177,O177:X177)=0,"",IF(Z177="","Yes","No"))</x:f>
      </x:c>
      <x:c r="AB177" s="15"/>
    </x:row>
    <x:row r="178" ht="20" customHeight="1">
      <x:c r="A178" s="15"/>
      <x:c r="B178" s="122"/>
      <x:c r="C178" s="28"/>
      <x:c r="D178" s="15"/>
      <x:c r="E178" s="15"/>
      <x:c r="F178" s="15"/>
      <x:c r="G178" s="15"/>
      <x:c r="H178" s="15"/>
      <x:c r="I178" s="15"/>
      <x:c r="J178" s="15"/>
      <x:c r="K178" s="15"/>
      <x:c r="L178" s="134"/>
      <x:c r="M178" s="134"/>
      <x:c r="N178" s="136" t="str">
        <x:f>IF(OR(L178="",M178=""),"",MAX(0,(M178-L178)*24))</x:f>
      </x:c>
      <x:c r="O178" s="136"/>
      <x:c r="P178" s="138"/>
      <x:c r="Q178" s="15"/>
      <x:c r="R178" s="15"/>
      <x:c r="S178" s="15"/>
      <x:c r="T178" s="15"/>
      <x:c r="U178" s="15"/>
      <x:c r="V178" s="15"/>
      <x:c r="W178" s="15"/>
      <x:c r="X178" s="15"/>
      <x:c r="Y178" s="140" t="str">
        <x:f>IF(COUNTA(C178:M178,O178:X178)=0,"",ROUND((IF(OR(R178&lt;&gt;"Yes",S178&gt;0),1,0)+IF(OR(T178&lt;&gt;"Yes",U178="Yes"),1,0)+IF(W178="Yes",1,0)+IF(X178="Approved",1,0))/4,2))</x:f>
      </x:c>
      <x:c r="Z178" s="15" t="str">
        <x:f>IF(COUNTA(C178:M178,O178:X178)=0,"",TEXTJOIN("; ",TRUE,IF(C178="","Missing work date",""),IF(D178="","Missing project",""),IF(F178="","Missing crew",""),IF(O178="","Missing labor hours",""),IF(P178="","Missing production qty",""),IF(AND(R178="Yes",OR(S178="",S178&lt;=0)),"Missing photo proof",""),IF(AND(T178="Yes",U178&lt;&gt;"Yes"),"Missing redline",""),IF(V178="Yes","Safety follow-up",""),IF(W178&lt;&gt;"Yes","Missing customer signoff",""),IF(X178&lt;&gt;"Approved","Office not approved",""),IF(N178&lt;=0,"Bad shift hours","")))</x:f>
      </x:c>
      <x:c r="AA178" s="15" t="str">
        <x:f>IF(COUNTA(C178:M178,O178:X178)=0,"",IF(Z178="","Yes","No"))</x:f>
      </x:c>
      <x:c r="AB178" s="15"/>
    </x:row>
    <x:row r="179" ht="20" customHeight="1">
      <x:c r="A179" s="15"/>
      <x:c r="B179" s="122"/>
      <x:c r="C179" s="28"/>
      <x:c r="D179" s="15"/>
      <x:c r="E179" s="15"/>
      <x:c r="F179" s="15"/>
      <x:c r="G179" s="15"/>
      <x:c r="H179" s="15"/>
      <x:c r="I179" s="15"/>
      <x:c r="J179" s="15"/>
      <x:c r="K179" s="15"/>
      <x:c r="L179" s="134"/>
      <x:c r="M179" s="134"/>
      <x:c r="N179" s="136" t="str">
        <x:f>IF(OR(L179="",M179=""),"",MAX(0,(M179-L179)*24))</x:f>
      </x:c>
      <x:c r="O179" s="136"/>
      <x:c r="P179" s="138"/>
      <x:c r="Q179" s="15"/>
      <x:c r="R179" s="15"/>
      <x:c r="S179" s="15"/>
      <x:c r="T179" s="15"/>
      <x:c r="U179" s="15"/>
      <x:c r="V179" s="15"/>
      <x:c r="W179" s="15"/>
      <x:c r="X179" s="15"/>
      <x:c r="Y179" s="140" t="str">
        <x:f>IF(COUNTA(C179:M179,O179:X179)=0,"",ROUND((IF(OR(R179&lt;&gt;"Yes",S179&gt;0),1,0)+IF(OR(T179&lt;&gt;"Yes",U179="Yes"),1,0)+IF(W179="Yes",1,0)+IF(X179="Approved",1,0))/4,2))</x:f>
      </x:c>
      <x:c r="Z179" s="15" t="str">
        <x:f>IF(COUNTA(C179:M179,O179:X179)=0,"",TEXTJOIN("; ",TRUE,IF(C179="","Missing work date",""),IF(D179="","Missing project",""),IF(F179="","Missing crew",""),IF(O179="","Missing labor hours",""),IF(P179="","Missing production qty",""),IF(AND(R179="Yes",OR(S179="",S179&lt;=0)),"Missing photo proof",""),IF(AND(T179="Yes",U179&lt;&gt;"Yes"),"Missing redline",""),IF(V179="Yes","Safety follow-up",""),IF(W179&lt;&gt;"Yes","Missing customer signoff",""),IF(X179&lt;&gt;"Approved","Office not approved",""),IF(N179&lt;=0,"Bad shift hours","")))</x:f>
      </x:c>
      <x:c r="AA179" s="15" t="str">
        <x:f>IF(COUNTA(C179:M179,O179:X179)=0,"",IF(Z179="","Yes","No"))</x:f>
      </x:c>
      <x:c r="AB179" s="15"/>
    </x:row>
    <x:row r="180" ht="20" customHeight="1">
      <x:c r="A180" s="15"/>
      <x:c r="B180" s="122"/>
      <x:c r="C180" s="28"/>
      <x:c r="D180" s="15"/>
      <x:c r="E180" s="15"/>
      <x:c r="F180" s="15"/>
      <x:c r="G180" s="15"/>
      <x:c r="H180" s="15"/>
      <x:c r="I180" s="15"/>
      <x:c r="J180" s="15"/>
      <x:c r="K180" s="15"/>
      <x:c r="L180" s="134"/>
      <x:c r="M180" s="134"/>
      <x:c r="N180" s="136" t="str">
        <x:f>IF(OR(L180="",M180=""),"",MAX(0,(M180-L180)*24))</x:f>
      </x:c>
      <x:c r="O180" s="136"/>
      <x:c r="P180" s="138"/>
      <x:c r="Q180" s="15"/>
      <x:c r="R180" s="15"/>
      <x:c r="S180" s="15"/>
      <x:c r="T180" s="15"/>
      <x:c r="U180" s="15"/>
      <x:c r="V180" s="15"/>
      <x:c r="W180" s="15"/>
      <x:c r="X180" s="15"/>
      <x:c r="Y180" s="140" t="str">
        <x:f>IF(COUNTA(C180:M180,O180:X180)=0,"",ROUND((IF(OR(R180&lt;&gt;"Yes",S180&gt;0),1,0)+IF(OR(T180&lt;&gt;"Yes",U180="Yes"),1,0)+IF(W180="Yes",1,0)+IF(X180="Approved",1,0))/4,2))</x:f>
      </x:c>
      <x:c r="Z180" s="15" t="str">
        <x:f>IF(COUNTA(C180:M180,O180:X180)=0,"",TEXTJOIN("; ",TRUE,IF(C180="","Missing work date",""),IF(D180="","Missing project",""),IF(F180="","Missing crew",""),IF(O180="","Missing labor hours",""),IF(P180="","Missing production qty",""),IF(AND(R180="Yes",OR(S180="",S180&lt;=0)),"Missing photo proof",""),IF(AND(T180="Yes",U180&lt;&gt;"Yes"),"Missing redline",""),IF(V180="Yes","Safety follow-up",""),IF(W180&lt;&gt;"Yes","Missing customer signoff",""),IF(X180&lt;&gt;"Approved","Office not approved",""),IF(N180&lt;=0,"Bad shift hours","")))</x:f>
      </x:c>
      <x:c r="AA180" s="15" t="str">
        <x:f>IF(COUNTA(C180:M180,O180:X180)=0,"",IF(Z180="","Yes","No"))</x:f>
      </x:c>
      <x:c r="AB180" s="15"/>
    </x:row>
    <x:row r="181" ht="20" customHeight="1">
      <x:c r="A181" s="15"/>
      <x:c r="B181" s="122"/>
      <x:c r="C181" s="28"/>
      <x:c r="D181" s="15"/>
      <x:c r="E181" s="15"/>
      <x:c r="F181" s="15"/>
      <x:c r="G181" s="15"/>
      <x:c r="H181" s="15"/>
      <x:c r="I181" s="15"/>
      <x:c r="J181" s="15"/>
      <x:c r="K181" s="15"/>
      <x:c r="L181" s="134"/>
      <x:c r="M181" s="134"/>
      <x:c r="N181" s="136" t="str">
        <x:f>IF(OR(L181="",M181=""),"",MAX(0,(M181-L181)*24))</x:f>
      </x:c>
      <x:c r="O181" s="136"/>
      <x:c r="P181" s="138"/>
      <x:c r="Q181" s="15"/>
      <x:c r="R181" s="15"/>
      <x:c r="S181" s="15"/>
      <x:c r="T181" s="15"/>
      <x:c r="U181" s="15"/>
      <x:c r="V181" s="15"/>
      <x:c r="W181" s="15"/>
      <x:c r="X181" s="15"/>
      <x:c r="Y181" s="140" t="str">
        <x:f>IF(COUNTA(C181:M181,O181:X181)=0,"",ROUND((IF(OR(R181&lt;&gt;"Yes",S181&gt;0),1,0)+IF(OR(T181&lt;&gt;"Yes",U181="Yes"),1,0)+IF(W181="Yes",1,0)+IF(X181="Approved",1,0))/4,2))</x:f>
      </x:c>
      <x:c r="Z181" s="15" t="str">
        <x:f>IF(COUNTA(C181:M181,O181:X181)=0,"",TEXTJOIN("; ",TRUE,IF(C181="","Missing work date",""),IF(D181="","Missing project",""),IF(F181="","Missing crew",""),IF(O181="","Missing labor hours",""),IF(P181="","Missing production qty",""),IF(AND(R181="Yes",OR(S181="",S181&lt;=0)),"Missing photo proof",""),IF(AND(T181="Yes",U181&lt;&gt;"Yes"),"Missing redline",""),IF(V181="Yes","Safety follow-up",""),IF(W181&lt;&gt;"Yes","Missing customer signoff",""),IF(X181&lt;&gt;"Approved","Office not approved",""),IF(N181&lt;=0,"Bad shift hours","")))</x:f>
      </x:c>
      <x:c r="AA181" s="15" t="str">
        <x:f>IF(COUNTA(C181:M181,O181:X181)=0,"",IF(Z181="","Yes","No"))</x:f>
      </x:c>
      <x:c r="AB181" s="15"/>
    </x:row>
    <x:row r="182" ht="20" customHeight="1">
      <x:c r="A182" s="15"/>
      <x:c r="B182" s="122"/>
      <x:c r="C182" s="28"/>
      <x:c r="D182" s="15"/>
      <x:c r="E182" s="15"/>
      <x:c r="F182" s="15"/>
      <x:c r="G182" s="15"/>
      <x:c r="H182" s="15"/>
      <x:c r="I182" s="15"/>
      <x:c r="J182" s="15"/>
      <x:c r="K182" s="15"/>
      <x:c r="L182" s="134"/>
      <x:c r="M182" s="134"/>
      <x:c r="N182" s="136" t="str">
        <x:f>IF(OR(L182="",M182=""),"",MAX(0,(M182-L182)*24))</x:f>
      </x:c>
      <x:c r="O182" s="136"/>
      <x:c r="P182" s="138"/>
      <x:c r="Q182" s="15"/>
      <x:c r="R182" s="15"/>
      <x:c r="S182" s="15"/>
      <x:c r="T182" s="15"/>
      <x:c r="U182" s="15"/>
      <x:c r="V182" s="15"/>
      <x:c r="W182" s="15"/>
      <x:c r="X182" s="15"/>
      <x:c r="Y182" s="140" t="str">
        <x:f>IF(COUNTA(C182:M182,O182:X182)=0,"",ROUND((IF(OR(R182&lt;&gt;"Yes",S182&gt;0),1,0)+IF(OR(T182&lt;&gt;"Yes",U182="Yes"),1,0)+IF(W182="Yes",1,0)+IF(X182="Approved",1,0))/4,2))</x:f>
      </x:c>
      <x:c r="Z182" s="15" t="str">
        <x:f>IF(COUNTA(C182:M182,O182:X182)=0,"",TEXTJOIN("; ",TRUE,IF(C182="","Missing work date",""),IF(D182="","Missing project",""),IF(F182="","Missing crew",""),IF(O182="","Missing labor hours",""),IF(P182="","Missing production qty",""),IF(AND(R182="Yes",OR(S182="",S182&lt;=0)),"Missing photo proof",""),IF(AND(T182="Yes",U182&lt;&gt;"Yes"),"Missing redline",""),IF(V182="Yes","Safety follow-up",""),IF(W182&lt;&gt;"Yes","Missing customer signoff",""),IF(X182&lt;&gt;"Approved","Office not approved",""),IF(N182&lt;=0,"Bad shift hours","")))</x:f>
      </x:c>
      <x:c r="AA182" s="15" t="str">
        <x:f>IF(COUNTA(C182:M182,O182:X182)=0,"",IF(Z182="","Yes","No"))</x:f>
      </x:c>
      <x:c r="AB182" s="15"/>
    </x:row>
    <x:row r="183" ht="20" customHeight="1">
      <x:c r="A183" s="15"/>
      <x:c r="B183" s="122"/>
      <x:c r="C183" s="28"/>
      <x:c r="D183" s="15"/>
      <x:c r="E183" s="15"/>
      <x:c r="F183" s="15"/>
      <x:c r="G183" s="15"/>
      <x:c r="H183" s="15"/>
      <x:c r="I183" s="15"/>
      <x:c r="J183" s="15"/>
      <x:c r="K183" s="15"/>
      <x:c r="L183" s="134"/>
      <x:c r="M183" s="134"/>
      <x:c r="N183" s="136" t="str">
        <x:f>IF(OR(L183="",M183=""),"",MAX(0,(M183-L183)*24))</x:f>
      </x:c>
      <x:c r="O183" s="136"/>
      <x:c r="P183" s="138"/>
      <x:c r="Q183" s="15"/>
      <x:c r="R183" s="15"/>
      <x:c r="S183" s="15"/>
      <x:c r="T183" s="15"/>
      <x:c r="U183" s="15"/>
      <x:c r="V183" s="15"/>
      <x:c r="W183" s="15"/>
      <x:c r="X183" s="15"/>
      <x:c r="Y183" s="140" t="str">
        <x:f>IF(COUNTA(C183:M183,O183:X183)=0,"",ROUND((IF(OR(R183&lt;&gt;"Yes",S183&gt;0),1,0)+IF(OR(T183&lt;&gt;"Yes",U183="Yes"),1,0)+IF(W183="Yes",1,0)+IF(X183="Approved",1,0))/4,2))</x:f>
      </x:c>
      <x:c r="Z183" s="15" t="str">
        <x:f>IF(COUNTA(C183:M183,O183:X183)=0,"",TEXTJOIN("; ",TRUE,IF(C183="","Missing work date",""),IF(D183="","Missing project",""),IF(F183="","Missing crew",""),IF(O183="","Missing labor hours",""),IF(P183="","Missing production qty",""),IF(AND(R183="Yes",OR(S183="",S183&lt;=0)),"Missing photo proof",""),IF(AND(T183="Yes",U183&lt;&gt;"Yes"),"Missing redline",""),IF(V183="Yes","Safety follow-up",""),IF(W183&lt;&gt;"Yes","Missing customer signoff",""),IF(X183&lt;&gt;"Approved","Office not approved",""),IF(N183&lt;=0,"Bad shift hours","")))</x:f>
      </x:c>
      <x:c r="AA183" s="15" t="str">
        <x:f>IF(COUNTA(C183:M183,O183:X183)=0,"",IF(Z183="","Yes","No"))</x:f>
      </x:c>
      <x:c r="AB183" s="15"/>
    </x:row>
    <x:row r="184" ht="20" customHeight="1">
      <x:c r="A184" s="15"/>
      <x:c r="B184" s="122"/>
      <x:c r="C184" s="28"/>
      <x:c r="D184" s="15"/>
      <x:c r="E184" s="15"/>
      <x:c r="F184" s="15"/>
      <x:c r="G184" s="15"/>
      <x:c r="H184" s="15"/>
      <x:c r="I184" s="15"/>
      <x:c r="J184" s="15"/>
      <x:c r="K184" s="15"/>
      <x:c r="L184" s="134"/>
      <x:c r="M184" s="134"/>
      <x:c r="N184" s="136" t="str">
        <x:f>IF(OR(L184="",M184=""),"",MAX(0,(M184-L184)*24))</x:f>
      </x:c>
      <x:c r="O184" s="136"/>
      <x:c r="P184" s="138"/>
      <x:c r="Q184" s="15"/>
      <x:c r="R184" s="15"/>
      <x:c r="S184" s="15"/>
      <x:c r="T184" s="15"/>
      <x:c r="U184" s="15"/>
      <x:c r="V184" s="15"/>
      <x:c r="W184" s="15"/>
      <x:c r="X184" s="15"/>
      <x:c r="Y184" s="140" t="str">
        <x:f>IF(COUNTA(C184:M184,O184:X184)=0,"",ROUND((IF(OR(R184&lt;&gt;"Yes",S184&gt;0),1,0)+IF(OR(T184&lt;&gt;"Yes",U184="Yes"),1,0)+IF(W184="Yes",1,0)+IF(X184="Approved",1,0))/4,2))</x:f>
      </x:c>
      <x:c r="Z184" s="15" t="str">
        <x:f>IF(COUNTA(C184:M184,O184:X184)=0,"",TEXTJOIN("; ",TRUE,IF(C184="","Missing work date",""),IF(D184="","Missing project",""),IF(F184="","Missing crew",""),IF(O184="","Missing labor hours",""),IF(P184="","Missing production qty",""),IF(AND(R184="Yes",OR(S184="",S184&lt;=0)),"Missing photo proof",""),IF(AND(T184="Yes",U184&lt;&gt;"Yes"),"Missing redline",""),IF(V184="Yes","Safety follow-up",""),IF(W184&lt;&gt;"Yes","Missing customer signoff",""),IF(X184&lt;&gt;"Approved","Office not approved",""),IF(N184&lt;=0,"Bad shift hours","")))</x:f>
      </x:c>
      <x:c r="AA184" s="15" t="str">
        <x:f>IF(COUNTA(C184:M184,O184:X184)=0,"",IF(Z184="","Yes","No"))</x:f>
      </x:c>
      <x:c r="AB184" s="15"/>
    </x:row>
    <x:row r="185" ht="20" customHeight="1">
      <x:c r="A185" s="15"/>
      <x:c r="B185" s="122"/>
      <x:c r="C185" s="28"/>
      <x:c r="D185" s="15"/>
      <x:c r="E185" s="15"/>
      <x:c r="F185" s="15"/>
      <x:c r="G185" s="15"/>
      <x:c r="H185" s="15"/>
      <x:c r="I185" s="15"/>
      <x:c r="J185" s="15"/>
      <x:c r="K185" s="15"/>
      <x:c r="L185" s="134"/>
      <x:c r="M185" s="134"/>
      <x:c r="N185" s="136" t="str">
        <x:f>IF(OR(L185="",M185=""),"",MAX(0,(M185-L185)*24))</x:f>
      </x:c>
      <x:c r="O185" s="136"/>
      <x:c r="P185" s="138"/>
      <x:c r="Q185" s="15"/>
      <x:c r="R185" s="15"/>
      <x:c r="S185" s="15"/>
      <x:c r="T185" s="15"/>
      <x:c r="U185" s="15"/>
      <x:c r="V185" s="15"/>
      <x:c r="W185" s="15"/>
      <x:c r="X185" s="15"/>
      <x:c r="Y185" s="140" t="str">
        <x:f>IF(COUNTA(C185:M185,O185:X185)=0,"",ROUND((IF(OR(R185&lt;&gt;"Yes",S185&gt;0),1,0)+IF(OR(T185&lt;&gt;"Yes",U185="Yes"),1,0)+IF(W185="Yes",1,0)+IF(X185="Approved",1,0))/4,2))</x:f>
      </x:c>
      <x:c r="Z185" s="15" t="str">
        <x:f>IF(COUNTA(C185:M185,O185:X185)=0,"",TEXTJOIN("; ",TRUE,IF(C185="","Missing work date",""),IF(D185="","Missing project",""),IF(F185="","Missing crew",""),IF(O185="","Missing labor hours",""),IF(P185="","Missing production qty",""),IF(AND(R185="Yes",OR(S185="",S185&lt;=0)),"Missing photo proof",""),IF(AND(T185="Yes",U185&lt;&gt;"Yes"),"Missing redline",""),IF(V185="Yes","Safety follow-up",""),IF(W185&lt;&gt;"Yes","Missing customer signoff",""),IF(X185&lt;&gt;"Approved","Office not approved",""),IF(N185&lt;=0,"Bad shift hours","")))</x:f>
      </x:c>
      <x:c r="AA185" s="15" t="str">
        <x:f>IF(COUNTA(C185:M185,O185:X185)=0,"",IF(Z185="","Yes","No"))</x:f>
      </x:c>
      <x:c r="AB185" s="15"/>
    </x:row>
    <x:row r="186" ht="20" customHeight="1">
      <x:c r="A186" s="15"/>
      <x:c r="B186" s="122"/>
      <x:c r="C186" s="28"/>
      <x:c r="D186" s="15"/>
      <x:c r="E186" s="15"/>
      <x:c r="F186" s="15"/>
      <x:c r="G186" s="15"/>
      <x:c r="H186" s="15"/>
      <x:c r="I186" s="15"/>
      <x:c r="J186" s="15"/>
      <x:c r="K186" s="15"/>
      <x:c r="L186" s="134"/>
      <x:c r="M186" s="134"/>
      <x:c r="N186" s="136" t="str">
        <x:f>IF(OR(L186="",M186=""),"",MAX(0,(M186-L186)*24))</x:f>
      </x:c>
      <x:c r="O186" s="136"/>
      <x:c r="P186" s="138"/>
      <x:c r="Q186" s="15"/>
      <x:c r="R186" s="15"/>
      <x:c r="S186" s="15"/>
      <x:c r="T186" s="15"/>
      <x:c r="U186" s="15"/>
      <x:c r="V186" s="15"/>
      <x:c r="W186" s="15"/>
      <x:c r="X186" s="15"/>
      <x:c r="Y186" s="140" t="str">
        <x:f>IF(COUNTA(C186:M186,O186:X186)=0,"",ROUND((IF(OR(R186&lt;&gt;"Yes",S186&gt;0),1,0)+IF(OR(T186&lt;&gt;"Yes",U186="Yes"),1,0)+IF(W186="Yes",1,0)+IF(X186="Approved",1,0))/4,2))</x:f>
      </x:c>
      <x:c r="Z186" s="15" t="str">
        <x:f>IF(COUNTA(C186:M186,O186:X186)=0,"",TEXTJOIN("; ",TRUE,IF(C186="","Missing work date",""),IF(D186="","Missing project",""),IF(F186="","Missing crew",""),IF(O186="","Missing labor hours",""),IF(P186="","Missing production qty",""),IF(AND(R186="Yes",OR(S186="",S186&lt;=0)),"Missing photo proof",""),IF(AND(T186="Yes",U186&lt;&gt;"Yes"),"Missing redline",""),IF(V186="Yes","Safety follow-up",""),IF(W186&lt;&gt;"Yes","Missing customer signoff",""),IF(X186&lt;&gt;"Approved","Office not approved",""),IF(N186&lt;=0,"Bad shift hours","")))</x:f>
      </x:c>
      <x:c r="AA186" s="15" t="str">
        <x:f>IF(COUNTA(C186:M186,O186:X186)=0,"",IF(Z186="","Yes","No"))</x:f>
      </x:c>
      <x:c r="AB186" s="15"/>
    </x:row>
    <x:row r="187" ht="20" customHeight="1">
      <x:c r="A187" s="15"/>
      <x:c r="B187" s="122"/>
      <x:c r="C187" s="28"/>
      <x:c r="D187" s="15"/>
      <x:c r="E187" s="15"/>
      <x:c r="F187" s="15"/>
      <x:c r="G187" s="15"/>
      <x:c r="H187" s="15"/>
      <x:c r="I187" s="15"/>
      <x:c r="J187" s="15"/>
      <x:c r="K187" s="15"/>
      <x:c r="L187" s="134"/>
      <x:c r="M187" s="134"/>
      <x:c r="N187" s="136" t="str">
        <x:f>IF(OR(L187="",M187=""),"",MAX(0,(M187-L187)*24))</x:f>
      </x:c>
      <x:c r="O187" s="136"/>
      <x:c r="P187" s="138"/>
      <x:c r="Q187" s="15"/>
      <x:c r="R187" s="15"/>
      <x:c r="S187" s="15"/>
      <x:c r="T187" s="15"/>
      <x:c r="U187" s="15"/>
      <x:c r="V187" s="15"/>
      <x:c r="W187" s="15"/>
      <x:c r="X187" s="15"/>
      <x:c r="Y187" s="140" t="str">
        <x:f>IF(COUNTA(C187:M187,O187:X187)=0,"",ROUND((IF(OR(R187&lt;&gt;"Yes",S187&gt;0),1,0)+IF(OR(T187&lt;&gt;"Yes",U187="Yes"),1,0)+IF(W187="Yes",1,0)+IF(X187="Approved",1,0))/4,2))</x:f>
      </x:c>
      <x:c r="Z187" s="15" t="str">
        <x:f>IF(COUNTA(C187:M187,O187:X187)=0,"",TEXTJOIN("; ",TRUE,IF(C187="","Missing work date",""),IF(D187="","Missing project",""),IF(F187="","Missing crew",""),IF(O187="","Missing labor hours",""),IF(P187="","Missing production qty",""),IF(AND(R187="Yes",OR(S187="",S187&lt;=0)),"Missing photo proof",""),IF(AND(T187="Yes",U187&lt;&gt;"Yes"),"Missing redline",""),IF(V187="Yes","Safety follow-up",""),IF(W187&lt;&gt;"Yes","Missing customer signoff",""),IF(X187&lt;&gt;"Approved","Office not approved",""),IF(N187&lt;=0,"Bad shift hours","")))</x:f>
      </x:c>
      <x:c r="AA187" s="15" t="str">
        <x:f>IF(COUNTA(C187:M187,O187:X187)=0,"",IF(Z187="","Yes","No"))</x:f>
      </x:c>
      <x:c r="AB187" s="15"/>
    </x:row>
    <x:row r="188" ht="20" customHeight="1">
      <x:c r="A188" s="15"/>
      <x:c r="B188" s="122"/>
      <x:c r="C188" s="28"/>
      <x:c r="D188" s="15"/>
      <x:c r="E188" s="15"/>
      <x:c r="F188" s="15"/>
      <x:c r="G188" s="15"/>
      <x:c r="H188" s="15"/>
      <x:c r="I188" s="15"/>
      <x:c r="J188" s="15"/>
      <x:c r="K188" s="15"/>
      <x:c r="L188" s="134"/>
      <x:c r="M188" s="134"/>
      <x:c r="N188" s="136" t="str">
        <x:f>IF(OR(L188="",M188=""),"",MAX(0,(M188-L188)*24))</x:f>
      </x:c>
      <x:c r="O188" s="136"/>
      <x:c r="P188" s="138"/>
      <x:c r="Q188" s="15"/>
      <x:c r="R188" s="15"/>
      <x:c r="S188" s="15"/>
      <x:c r="T188" s="15"/>
      <x:c r="U188" s="15"/>
      <x:c r="V188" s="15"/>
      <x:c r="W188" s="15"/>
      <x:c r="X188" s="15"/>
      <x:c r="Y188" s="140" t="str">
        <x:f>IF(COUNTA(C188:M188,O188:X188)=0,"",ROUND((IF(OR(R188&lt;&gt;"Yes",S188&gt;0),1,0)+IF(OR(T188&lt;&gt;"Yes",U188="Yes"),1,0)+IF(W188="Yes",1,0)+IF(X188="Approved",1,0))/4,2))</x:f>
      </x:c>
      <x:c r="Z188" s="15" t="str">
        <x:f>IF(COUNTA(C188:M188,O188:X188)=0,"",TEXTJOIN("; ",TRUE,IF(C188="","Missing work date",""),IF(D188="","Missing project",""),IF(F188="","Missing crew",""),IF(O188="","Missing labor hours",""),IF(P188="","Missing production qty",""),IF(AND(R188="Yes",OR(S188="",S188&lt;=0)),"Missing photo proof",""),IF(AND(T188="Yes",U188&lt;&gt;"Yes"),"Missing redline",""),IF(V188="Yes","Safety follow-up",""),IF(W188&lt;&gt;"Yes","Missing customer signoff",""),IF(X188&lt;&gt;"Approved","Office not approved",""),IF(N188&lt;=0,"Bad shift hours","")))</x:f>
      </x:c>
      <x:c r="AA188" s="15" t="str">
        <x:f>IF(COUNTA(C188:M188,O188:X188)=0,"",IF(Z188="","Yes","No"))</x:f>
      </x:c>
      <x:c r="AB188" s="15"/>
    </x:row>
    <x:row r="189" ht="20" customHeight="1">
      <x:c r="A189" s="15"/>
      <x:c r="B189" s="122"/>
      <x:c r="C189" s="28"/>
      <x:c r="D189" s="15"/>
      <x:c r="E189" s="15"/>
      <x:c r="F189" s="15"/>
      <x:c r="G189" s="15"/>
      <x:c r="H189" s="15"/>
      <x:c r="I189" s="15"/>
      <x:c r="J189" s="15"/>
      <x:c r="K189" s="15"/>
      <x:c r="L189" s="134"/>
      <x:c r="M189" s="134"/>
      <x:c r="N189" s="136" t="str">
        <x:f>IF(OR(L189="",M189=""),"",MAX(0,(M189-L189)*24))</x:f>
      </x:c>
      <x:c r="O189" s="136"/>
      <x:c r="P189" s="138"/>
      <x:c r="Q189" s="15"/>
      <x:c r="R189" s="15"/>
      <x:c r="S189" s="15"/>
      <x:c r="T189" s="15"/>
      <x:c r="U189" s="15"/>
      <x:c r="V189" s="15"/>
      <x:c r="W189" s="15"/>
      <x:c r="X189" s="15"/>
      <x:c r="Y189" s="140" t="str">
        <x:f>IF(COUNTA(C189:M189,O189:X189)=0,"",ROUND((IF(OR(R189&lt;&gt;"Yes",S189&gt;0),1,0)+IF(OR(T189&lt;&gt;"Yes",U189="Yes"),1,0)+IF(W189="Yes",1,0)+IF(X189="Approved",1,0))/4,2))</x:f>
      </x:c>
      <x:c r="Z189" s="15" t="str">
        <x:f>IF(COUNTA(C189:M189,O189:X189)=0,"",TEXTJOIN("; ",TRUE,IF(C189="","Missing work date",""),IF(D189="","Missing project",""),IF(F189="","Missing crew",""),IF(O189="","Missing labor hours",""),IF(P189="","Missing production qty",""),IF(AND(R189="Yes",OR(S189="",S189&lt;=0)),"Missing photo proof",""),IF(AND(T189="Yes",U189&lt;&gt;"Yes"),"Missing redline",""),IF(V189="Yes","Safety follow-up",""),IF(W189&lt;&gt;"Yes","Missing customer signoff",""),IF(X189&lt;&gt;"Approved","Office not approved",""),IF(N189&lt;=0,"Bad shift hours","")))</x:f>
      </x:c>
      <x:c r="AA189" s="15" t="str">
        <x:f>IF(COUNTA(C189:M189,O189:X189)=0,"",IF(Z189="","Yes","No"))</x:f>
      </x:c>
      <x:c r="AB189" s="15"/>
    </x:row>
    <x:row r="190" ht="20" customHeight="1">
      <x:c r="A190" s="15"/>
      <x:c r="B190" s="122"/>
      <x:c r="C190" s="28"/>
      <x:c r="D190" s="15"/>
      <x:c r="E190" s="15"/>
      <x:c r="F190" s="15"/>
      <x:c r="G190" s="15"/>
      <x:c r="H190" s="15"/>
      <x:c r="I190" s="15"/>
      <x:c r="J190" s="15"/>
      <x:c r="K190" s="15"/>
      <x:c r="L190" s="134"/>
      <x:c r="M190" s="134"/>
      <x:c r="N190" s="136" t="str">
        <x:f>IF(OR(L190="",M190=""),"",MAX(0,(M190-L190)*24))</x:f>
      </x:c>
      <x:c r="O190" s="136"/>
      <x:c r="P190" s="138"/>
      <x:c r="Q190" s="15"/>
      <x:c r="R190" s="15"/>
      <x:c r="S190" s="15"/>
      <x:c r="T190" s="15"/>
      <x:c r="U190" s="15"/>
      <x:c r="V190" s="15"/>
      <x:c r="W190" s="15"/>
      <x:c r="X190" s="15"/>
      <x:c r="Y190" s="140" t="str">
        <x:f>IF(COUNTA(C190:M190,O190:X190)=0,"",ROUND((IF(OR(R190&lt;&gt;"Yes",S190&gt;0),1,0)+IF(OR(T190&lt;&gt;"Yes",U190="Yes"),1,0)+IF(W190="Yes",1,0)+IF(X190="Approved",1,0))/4,2))</x:f>
      </x:c>
      <x:c r="Z190" s="15" t="str">
        <x:f>IF(COUNTA(C190:M190,O190:X190)=0,"",TEXTJOIN("; ",TRUE,IF(C190="","Missing work date",""),IF(D190="","Missing project",""),IF(F190="","Missing crew",""),IF(O190="","Missing labor hours",""),IF(P190="","Missing production qty",""),IF(AND(R190="Yes",OR(S190="",S190&lt;=0)),"Missing photo proof",""),IF(AND(T190="Yes",U190&lt;&gt;"Yes"),"Missing redline",""),IF(V190="Yes","Safety follow-up",""),IF(W190&lt;&gt;"Yes","Missing customer signoff",""),IF(X190&lt;&gt;"Approved","Office not approved",""),IF(N190&lt;=0,"Bad shift hours","")))</x:f>
      </x:c>
      <x:c r="AA190" s="15" t="str">
        <x:f>IF(COUNTA(C190:M190,O190:X190)=0,"",IF(Z190="","Yes","No"))</x:f>
      </x:c>
      <x:c r="AB190" s="15"/>
    </x:row>
    <x:row r="191" ht="20" customHeight="1">
      <x:c r="A191" s="15"/>
      <x:c r="B191" s="122"/>
      <x:c r="C191" s="28"/>
      <x:c r="D191" s="15"/>
      <x:c r="E191" s="15"/>
      <x:c r="F191" s="15"/>
      <x:c r="G191" s="15"/>
      <x:c r="H191" s="15"/>
      <x:c r="I191" s="15"/>
      <x:c r="J191" s="15"/>
      <x:c r="K191" s="15"/>
      <x:c r="L191" s="134"/>
      <x:c r="M191" s="134"/>
      <x:c r="N191" s="136" t="str">
        <x:f>IF(OR(L191="",M191=""),"",MAX(0,(M191-L191)*24))</x:f>
      </x:c>
      <x:c r="O191" s="136"/>
      <x:c r="P191" s="138"/>
      <x:c r="Q191" s="15"/>
      <x:c r="R191" s="15"/>
      <x:c r="S191" s="15"/>
      <x:c r="T191" s="15"/>
      <x:c r="U191" s="15"/>
      <x:c r="V191" s="15"/>
      <x:c r="W191" s="15"/>
      <x:c r="X191" s="15"/>
      <x:c r="Y191" s="140" t="str">
        <x:f>IF(COUNTA(C191:M191,O191:X191)=0,"",ROUND((IF(OR(R191&lt;&gt;"Yes",S191&gt;0),1,0)+IF(OR(T191&lt;&gt;"Yes",U191="Yes"),1,0)+IF(W191="Yes",1,0)+IF(X191="Approved",1,0))/4,2))</x:f>
      </x:c>
      <x:c r="Z191" s="15" t="str">
        <x:f>IF(COUNTA(C191:M191,O191:X191)=0,"",TEXTJOIN("; ",TRUE,IF(C191="","Missing work date",""),IF(D191="","Missing project",""),IF(F191="","Missing crew",""),IF(O191="","Missing labor hours",""),IF(P191="","Missing production qty",""),IF(AND(R191="Yes",OR(S191="",S191&lt;=0)),"Missing photo proof",""),IF(AND(T191="Yes",U191&lt;&gt;"Yes"),"Missing redline",""),IF(V191="Yes","Safety follow-up",""),IF(W191&lt;&gt;"Yes","Missing customer signoff",""),IF(X191&lt;&gt;"Approved","Office not approved",""),IF(N191&lt;=0,"Bad shift hours","")))</x:f>
      </x:c>
      <x:c r="AA191" s="15" t="str">
        <x:f>IF(COUNTA(C191:M191,O191:X191)=0,"",IF(Z191="","Yes","No"))</x:f>
      </x:c>
      <x:c r="AB191" s="15"/>
    </x:row>
    <x:row r="192" ht="20" customHeight="1">
      <x:c r="A192" s="15"/>
      <x:c r="B192" s="122"/>
      <x:c r="C192" s="28"/>
      <x:c r="D192" s="15"/>
      <x:c r="E192" s="15"/>
      <x:c r="F192" s="15"/>
      <x:c r="G192" s="15"/>
      <x:c r="H192" s="15"/>
      <x:c r="I192" s="15"/>
      <x:c r="J192" s="15"/>
      <x:c r="K192" s="15"/>
      <x:c r="L192" s="134"/>
      <x:c r="M192" s="134"/>
      <x:c r="N192" s="136" t="str">
        <x:f>IF(OR(L192="",M192=""),"",MAX(0,(M192-L192)*24))</x:f>
      </x:c>
      <x:c r="O192" s="136"/>
      <x:c r="P192" s="138"/>
      <x:c r="Q192" s="15"/>
      <x:c r="R192" s="15"/>
      <x:c r="S192" s="15"/>
      <x:c r="T192" s="15"/>
      <x:c r="U192" s="15"/>
      <x:c r="V192" s="15"/>
      <x:c r="W192" s="15"/>
      <x:c r="X192" s="15"/>
      <x:c r="Y192" s="140" t="str">
        <x:f>IF(COUNTA(C192:M192,O192:X192)=0,"",ROUND((IF(OR(R192&lt;&gt;"Yes",S192&gt;0),1,0)+IF(OR(T192&lt;&gt;"Yes",U192="Yes"),1,0)+IF(W192="Yes",1,0)+IF(X192="Approved",1,0))/4,2))</x:f>
      </x:c>
      <x:c r="Z192" s="15" t="str">
        <x:f>IF(COUNTA(C192:M192,O192:X192)=0,"",TEXTJOIN("; ",TRUE,IF(C192="","Missing work date",""),IF(D192="","Missing project",""),IF(F192="","Missing crew",""),IF(O192="","Missing labor hours",""),IF(P192="","Missing production qty",""),IF(AND(R192="Yes",OR(S192="",S192&lt;=0)),"Missing photo proof",""),IF(AND(T192="Yes",U192&lt;&gt;"Yes"),"Missing redline",""),IF(V192="Yes","Safety follow-up",""),IF(W192&lt;&gt;"Yes","Missing customer signoff",""),IF(X192&lt;&gt;"Approved","Office not approved",""),IF(N192&lt;=0,"Bad shift hours","")))</x:f>
      </x:c>
      <x:c r="AA192" s="15" t="str">
        <x:f>IF(COUNTA(C192:M192,O192:X192)=0,"",IF(Z192="","Yes","No"))</x:f>
      </x:c>
      <x:c r="AB192" s="15"/>
    </x:row>
    <x:row r="193" ht="20" customHeight="1">
      <x:c r="A193" s="15"/>
      <x:c r="B193" s="122"/>
      <x:c r="C193" s="28"/>
      <x:c r="D193" s="15"/>
      <x:c r="E193" s="15"/>
      <x:c r="F193" s="15"/>
      <x:c r="G193" s="15"/>
      <x:c r="H193" s="15"/>
      <x:c r="I193" s="15"/>
      <x:c r="J193" s="15"/>
      <x:c r="K193" s="15"/>
      <x:c r="L193" s="134"/>
      <x:c r="M193" s="134"/>
      <x:c r="N193" s="136" t="str">
        <x:f>IF(OR(L193="",M193=""),"",MAX(0,(M193-L193)*24))</x:f>
      </x:c>
      <x:c r="O193" s="136"/>
      <x:c r="P193" s="138"/>
      <x:c r="Q193" s="15"/>
      <x:c r="R193" s="15"/>
      <x:c r="S193" s="15"/>
      <x:c r="T193" s="15"/>
      <x:c r="U193" s="15"/>
      <x:c r="V193" s="15"/>
      <x:c r="W193" s="15"/>
      <x:c r="X193" s="15"/>
      <x:c r="Y193" s="140" t="str">
        <x:f>IF(COUNTA(C193:M193,O193:X193)=0,"",ROUND((IF(OR(R193&lt;&gt;"Yes",S193&gt;0),1,0)+IF(OR(T193&lt;&gt;"Yes",U193="Yes"),1,0)+IF(W193="Yes",1,0)+IF(X193="Approved",1,0))/4,2))</x:f>
      </x:c>
      <x:c r="Z193" s="15" t="str">
        <x:f>IF(COUNTA(C193:M193,O193:X193)=0,"",TEXTJOIN("; ",TRUE,IF(C193="","Missing work date",""),IF(D193="","Missing project",""),IF(F193="","Missing crew",""),IF(O193="","Missing labor hours",""),IF(P193="","Missing production qty",""),IF(AND(R193="Yes",OR(S193="",S193&lt;=0)),"Missing photo proof",""),IF(AND(T193="Yes",U193&lt;&gt;"Yes"),"Missing redline",""),IF(V193="Yes","Safety follow-up",""),IF(W193&lt;&gt;"Yes","Missing customer signoff",""),IF(X193&lt;&gt;"Approved","Office not approved",""),IF(N193&lt;=0,"Bad shift hours","")))</x:f>
      </x:c>
      <x:c r="AA193" s="15" t="str">
        <x:f>IF(COUNTA(C193:M193,O193:X193)=0,"",IF(Z193="","Yes","No"))</x:f>
      </x:c>
      <x:c r="AB193" s="15"/>
    </x:row>
    <x:row r="194" ht="20" customHeight="1">
      <x:c r="A194" s="15"/>
      <x:c r="B194" s="122"/>
      <x:c r="C194" s="28"/>
      <x:c r="D194" s="15"/>
      <x:c r="E194" s="15"/>
      <x:c r="F194" s="15"/>
      <x:c r="G194" s="15"/>
      <x:c r="H194" s="15"/>
      <x:c r="I194" s="15"/>
      <x:c r="J194" s="15"/>
      <x:c r="K194" s="15"/>
      <x:c r="L194" s="134"/>
      <x:c r="M194" s="134"/>
      <x:c r="N194" s="136" t="str">
        <x:f>IF(OR(L194="",M194=""),"",MAX(0,(M194-L194)*24))</x:f>
      </x:c>
      <x:c r="O194" s="136"/>
      <x:c r="P194" s="138"/>
      <x:c r="Q194" s="15"/>
      <x:c r="R194" s="15"/>
      <x:c r="S194" s="15"/>
      <x:c r="T194" s="15"/>
      <x:c r="U194" s="15"/>
      <x:c r="V194" s="15"/>
      <x:c r="W194" s="15"/>
      <x:c r="X194" s="15"/>
      <x:c r="Y194" s="140" t="str">
        <x:f>IF(COUNTA(C194:M194,O194:X194)=0,"",ROUND((IF(OR(R194&lt;&gt;"Yes",S194&gt;0),1,0)+IF(OR(T194&lt;&gt;"Yes",U194="Yes"),1,0)+IF(W194="Yes",1,0)+IF(X194="Approved",1,0))/4,2))</x:f>
      </x:c>
      <x:c r="Z194" s="15" t="str">
        <x:f>IF(COUNTA(C194:M194,O194:X194)=0,"",TEXTJOIN("; ",TRUE,IF(C194="","Missing work date",""),IF(D194="","Missing project",""),IF(F194="","Missing crew",""),IF(O194="","Missing labor hours",""),IF(P194="","Missing production qty",""),IF(AND(R194="Yes",OR(S194="",S194&lt;=0)),"Missing photo proof",""),IF(AND(T194="Yes",U194&lt;&gt;"Yes"),"Missing redline",""),IF(V194="Yes","Safety follow-up",""),IF(W194&lt;&gt;"Yes","Missing customer signoff",""),IF(X194&lt;&gt;"Approved","Office not approved",""),IF(N194&lt;=0,"Bad shift hours","")))</x:f>
      </x:c>
      <x:c r="AA194" s="15" t="str">
        <x:f>IF(COUNTA(C194:M194,O194:X194)=0,"",IF(Z194="","Yes","No"))</x:f>
      </x:c>
      <x:c r="AB194" s="15"/>
    </x:row>
    <x:row r="195" ht="20" customHeight="1">
      <x:c r="A195" s="15"/>
      <x:c r="B195" s="122"/>
      <x:c r="C195" s="28"/>
      <x:c r="D195" s="15"/>
      <x:c r="E195" s="15"/>
      <x:c r="F195" s="15"/>
      <x:c r="G195" s="15"/>
      <x:c r="H195" s="15"/>
      <x:c r="I195" s="15"/>
      <x:c r="J195" s="15"/>
      <x:c r="K195" s="15"/>
      <x:c r="L195" s="134"/>
      <x:c r="M195" s="134"/>
      <x:c r="N195" s="136" t="str">
        <x:f>IF(OR(L195="",M195=""),"",MAX(0,(M195-L195)*24))</x:f>
      </x:c>
      <x:c r="O195" s="136"/>
      <x:c r="P195" s="138"/>
      <x:c r="Q195" s="15"/>
      <x:c r="R195" s="15"/>
      <x:c r="S195" s="15"/>
      <x:c r="T195" s="15"/>
      <x:c r="U195" s="15"/>
      <x:c r="V195" s="15"/>
      <x:c r="W195" s="15"/>
      <x:c r="X195" s="15"/>
      <x:c r="Y195" s="140" t="str">
        <x:f>IF(COUNTA(C195:M195,O195:X195)=0,"",ROUND((IF(OR(R195&lt;&gt;"Yes",S195&gt;0),1,0)+IF(OR(T195&lt;&gt;"Yes",U195="Yes"),1,0)+IF(W195="Yes",1,0)+IF(X195="Approved",1,0))/4,2))</x:f>
      </x:c>
      <x:c r="Z195" s="15" t="str">
        <x:f>IF(COUNTA(C195:M195,O195:X195)=0,"",TEXTJOIN("; ",TRUE,IF(C195="","Missing work date",""),IF(D195="","Missing project",""),IF(F195="","Missing crew",""),IF(O195="","Missing labor hours",""),IF(P195="","Missing production qty",""),IF(AND(R195="Yes",OR(S195="",S195&lt;=0)),"Missing photo proof",""),IF(AND(T195="Yes",U195&lt;&gt;"Yes"),"Missing redline",""),IF(V195="Yes","Safety follow-up",""),IF(W195&lt;&gt;"Yes","Missing customer signoff",""),IF(X195&lt;&gt;"Approved","Office not approved",""),IF(N195&lt;=0,"Bad shift hours","")))</x:f>
      </x:c>
      <x:c r="AA195" s="15" t="str">
        <x:f>IF(COUNTA(C195:M195,O195:X195)=0,"",IF(Z195="","Yes","No"))</x:f>
      </x:c>
      <x:c r="AB195" s="15"/>
    </x:row>
    <x:row r="196" ht="20" customHeight="1">
      <x:c r="A196" s="15"/>
      <x:c r="B196" s="122"/>
      <x:c r="C196" s="28"/>
      <x:c r="D196" s="15"/>
      <x:c r="E196" s="15"/>
      <x:c r="F196" s="15"/>
      <x:c r="G196" s="15"/>
      <x:c r="H196" s="15"/>
      <x:c r="I196" s="15"/>
      <x:c r="J196" s="15"/>
      <x:c r="K196" s="15"/>
      <x:c r="L196" s="134"/>
      <x:c r="M196" s="134"/>
      <x:c r="N196" s="136" t="str">
        <x:f>IF(OR(L196="",M196=""),"",MAX(0,(M196-L196)*24))</x:f>
      </x:c>
      <x:c r="O196" s="136"/>
      <x:c r="P196" s="138"/>
      <x:c r="Q196" s="15"/>
      <x:c r="R196" s="15"/>
      <x:c r="S196" s="15"/>
      <x:c r="T196" s="15"/>
      <x:c r="U196" s="15"/>
      <x:c r="V196" s="15"/>
      <x:c r="W196" s="15"/>
      <x:c r="X196" s="15"/>
      <x:c r="Y196" s="140" t="str">
        <x:f>IF(COUNTA(C196:M196,O196:X196)=0,"",ROUND((IF(OR(R196&lt;&gt;"Yes",S196&gt;0),1,0)+IF(OR(T196&lt;&gt;"Yes",U196="Yes"),1,0)+IF(W196="Yes",1,0)+IF(X196="Approved",1,0))/4,2))</x:f>
      </x:c>
      <x:c r="Z196" s="15" t="str">
        <x:f>IF(COUNTA(C196:M196,O196:X196)=0,"",TEXTJOIN("; ",TRUE,IF(C196="","Missing work date",""),IF(D196="","Missing project",""),IF(F196="","Missing crew",""),IF(O196="","Missing labor hours",""),IF(P196="","Missing production qty",""),IF(AND(R196="Yes",OR(S196="",S196&lt;=0)),"Missing photo proof",""),IF(AND(T196="Yes",U196&lt;&gt;"Yes"),"Missing redline",""),IF(V196="Yes","Safety follow-up",""),IF(W196&lt;&gt;"Yes","Missing customer signoff",""),IF(X196&lt;&gt;"Approved","Office not approved",""),IF(N196&lt;=0,"Bad shift hours","")))</x:f>
      </x:c>
      <x:c r="AA196" s="15" t="str">
        <x:f>IF(COUNTA(C196:M196,O196:X196)=0,"",IF(Z196="","Yes","No"))</x:f>
      </x:c>
      <x:c r="AB196" s="15"/>
    </x:row>
    <x:row r="197" ht="20" customHeight="1">
      <x:c r="A197" s="15"/>
      <x:c r="B197" s="122"/>
      <x:c r="C197" s="28"/>
      <x:c r="D197" s="15"/>
      <x:c r="E197" s="15"/>
      <x:c r="F197" s="15"/>
      <x:c r="G197" s="15"/>
      <x:c r="H197" s="15"/>
      <x:c r="I197" s="15"/>
      <x:c r="J197" s="15"/>
      <x:c r="K197" s="15"/>
      <x:c r="L197" s="134"/>
      <x:c r="M197" s="134"/>
      <x:c r="N197" s="136" t="str">
        <x:f>IF(OR(L197="",M197=""),"",MAX(0,(M197-L197)*24))</x:f>
      </x:c>
      <x:c r="O197" s="136"/>
      <x:c r="P197" s="138"/>
      <x:c r="Q197" s="15"/>
      <x:c r="R197" s="15"/>
      <x:c r="S197" s="15"/>
      <x:c r="T197" s="15"/>
      <x:c r="U197" s="15"/>
      <x:c r="V197" s="15"/>
      <x:c r="W197" s="15"/>
      <x:c r="X197" s="15"/>
      <x:c r="Y197" s="140" t="str">
        <x:f>IF(COUNTA(C197:M197,O197:X197)=0,"",ROUND((IF(OR(R197&lt;&gt;"Yes",S197&gt;0),1,0)+IF(OR(T197&lt;&gt;"Yes",U197="Yes"),1,0)+IF(W197="Yes",1,0)+IF(X197="Approved",1,0))/4,2))</x:f>
      </x:c>
      <x:c r="Z197" s="15" t="str">
        <x:f>IF(COUNTA(C197:M197,O197:X197)=0,"",TEXTJOIN("; ",TRUE,IF(C197="","Missing work date",""),IF(D197="","Missing project",""),IF(F197="","Missing crew",""),IF(O197="","Missing labor hours",""),IF(P197="","Missing production qty",""),IF(AND(R197="Yes",OR(S197="",S197&lt;=0)),"Missing photo proof",""),IF(AND(T197="Yes",U197&lt;&gt;"Yes"),"Missing redline",""),IF(V197="Yes","Safety follow-up",""),IF(W197&lt;&gt;"Yes","Missing customer signoff",""),IF(X197&lt;&gt;"Approved","Office not approved",""),IF(N197&lt;=0,"Bad shift hours","")))</x:f>
      </x:c>
      <x:c r="AA197" s="15" t="str">
        <x:f>IF(COUNTA(C197:M197,O197:X197)=0,"",IF(Z197="","Yes","No"))</x:f>
      </x:c>
      <x:c r="AB197" s="15"/>
    </x:row>
    <x:row r="198" ht="20" customHeight="1">
      <x:c r="A198" s="15"/>
      <x:c r="B198" s="122"/>
      <x:c r="C198" s="28"/>
      <x:c r="D198" s="15"/>
      <x:c r="E198" s="15"/>
      <x:c r="F198" s="15"/>
      <x:c r="G198" s="15"/>
      <x:c r="H198" s="15"/>
      <x:c r="I198" s="15"/>
      <x:c r="J198" s="15"/>
      <x:c r="K198" s="15"/>
      <x:c r="L198" s="134"/>
      <x:c r="M198" s="134"/>
      <x:c r="N198" s="136" t="str">
        <x:f>IF(OR(L198="",M198=""),"",MAX(0,(M198-L198)*24))</x:f>
      </x:c>
      <x:c r="O198" s="136"/>
      <x:c r="P198" s="138"/>
      <x:c r="Q198" s="15"/>
      <x:c r="R198" s="15"/>
      <x:c r="S198" s="15"/>
      <x:c r="T198" s="15"/>
      <x:c r="U198" s="15"/>
      <x:c r="V198" s="15"/>
      <x:c r="W198" s="15"/>
      <x:c r="X198" s="15"/>
      <x:c r="Y198" s="140" t="str">
        <x:f>IF(COUNTA(C198:M198,O198:X198)=0,"",ROUND((IF(OR(R198&lt;&gt;"Yes",S198&gt;0),1,0)+IF(OR(T198&lt;&gt;"Yes",U198="Yes"),1,0)+IF(W198="Yes",1,0)+IF(X198="Approved",1,0))/4,2))</x:f>
      </x:c>
      <x:c r="Z198" s="15" t="str">
        <x:f>IF(COUNTA(C198:M198,O198:X198)=0,"",TEXTJOIN("; ",TRUE,IF(C198="","Missing work date",""),IF(D198="","Missing project",""),IF(F198="","Missing crew",""),IF(O198="","Missing labor hours",""),IF(P198="","Missing production qty",""),IF(AND(R198="Yes",OR(S198="",S198&lt;=0)),"Missing photo proof",""),IF(AND(T198="Yes",U198&lt;&gt;"Yes"),"Missing redline",""),IF(V198="Yes","Safety follow-up",""),IF(W198&lt;&gt;"Yes","Missing customer signoff",""),IF(X198&lt;&gt;"Approved","Office not approved",""),IF(N198&lt;=0,"Bad shift hours","")))</x:f>
      </x:c>
      <x:c r="AA198" s="15" t="str">
        <x:f>IF(COUNTA(C198:M198,O198:X198)=0,"",IF(Z198="","Yes","No"))</x:f>
      </x:c>
      <x:c r="AB198" s="15"/>
    </x:row>
    <x:row r="199" ht="20" customHeight="1">
      <x:c r="A199" s="15"/>
      <x:c r="B199" s="122"/>
      <x:c r="C199" s="28"/>
      <x:c r="D199" s="15"/>
      <x:c r="E199" s="15"/>
      <x:c r="F199" s="15"/>
      <x:c r="G199" s="15"/>
      <x:c r="H199" s="15"/>
      <x:c r="I199" s="15"/>
      <x:c r="J199" s="15"/>
      <x:c r="K199" s="15"/>
      <x:c r="L199" s="134"/>
      <x:c r="M199" s="134"/>
      <x:c r="N199" s="136" t="str">
        <x:f>IF(OR(L199="",M199=""),"",MAX(0,(M199-L199)*24))</x:f>
      </x:c>
      <x:c r="O199" s="136"/>
      <x:c r="P199" s="138"/>
      <x:c r="Q199" s="15"/>
      <x:c r="R199" s="15"/>
      <x:c r="S199" s="15"/>
      <x:c r="T199" s="15"/>
      <x:c r="U199" s="15"/>
      <x:c r="V199" s="15"/>
      <x:c r="W199" s="15"/>
      <x:c r="X199" s="15"/>
      <x:c r="Y199" s="140" t="str">
        <x:f>IF(COUNTA(C199:M199,O199:X199)=0,"",ROUND((IF(OR(R199&lt;&gt;"Yes",S199&gt;0),1,0)+IF(OR(T199&lt;&gt;"Yes",U199="Yes"),1,0)+IF(W199="Yes",1,0)+IF(X199="Approved",1,0))/4,2))</x:f>
      </x:c>
      <x:c r="Z199" s="15" t="str">
        <x:f>IF(COUNTA(C199:M199,O199:X199)=0,"",TEXTJOIN("; ",TRUE,IF(C199="","Missing work date",""),IF(D199="","Missing project",""),IF(F199="","Missing crew",""),IF(O199="","Missing labor hours",""),IF(P199="","Missing production qty",""),IF(AND(R199="Yes",OR(S199="",S199&lt;=0)),"Missing photo proof",""),IF(AND(T199="Yes",U199&lt;&gt;"Yes"),"Missing redline",""),IF(V199="Yes","Safety follow-up",""),IF(W199&lt;&gt;"Yes","Missing customer signoff",""),IF(X199&lt;&gt;"Approved","Office not approved",""),IF(N199&lt;=0,"Bad shift hours","")))</x:f>
      </x:c>
      <x:c r="AA199" s="15" t="str">
        <x:f>IF(COUNTA(C199:M199,O199:X199)=0,"",IF(Z199="","Yes","No"))</x:f>
      </x:c>
      <x:c r="AB199" s="15"/>
    </x:row>
    <x:row r="200" ht="20" customHeight="1">
      <x:c r="A200" s="15"/>
      <x:c r="B200" s="122"/>
      <x:c r="C200" s="28"/>
      <x:c r="D200" s="15"/>
      <x:c r="E200" s="15"/>
      <x:c r="F200" s="15"/>
      <x:c r="G200" s="15"/>
      <x:c r="H200" s="15"/>
      <x:c r="I200" s="15"/>
      <x:c r="J200" s="15"/>
      <x:c r="K200" s="15"/>
      <x:c r="L200" s="134"/>
      <x:c r="M200" s="134"/>
      <x:c r="N200" s="136" t="str">
        <x:f>IF(OR(L200="",M200=""),"",MAX(0,(M200-L200)*24))</x:f>
      </x:c>
      <x:c r="O200" s="136"/>
      <x:c r="P200" s="138"/>
      <x:c r="Q200" s="15"/>
      <x:c r="R200" s="15"/>
      <x:c r="S200" s="15"/>
      <x:c r="T200" s="15"/>
      <x:c r="U200" s="15"/>
      <x:c r="V200" s="15"/>
      <x:c r="W200" s="15"/>
      <x:c r="X200" s="15"/>
      <x:c r="Y200" s="140" t="str">
        <x:f>IF(COUNTA(C200:M200,O200:X200)=0,"",ROUND((IF(OR(R200&lt;&gt;"Yes",S200&gt;0),1,0)+IF(OR(T200&lt;&gt;"Yes",U200="Yes"),1,0)+IF(W200="Yes",1,0)+IF(X200="Approved",1,0))/4,2))</x:f>
      </x:c>
      <x:c r="Z200" s="15" t="str">
        <x:f>IF(COUNTA(C200:M200,O200:X200)=0,"",TEXTJOIN("; ",TRUE,IF(C200="","Missing work date",""),IF(D200="","Missing project",""),IF(F200="","Missing crew",""),IF(O200="","Missing labor hours",""),IF(P200="","Missing production qty",""),IF(AND(R200="Yes",OR(S200="",S200&lt;=0)),"Missing photo proof",""),IF(AND(T200="Yes",U200&lt;&gt;"Yes"),"Missing redline",""),IF(V200="Yes","Safety follow-up",""),IF(W200&lt;&gt;"Yes","Missing customer signoff",""),IF(X200&lt;&gt;"Approved","Office not approved",""),IF(N200&lt;=0,"Bad shift hours","")))</x:f>
      </x:c>
      <x:c r="AA200" s="15" t="str">
        <x:f>IF(COUNTA(C200:M200,O200:X200)=0,"",IF(Z200="","Yes","No"))</x:f>
      </x:c>
      <x:c r="AB200" s="15"/>
    </x:row>
    <x:row r="201" ht="20" customHeight="1">
      <x:c r="A201" s="15"/>
      <x:c r="B201" s="122"/>
      <x:c r="C201" s="28"/>
      <x:c r="D201" s="15"/>
      <x:c r="E201" s="15"/>
      <x:c r="F201" s="15"/>
      <x:c r="G201" s="15"/>
      <x:c r="H201" s="15"/>
      <x:c r="I201" s="15"/>
      <x:c r="J201" s="15"/>
      <x:c r="K201" s="15"/>
      <x:c r="L201" s="134"/>
      <x:c r="M201" s="134"/>
      <x:c r="N201" s="136" t="str">
        <x:f>IF(OR(L201="",M201=""),"",MAX(0,(M201-L201)*24))</x:f>
      </x:c>
      <x:c r="O201" s="136"/>
      <x:c r="P201" s="138"/>
      <x:c r="Q201" s="15"/>
      <x:c r="R201" s="15"/>
      <x:c r="S201" s="15"/>
      <x:c r="T201" s="15"/>
      <x:c r="U201" s="15"/>
      <x:c r="V201" s="15"/>
      <x:c r="W201" s="15"/>
      <x:c r="X201" s="15"/>
      <x:c r="Y201" s="140" t="str">
        <x:f>IF(COUNTA(C201:M201,O201:X201)=0,"",ROUND((IF(OR(R201&lt;&gt;"Yes",S201&gt;0),1,0)+IF(OR(T201&lt;&gt;"Yes",U201="Yes"),1,0)+IF(W201="Yes",1,0)+IF(X201="Approved",1,0))/4,2))</x:f>
      </x:c>
      <x:c r="Z201" s="15" t="str">
        <x:f>IF(COUNTA(C201:M201,O201:X201)=0,"",TEXTJOIN("; ",TRUE,IF(C201="","Missing work date",""),IF(D201="","Missing project",""),IF(F201="","Missing crew",""),IF(O201="","Missing labor hours",""),IF(P201="","Missing production qty",""),IF(AND(R201="Yes",OR(S201="",S201&lt;=0)),"Missing photo proof",""),IF(AND(T201="Yes",U201&lt;&gt;"Yes"),"Missing redline",""),IF(V201="Yes","Safety follow-up",""),IF(W201&lt;&gt;"Yes","Missing customer signoff",""),IF(X201&lt;&gt;"Approved","Office not approved",""),IF(N201&lt;=0,"Bad shift hours","")))</x:f>
      </x:c>
      <x:c r="AA201" s="15" t="str">
        <x:f>IF(COUNTA(C201:M201,O201:X201)=0,"",IF(Z201="","Yes","No"))</x:f>
      </x:c>
      <x:c r="AB201" s="15"/>
    </x:row>
    <x:row r="202" ht="20" customHeight="1">
      <x:c r="A202" s="15"/>
      <x:c r="B202" s="122"/>
      <x:c r="C202" s="28"/>
      <x:c r="D202" s="15"/>
      <x:c r="E202" s="15"/>
      <x:c r="F202" s="15"/>
      <x:c r="G202" s="15"/>
      <x:c r="H202" s="15"/>
      <x:c r="I202" s="15"/>
      <x:c r="J202" s="15"/>
      <x:c r="K202" s="15"/>
      <x:c r="L202" s="134"/>
      <x:c r="M202" s="134"/>
      <x:c r="N202" s="136" t="str">
        <x:f>IF(OR(L202="",M202=""),"",MAX(0,(M202-L202)*24))</x:f>
      </x:c>
      <x:c r="O202" s="136"/>
      <x:c r="P202" s="138"/>
      <x:c r="Q202" s="15"/>
      <x:c r="R202" s="15"/>
      <x:c r="S202" s="15"/>
      <x:c r="T202" s="15"/>
      <x:c r="U202" s="15"/>
      <x:c r="V202" s="15"/>
      <x:c r="W202" s="15"/>
      <x:c r="X202" s="15"/>
      <x:c r="Y202" s="140" t="str">
        <x:f>IF(COUNTA(C202:M202,O202:X202)=0,"",ROUND((IF(OR(R202&lt;&gt;"Yes",S202&gt;0),1,0)+IF(OR(T202&lt;&gt;"Yes",U202="Yes"),1,0)+IF(W202="Yes",1,0)+IF(X202="Approved",1,0))/4,2))</x:f>
      </x:c>
      <x:c r="Z202" s="15" t="str">
        <x:f>IF(COUNTA(C202:M202,O202:X202)=0,"",TEXTJOIN("; ",TRUE,IF(C202="","Missing work date",""),IF(D202="","Missing project",""),IF(F202="","Missing crew",""),IF(O202="","Missing labor hours",""),IF(P202="","Missing production qty",""),IF(AND(R202="Yes",OR(S202="",S202&lt;=0)),"Missing photo proof",""),IF(AND(T202="Yes",U202&lt;&gt;"Yes"),"Missing redline",""),IF(V202="Yes","Safety follow-up",""),IF(W202&lt;&gt;"Yes","Missing customer signoff",""),IF(X202&lt;&gt;"Approved","Office not approved",""),IF(N202&lt;=0,"Bad shift hours","")))</x:f>
      </x:c>
      <x:c r="AA202" s="15" t="str">
        <x:f>IF(COUNTA(C202:M202,O202:X202)=0,"",IF(Z202="","Yes","No"))</x:f>
      </x:c>
      <x:c r="AB202" s="15"/>
    </x:row>
    <x:row r="203" ht="20" customHeight="1">
      <x:c r="A203" s="15"/>
      <x:c r="B203" s="122"/>
      <x:c r="C203" s="28"/>
      <x:c r="D203" s="15"/>
      <x:c r="E203" s="15"/>
      <x:c r="F203" s="15"/>
      <x:c r="G203" s="15"/>
      <x:c r="H203" s="15"/>
      <x:c r="I203" s="15"/>
      <x:c r="J203" s="15"/>
      <x:c r="K203" s="15"/>
      <x:c r="L203" s="134"/>
      <x:c r="M203" s="134"/>
      <x:c r="N203" s="136" t="str">
        <x:f>IF(OR(L203="",M203=""),"",MAX(0,(M203-L203)*24))</x:f>
      </x:c>
      <x:c r="O203" s="136"/>
      <x:c r="P203" s="138"/>
      <x:c r="Q203" s="15"/>
      <x:c r="R203" s="15"/>
      <x:c r="S203" s="15"/>
      <x:c r="T203" s="15"/>
      <x:c r="U203" s="15"/>
      <x:c r="V203" s="15"/>
      <x:c r="W203" s="15"/>
      <x:c r="X203" s="15"/>
      <x:c r="Y203" s="140" t="str">
        <x:f>IF(COUNTA(C203:M203,O203:X203)=0,"",ROUND((IF(OR(R203&lt;&gt;"Yes",S203&gt;0),1,0)+IF(OR(T203&lt;&gt;"Yes",U203="Yes"),1,0)+IF(W203="Yes",1,0)+IF(X203="Approved",1,0))/4,2))</x:f>
      </x:c>
      <x:c r="Z203" s="15" t="str">
        <x:f>IF(COUNTA(C203:M203,O203:X203)=0,"",TEXTJOIN("; ",TRUE,IF(C203="","Missing work date",""),IF(D203="","Missing project",""),IF(F203="","Missing crew",""),IF(O203="","Missing labor hours",""),IF(P203="","Missing production qty",""),IF(AND(R203="Yes",OR(S203="",S203&lt;=0)),"Missing photo proof",""),IF(AND(T203="Yes",U203&lt;&gt;"Yes"),"Missing redline",""),IF(V203="Yes","Safety follow-up",""),IF(W203&lt;&gt;"Yes","Missing customer signoff",""),IF(X203&lt;&gt;"Approved","Office not approved",""),IF(N203&lt;=0,"Bad shift hours","")))</x:f>
      </x:c>
      <x:c r="AA203" s="15" t="str">
        <x:f>IF(COUNTA(C203:M203,O203:X203)=0,"",IF(Z203="","Yes","No"))</x:f>
      </x:c>
      <x:c r="AB203" s="15"/>
    </x:row>
    <x:row r="204" ht="20" customHeight="1">
      <x:c r="A204" s="15"/>
      <x:c r="B204" s="122"/>
      <x:c r="C204" s="28"/>
      <x:c r="D204" s="15"/>
      <x:c r="E204" s="15"/>
      <x:c r="F204" s="15"/>
      <x:c r="G204" s="15"/>
      <x:c r="H204" s="15"/>
      <x:c r="I204" s="15"/>
      <x:c r="J204" s="15"/>
      <x:c r="K204" s="15"/>
      <x:c r="L204" s="134"/>
      <x:c r="M204" s="134"/>
      <x:c r="N204" s="136" t="str">
        <x:f>IF(OR(L204="",M204=""),"",MAX(0,(M204-L204)*24))</x:f>
      </x:c>
      <x:c r="O204" s="136"/>
      <x:c r="P204" s="138"/>
      <x:c r="Q204" s="15"/>
      <x:c r="R204" s="15"/>
      <x:c r="S204" s="15"/>
      <x:c r="T204" s="15"/>
      <x:c r="U204" s="15"/>
      <x:c r="V204" s="15"/>
      <x:c r="W204" s="15"/>
      <x:c r="X204" s="15"/>
      <x:c r="Y204" s="140" t="str">
        <x:f>IF(COUNTA(C204:M204,O204:X204)=0,"",ROUND((IF(OR(R204&lt;&gt;"Yes",S204&gt;0),1,0)+IF(OR(T204&lt;&gt;"Yes",U204="Yes"),1,0)+IF(W204="Yes",1,0)+IF(X204="Approved",1,0))/4,2))</x:f>
      </x:c>
      <x:c r="Z204" s="15" t="str">
        <x:f>IF(COUNTA(C204:M204,O204:X204)=0,"",TEXTJOIN("; ",TRUE,IF(C204="","Missing work date",""),IF(D204="","Missing project",""),IF(F204="","Missing crew",""),IF(O204="","Missing labor hours",""),IF(P204="","Missing production qty",""),IF(AND(R204="Yes",OR(S204="",S204&lt;=0)),"Missing photo proof",""),IF(AND(T204="Yes",U204&lt;&gt;"Yes"),"Missing redline",""),IF(V204="Yes","Safety follow-up",""),IF(W204&lt;&gt;"Yes","Missing customer signoff",""),IF(X204&lt;&gt;"Approved","Office not approved",""),IF(N204&lt;=0,"Bad shift hours","")))</x:f>
      </x:c>
      <x:c r="AA204" s="15" t="str">
        <x:f>IF(COUNTA(C204:M204,O204:X204)=0,"",IF(Z204="","Yes","No"))</x:f>
      </x:c>
      <x:c r="AB204" s="15"/>
    </x:row>
    <x:row r="205" ht="20" customHeight="1">
      <x:c r="A205" s="15"/>
      <x:c r="B205" s="122"/>
      <x:c r="C205" s="28"/>
      <x:c r="D205" s="15"/>
      <x:c r="E205" s="15"/>
      <x:c r="F205" s="15"/>
      <x:c r="G205" s="15"/>
      <x:c r="H205" s="15"/>
      <x:c r="I205" s="15"/>
      <x:c r="J205" s="15"/>
      <x:c r="K205" s="15"/>
      <x:c r="L205" s="134"/>
      <x:c r="M205" s="134"/>
      <x:c r="N205" s="136" t="str">
        <x:f>IF(OR(L205="",M205=""),"",MAX(0,(M205-L205)*24))</x:f>
      </x:c>
      <x:c r="O205" s="136"/>
      <x:c r="P205" s="138"/>
      <x:c r="Q205" s="15"/>
      <x:c r="R205" s="15"/>
      <x:c r="S205" s="15"/>
      <x:c r="T205" s="15"/>
      <x:c r="U205" s="15"/>
      <x:c r="V205" s="15"/>
      <x:c r="W205" s="15"/>
      <x:c r="X205" s="15"/>
      <x:c r="Y205" s="140" t="str">
        <x:f>IF(COUNTA(C205:M205,O205:X205)=0,"",ROUND((IF(OR(R205&lt;&gt;"Yes",S205&gt;0),1,0)+IF(OR(T205&lt;&gt;"Yes",U205="Yes"),1,0)+IF(W205="Yes",1,0)+IF(X205="Approved",1,0))/4,2))</x:f>
      </x:c>
      <x:c r="Z205" s="15" t="str">
        <x:f>IF(COUNTA(C205:M205,O205:X205)=0,"",TEXTJOIN("; ",TRUE,IF(C205="","Missing work date",""),IF(D205="","Missing project",""),IF(F205="","Missing crew",""),IF(O205="","Missing labor hours",""),IF(P205="","Missing production qty",""),IF(AND(R205="Yes",OR(S205="",S205&lt;=0)),"Missing photo proof",""),IF(AND(T205="Yes",U205&lt;&gt;"Yes"),"Missing redline",""),IF(V205="Yes","Safety follow-up",""),IF(W205&lt;&gt;"Yes","Missing customer signoff",""),IF(X205&lt;&gt;"Approved","Office not approved",""),IF(N205&lt;=0,"Bad shift hours","")))</x:f>
      </x:c>
      <x:c r="AA205" s="15" t="str">
        <x:f>IF(COUNTA(C205:M205,O205:X205)=0,"",IF(Z205="","Yes","No"))</x:f>
      </x:c>
      <x:c r="AB205" s="15"/>
    </x:row>
    <x:row r="206" ht="20" customHeight="1">
      <x:c r="A206" s="15"/>
      <x:c r="B206" s="122"/>
      <x:c r="C206" s="28"/>
      <x:c r="D206" s="15"/>
      <x:c r="E206" s="15"/>
      <x:c r="F206" s="15"/>
      <x:c r="G206" s="15"/>
      <x:c r="H206" s="15"/>
      <x:c r="I206" s="15"/>
      <x:c r="J206" s="15"/>
      <x:c r="K206" s="15"/>
      <x:c r="L206" s="134"/>
      <x:c r="M206" s="134"/>
      <x:c r="N206" s="136" t="str">
        <x:f>IF(OR(L206="",M206=""),"",MAX(0,(M206-L206)*24))</x:f>
      </x:c>
      <x:c r="O206" s="136"/>
      <x:c r="P206" s="138"/>
      <x:c r="Q206" s="15"/>
      <x:c r="R206" s="15"/>
      <x:c r="S206" s="15"/>
      <x:c r="T206" s="15"/>
      <x:c r="U206" s="15"/>
      <x:c r="V206" s="15"/>
      <x:c r="W206" s="15"/>
      <x:c r="X206" s="15"/>
      <x:c r="Y206" s="140" t="str">
        <x:f>IF(COUNTA(C206:M206,O206:X206)=0,"",ROUND((IF(OR(R206&lt;&gt;"Yes",S206&gt;0),1,0)+IF(OR(T206&lt;&gt;"Yes",U206="Yes"),1,0)+IF(W206="Yes",1,0)+IF(X206="Approved",1,0))/4,2))</x:f>
      </x:c>
      <x:c r="Z206" s="15" t="str">
        <x:f>IF(COUNTA(C206:M206,O206:X206)=0,"",TEXTJOIN("; ",TRUE,IF(C206="","Missing work date",""),IF(D206="","Missing project",""),IF(F206="","Missing crew",""),IF(O206="","Missing labor hours",""),IF(P206="","Missing production qty",""),IF(AND(R206="Yes",OR(S206="",S206&lt;=0)),"Missing photo proof",""),IF(AND(T206="Yes",U206&lt;&gt;"Yes"),"Missing redline",""),IF(V206="Yes","Safety follow-up",""),IF(W206&lt;&gt;"Yes","Missing customer signoff",""),IF(X206&lt;&gt;"Approved","Office not approved",""),IF(N206&lt;=0,"Bad shift hours","")))</x:f>
      </x:c>
      <x:c r="AA206" s="15" t="str">
        <x:f>IF(COUNTA(C206:M206,O206:X206)=0,"",IF(Z206="","Yes","No"))</x:f>
      </x:c>
      <x:c r="AB206" s="15"/>
    </x:row>
    <x:row r="207" ht="20" customHeight="1">
      <x:c r="A207" s="15"/>
      <x:c r="B207" s="122"/>
      <x:c r="C207" s="28"/>
      <x:c r="D207" s="15"/>
      <x:c r="E207" s="15"/>
      <x:c r="F207" s="15"/>
      <x:c r="G207" s="15"/>
      <x:c r="H207" s="15"/>
      <x:c r="I207" s="15"/>
      <x:c r="J207" s="15"/>
      <x:c r="K207" s="15"/>
      <x:c r="L207" s="134"/>
      <x:c r="M207" s="134"/>
      <x:c r="N207" s="136" t="str">
        <x:f>IF(OR(L207="",M207=""),"",MAX(0,(M207-L207)*24))</x:f>
      </x:c>
      <x:c r="O207" s="136"/>
      <x:c r="P207" s="138"/>
      <x:c r="Q207" s="15"/>
      <x:c r="R207" s="15"/>
      <x:c r="S207" s="15"/>
      <x:c r="T207" s="15"/>
      <x:c r="U207" s="15"/>
      <x:c r="V207" s="15"/>
      <x:c r="W207" s="15"/>
      <x:c r="X207" s="15"/>
      <x:c r="Y207" s="140" t="str">
        <x:f>IF(COUNTA(C207:M207,O207:X207)=0,"",ROUND((IF(OR(R207&lt;&gt;"Yes",S207&gt;0),1,0)+IF(OR(T207&lt;&gt;"Yes",U207="Yes"),1,0)+IF(W207="Yes",1,0)+IF(X207="Approved",1,0))/4,2))</x:f>
      </x:c>
      <x:c r="Z207" s="15" t="str">
        <x:f>IF(COUNTA(C207:M207,O207:X207)=0,"",TEXTJOIN("; ",TRUE,IF(C207="","Missing work date",""),IF(D207="","Missing project",""),IF(F207="","Missing crew",""),IF(O207="","Missing labor hours",""),IF(P207="","Missing production qty",""),IF(AND(R207="Yes",OR(S207="",S207&lt;=0)),"Missing photo proof",""),IF(AND(T207="Yes",U207&lt;&gt;"Yes"),"Missing redline",""),IF(V207="Yes","Safety follow-up",""),IF(W207&lt;&gt;"Yes","Missing customer signoff",""),IF(X207&lt;&gt;"Approved","Office not approved",""),IF(N207&lt;=0,"Bad shift hours","")))</x:f>
      </x:c>
      <x:c r="AA207" s="15" t="str">
        <x:f>IF(COUNTA(C207:M207,O207:X207)=0,"",IF(Z207="","Yes","No"))</x:f>
      </x:c>
      <x:c r="AB207" s="15"/>
    </x:row>
    <x:row r="208" ht="20" customHeight="1">
      <x:c r="A208" s="15"/>
      <x:c r="B208" s="122"/>
      <x:c r="C208" s="28"/>
      <x:c r="D208" s="15"/>
      <x:c r="E208" s="15"/>
      <x:c r="F208" s="15"/>
      <x:c r="G208" s="15"/>
      <x:c r="H208" s="15"/>
      <x:c r="I208" s="15"/>
      <x:c r="J208" s="15"/>
      <x:c r="K208" s="15"/>
      <x:c r="L208" s="134"/>
      <x:c r="M208" s="134"/>
      <x:c r="N208" s="136" t="str">
        <x:f>IF(OR(L208="",M208=""),"",MAX(0,(M208-L208)*24))</x:f>
      </x:c>
      <x:c r="O208" s="136"/>
      <x:c r="P208" s="138"/>
      <x:c r="Q208" s="15"/>
      <x:c r="R208" s="15"/>
      <x:c r="S208" s="15"/>
      <x:c r="T208" s="15"/>
      <x:c r="U208" s="15"/>
      <x:c r="V208" s="15"/>
      <x:c r="W208" s="15"/>
      <x:c r="X208" s="15"/>
      <x:c r="Y208" s="140" t="str">
        <x:f>IF(COUNTA(C208:M208,O208:X208)=0,"",ROUND((IF(OR(R208&lt;&gt;"Yes",S208&gt;0),1,0)+IF(OR(T208&lt;&gt;"Yes",U208="Yes"),1,0)+IF(W208="Yes",1,0)+IF(X208="Approved",1,0))/4,2))</x:f>
      </x:c>
      <x:c r="Z208" s="15" t="str">
        <x:f>IF(COUNTA(C208:M208,O208:X208)=0,"",TEXTJOIN("; ",TRUE,IF(C208="","Missing work date",""),IF(D208="","Missing project",""),IF(F208="","Missing crew",""),IF(O208="","Missing labor hours",""),IF(P208="","Missing production qty",""),IF(AND(R208="Yes",OR(S208="",S208&lt;=0)),"Missing photo proof",""),IF(AND(T208="Yes",U208&lt;&gt;"Yes"),"Missing redline",""),IF(V208="Yes","Safety follow-up",""),IF(W208&lt;&gt;"Yes","Missing customer signoff",""),IF(X208&lt;&gt;"Approved","Office not approved",""),IF(N208&lt;=0,"Bad shift hours","")))</x:f>
      </x:c>
      <x:c r="AA208" s="15" t="str">
        <x:f>IF(COUNTA(C208:M208,O208:X208)=0,"",IF(Z208="","Yes","No"))</x:f>
      </x:c>
      <x:c r="AB208" s="15"/>
    </x:row>
    <x:row r="209" ht="20" customHeight="1">
      <x:c r="A209" s="15"/>
      <x:c r="B209" s="122"/>
      <x:c r="C209" s="28"/>
      <x:c r="D209" s="15"/>
      <x:c r="E209" s="15"/>
      <x:c r="F209" s="15"/>
      <x:c r="G209" s="15"/>
      <x:c r="H209" s="15"/>
      <x:c r="I209" s="15"/>
      <x:c r="J209" s="15"/>
      <x:c r="K209" s="15"/>
      <x:c r="L209" s="134"/>
      <x:c r="M209" s="134"/>
      <x:c r="N209" s="136" t="str">
        <x:f>IF(OR(L209="",M209=""),"",MAX(0,(M209-L209)*24))</x:f>
      </x:c>
      <x:c r="O209" s="136"/>
      <x:c r="P209" s="138"/>
      <x:c r="Q209" s="15"/>
      <x:c r="R209" s="15"/>
      <x:c r="S209" s="15"/>
      <x:c r="T209" s="15"/>
      <x:c r="U209" s="15"/>
      <x:c r="V209" s="15"/>
      <x:c r="W209" s="15"/>
      <x:c r="X209" s="15"/>
      <x:c r="Y209" s="140" t="str">
        <x:f>IF(COUNTA(C209:M209,O209:X209)=0,"",ROUND((IF(OR(R209&lt;&gt;"Yes",S209&gt;0),1,0)+IF(OR(T209&lt;&gt;"Yes",U209="Yes"),1,0)+IF(W209="Yes",1,0)+IF(X209="Approved",1,0))/4,2))</x:f>
      </x:c>
      <x:c r="Z209" s="15" t="str">
        <x:f>IF(COUNTA(C209:M209,O209:X209)=0,"",TEXTJOIN("; ",TRUE,IF(C209="","Missing work date",""),IF(D209="","Missing project",""),IF(F209="","Missing crew",""),IF(O209="","Missing labor hours",""),IF(P209="","Missing production qty",""),IF(AND(R209="Yes",OR(S209="",S209&lt;=0)),"Missing photo proof",""),IF(AND(T209="Yes",U209&lt;&gt;"Yes"),"Missing redline",""),IF(V209="Yes","Safety follow-up",""),IF(W209&lt;&gt;"Yes","Missing customer signoff",""),IF(X209&lt;&gt;"Approved","Office not approved",""),IF(N209&lt;=0,"Bad shift hours","")))</x:f>
      </x:c>
      <x:c r="AA209" s="15" t="str">
        <x:f>IF(COUNTA(C209:M209,O209:X209)=0,"",IF(Z209="","Yes","No"))</x:f>
      </x:c>
      <x:c r="AB209" s="15"/>
    </x:row>
    <x:row r="210" ht="20" customHeight="1">
      <x:c r="A210" s="15"/>
      <x:c r="B210" s="122"/>
      <x:c r="C210" s="28"/>
      <x:c r="D210" s="15"/>
      <x:c r="E210" s="15"/>
      <x:c r="F210" s="15"/>
      <x:c r="G210" s="15"/>
      <x:c r="H210" s="15"/>
      <x:c r="I210" s="15"/>
      <x:c r="J210" s="15"/>
      <x:c r="K210" s="15"/>
      <x:c r="L210" s="134"/>
      <x:c r="M210" s="134"/>
      <x:c r="N210" s="136" t="str">
        <x:f>IF(OR(L210="",M210=""),"",MAX(0,(M210-L210)*24))</x:f>
      </x:c>
      <x:c r="O210" s="136"/>
      <x:c r="P210" s="138"/>
      <x:c r="Q210" s="15"/>
      <x:c r="R210" s="15"/>
      <x:c r="S210" s="15"/>
      <x:c r="T210" s="15"/>
      <x:c r="U210" s="15"/>
      <x:c r="V210" s="15"/>
      <x:c r="W210" s="15"/>
      <x:c r="X210" s="15"/>
      <x:c r="Y210" s="140" t="str">
        <x:f>IF(COUNTA(C210:M210,O210:X210)=0,"",ROUND((IF(OR(R210&lt;&gt;"Yes",S210&gt;0),1,0)+IF(OR(T210&lt;&gt;"Yes",U210="Yes"),1,0)+IF(W210="Yes",1,0)+IF(X210="Approved",1,0))/4,2))</x:f>
      </x:c>
      <x:c r="Z210" s="15" t="str">
        <x:f>IF(COUNTA(C210:M210,O210:X210)=0,"",TEXTJOIN("; ",TRUE,IF(C210="","Missing work date",""),IF(D210="","Missing project",""),IF(F210="","Missing crew",""),IF(O210="","Missing labor hours",""),IF(P210="","Missing production qty",""),IF(AND(R210="Yes",OR(S210="",S210&lt;=0)),"Missing photo proof",""),IF(AND(T210="Yes",U210&lt;&gt;"Yes"),"Missing redline",""),IF(V210="Yes","Safety follow-up",""),IF(W210&lt;&gt;"Yes","Missing customer signoff",""),IF(X210&lt;&gt;"Approved","Office not approved",""),IF(N210&lt;=0,"Bad shift hours","")))</x:f>
      </x:c>
      <x:c r="AA210" s="15" t="str">
        <x:f>IF(COUNTA(C210:M210,O210:X210)=0,"",IF(Z210="","Yes","No"))</x:f>
      </x:c>
      <x:c r="AB210" s="15"/>
    </x:row>
    <x:row r="211" ht="20" customHeight="1">
      <x:c r="A211" s="15"/>
      <x:c r="B211" s="122"/>
      <x:c r="C211" s="28"/>
      <x:c r="D211" s="15"/>
      <x:c r="E211" s="15"/>
      <x:c r="F211" s="15"/>
      <x:c r="G211" s="15"/>
      <x:c r="H211" s="15"/>
      <x:c r="I211" s="15"/>
      <x:c r="J211" s="15"/>
      <x:c r="K211" s="15"/>
      <x:c r="L211" s="134"/>
      <x:c r="M211" s="134"/>
      <x:c r="N211" s="136" t="str">
        <x:f>IF(OR(L211="",M211=""),"",MAX(0,(M211-L211)*24))</x:f>
      </x:c>
      <x:c r="O211" s="136"/>
      <x:c r="P211" s="138"/>
      <x:c r="Q211" s="15"/>
      <x:c r="R211" s="15"/>
      <x:c r="S211" s="15"/>
      <x:c r="T211" s="15"/>
      <x:c r="U211" s="15"/>
      <x:c r="V211" s="15"/>
      <x:c r="W211" s="15"/>
      <x:c r="X211" s="15"/>
      <x:c r="Y211" s="140" t="str">
        <x:f>IF(COUNTA(C211:M211,O211:X211)=0,"",ROUND((IF(OR(R211&lt;&gt;"Yes",S211&gt;0),1,0)+IF(OR(T211&lt;&gt;"Yes",U211="Yes"),1,0)+IF(W211="Yes",1,0)+IF(X211="Approved",1,0))/4,2))</x:f>
      </x:c>
      <x:c r="Z211" s="15" t="str">
        <x:f>IF(COUNTA(C211:M211,O211:X211)=0,"",TEXTJOIN("; ",TRUE,IF(C211="","Missing work date",""),IF(D211="","Missing project",""),IF(F211="","Missing crew",""),IF(O211="","Missing labor hours",""),IF(P211="","Missing production qty",""),IF(AND(R211="Yes",OR(S211="",S211&lt;=0)),"Missing photo proof",""),IF(AND(T211="Yes",U211&lt;&gt;"Yes"),"Missing redline",""),IF(V211="Yes","Safety follow-up",""),IF(W211&lt;&gt;"Yes","Missing customer signoff",""),IF(X211&lt;&gt;"Approved","Office not approved",""),IF(N211&lt;=0,"Bad shift hours","")))</x:f>
      </x:c>
      <x:c r="AA211" s="15" t="str">
        <x:f>IF(COUNTA(C211:M211,O211:X211)=0,"",IF(Z211="","Yes","No"))</x:f>
      </x:c>
      <x:c r="AB211" s="15"/>
    </x:row>
    <x:row r="212" ht="20" customHeight="1">
      <x:c r="A212" s="15"/>
      <x:c r="B212" s="122"/>
      <x:c r="C212" s="28"/>
      <x:c r="D212" s="15"/>
      <x:c r="E212" s="15"/>
      <x:c r="F212" s="15"/>
      <x:c r="G212" s="15"/>
      <x:c r="H212" s="15"/>
      <x:c r="I212" s="15"/>
      <x:c r="J212" s="15"/>
      <x:c r="K212" s="15"/>
      <x:c r="L212" s="134"/>
      <x:c r="M212" s="134"/>
      <x:c r="N212" s="136" t="str">
        <x:f>IF(OR(L212="",M212=""),"",MAX(0,(M212-L212)*24))</x:f>
      </x:c>
      <x:c r="O212" s="136"/>
      <x:c r="P212" s="138"/>
      <x:c r="Q212" s="15"/>
      <x:c r="R212" s="15"/>
      <x:c r="S212" s="15"/>
      <x:c r="T212" s="15"/>
      <x:c r="U212" s="15"/>
      <x:c r="V212" s="15"/>
      <x:c r="W212" s="15"/>
      <x:c r="X212" s="15"/>
      <x:c r="Y212" s="140" t="str">
        <x:f>IF(COUNTA(C212:M212,O212:X212)=0,"",ROUND((IF(OR(R212&lt;&gt;"Yes",S212&gt;0),1,0)+IF(OR(T212&lt;&gt;"Yes",U212="Yes"),1,0)+IF(W212="Yes",1,0)+IF(X212="Approved",1,0))/4,2))</x:f>
      </x:c>
      <x:c r="Z212" s="15" t="str">
        <x:f>IF(COUNTA(C212:M212,O212:X212)=0,"",TEXTJOIN("; ",TRUE,IF(C212="","Missing work date",""),IF(D212="","Missing project",""),IF(F212="","Missing crew",""),IF(O212="","Missing labor hours",""),IF(P212="","Missing production qty",""),IF(AND(R212="Yes",OR(S212="",S212&lt;=0)),"Missing photo proof",""),IF(AND(T212="Yes",U212&lt;&gt;"Yes"),"Missing redline",""),IF(V212="Yes","Safety follow-up",""),IF(W212&lt;&gt;"Yes","Missing customer signoff",""),IF(X212&lt;&gt;"Approved","Office not approved",""),IF(N212&lt;=0,"Bad shift hours","")))</x:f>
      </x:c>
      <x:c r="AA212" s="15" t="str">
        <x:f>IF(COUNTA(C212:M212,O212:X212)=0,"",IF(Z212="","Yes","No"))</x:f>
      </x:c>
      <x:c r="AB212" s="15"/>
    </x:row>
    <x:row r="213" ht="20" customHeight="1">
      <x:c r="A213" s="15"/>
      <x:c r="B213" s="122"/>
      <x:c r="C213" s="28"/>
      <x:c r="D213" s="15"/>
      <x:c r="E213" s="15"/>
      <x:c r="F213" s="15"/>
      <x:c r="G213" s="15"/>
      <x:c r="H213" s="15"/>
      <x:c r="I213" s="15"/>
      <x:c r="J213" s="15"/>
      <x:c r="K213" s="15"/>
      <x:c r="L213" s="134"/>
      <x:c r="M213" s="134"/>
      <x:c r="N213" s="136" t="str">
        <x:f>IF(OR(L213="",M213=""),"",MAX(0,(M213-L213)*24))</x:f>
      </x:c>
      <x:c r="O213" s="136"/>
      <x:c r="P213" s="138"/>
      <x:c r="Q213" s="15"/>
      <x:c r="R213" s="15"/>
      <x:c r="S213" s="15"/>
      <x:c r="T213" s="15"/>
      <x:c r="U213" s="15"/>
      <x:c r="V213" s="15"/>
      <x:c r="W213" s="15"/>
      <x:c r="X213" s="15"/>
      <x:c r="Y213" s="140" t="str">
        <x:f>IF(COUNTA(C213:M213,O213:X213)=0,"",ROUND((IF(OR(R213&lt;&gt;"Yes",S213&gt;0),1,0)+IF(OR(T213&lt;&gt;"Yes",U213="Yes"),1,0)+IF(W213="Yes",1,0)+IF(X213="Approved",1,0))/4,2))</x:f>
      </x:c>
      <x:c r="Z213" s="15" t="str">
        <x:f>IF(COUNTA(C213:M213,O213:X213)=0,"",TEXTJOIN("; ",TRUE,IF(C213="","Missing work date",""),IF(D213="","Missing project",""),IF(F213="","Missing crew",""),IF(O213="","Missing labor hours",""),IF(P213="","Missing production qty",""),IF(AND(R213="Yes",OR(S213="",S213&lt;=0)),"Missing photo proof",""),IF(AND(T213="Yes",U213&lt;&gt;"Yes"),"Missing redline",""),IF(V213="Yes","Safety follow-up",""),IF(W213&lt;&gt;"Yes","Missing customer signoff",""),IF(X213&lt;&gt;"Approved","Office not approved",""),IF(N213&lt;=0,"Bad shift hours","")))</x:f>
      </x:c>
      <x:c r="AA213" s="15" t="str">
        <x:f>IF(COUNTA(C213:M213,O213:X213)=0,"",IF(Z213="","Yes","No"))</x:f>
      </x:c>
      <x:c r="AB213" s="15"/>
    </x:row>
    <x:row r="214" ht="20" customHeight="1">
      <x:c r="A214" s="15"/>
      <x:c r="B214" s="122"/>
      <x:c r="C214" s="28"/>
      <x:c r="D214" s="15"/>
      <x:c r="E214" s="15"/>
      <x:c r="F214" s="15"/>
      <x:c r="G214" s="15"/>
      <x:c r="H214" s="15"/>
      <x:c r="I214" s="15"/>
      <x:c r="J214" s="15"/>
      <x:c r="K214" s="15"/>
      <x:c r="L214" s="134"/>
      <x:c r="M214" s="134"/>
      <x:c r="N214" s="136" t="str">
        <x:f>IF(OR(L214="",M214=""),"",MAX(0,(M214-L214)*24))</x:f>
      </x:c>
      <x:c r="O214" s="136"/>
      <x:c r="P214" s="138"/>
      <x:c r="Q214" s="15"/>
      <x:c r="R214" s="15"/>
      <x:c r="S214" s="15"/>
      <x:c r="T214" s="15"/>
      <x:c r="U214" s="15"/>
      <x:c r="V214" s="15"/>
      <x:c r="W214" s="15"/>
      <x:c r="X214" s="15"/>
      <x:c r="Y214" s="140" t="str">
        <x:f>IF(COUNTA(C214:M214,O214:X214)=0,"",ROUND((IF(OR(R214&lt;&gt;"Yes",S214&gt;0),1,0)+IF(OR(T214&lt;&gt;"Yes",U214="Yes"),1,0)+IF(W214="Yes",1,0)+IF(X214="Approved",1,0))/4,2))</x:f>
      </x:c>
      <x:c r="Z214" s="15" t="str">
        <x:f>IF(COUNTA(C214:M214,O214:X214)=0,"",TEXTJOIN("; ",TRUE,IF(C214="","Missing work date",""),IF(D214="","Missing project",""),IF(F214="","Missing crew",""),IF(O214="","Missing labor hours",""),IF(P214="","Missing production qty",""),IF(AND(R214="Yes",OR(S214="",S214&lt;=0)),"Missing photo proof",""),IF(AND(T214="Yes",U214&lt;&gt;"Yes"),"Missing redline",""),IF(V214="Yes","Safety follow-up",""),IF(W214&lt;&gt;"Yes","Missing customer signoff",""),IF(X214&lt;&gt;"Approved","Office not approved",""),IF(N214&lt;=0,"Bad shift hours","")))</x:f>
      </x:c>
      <x:c r="AA214" s="15" t="str">
        <x:f>IF(COUNTA(C214:M214,O214:X214)=0,"",IF(Z214="","Yes","No"))</x:f>
      </x:c>
      <x:c r="AB214" s="15"/>
    </x:row>
    <x:row r="215" ht="20" customHeight="1">
      <x:c r="A215" s="15"/>
      <x:c r="B215" s="122"/>
      <x:c r="C215" s="28"/>
      <x:c r="D215" s="15"/>
      <x:c r="E215" s="15"/>
      <x:c r="F215" s="15"/>
      <x:c r="G215" s="15"/>
      <x:c r="H215" s="15"/>
      <x:c r="I215" s="15"/>
      <x:c r="J215" s="15"/>
      <x:c r="K215" s="15"/>
      <x:c r="L215" s="134"/>
      <x:c r="M215" s="134"/>
      <x:c r="N215" s="136" t="str">
        <x:f>IF(OR(L215="",M215=""),"",MAX(0,(M215-L215)*24))</x:f>
      </x:c>
      <x:c r="O215" s="136"/>
      <x:c r="P215" s="138"/>
      <x:c r="Q215" s="15"/>
      <x:c r="R215" s="15"/>
      <x:c r="S215" s="15"/>
      <x:c r="T215" s="15"/>
      <x:c r="U215" s="15"/>
      <x:c r="V215" s="15"/>
      <x:c r="W215" s="15"/>
      <x:c r="X215" s="15"/>
      <x:c r="Y215" s="140" t="str">
        <x:f>IF(COUNTA(C215:M215,O215:X215)=0,"",ROUND((IF(OR(R215&lt;&gt;"Yes",S215&gt;0),1,0)+IF(OR(T215&lt;&gt;"Yes",U215="Yes"),1,0)+IF(W215="Yes",1,0)+IF(X215="Approved",1,0))/4,2))</x:f>
      </x:c>
      <x:c r="Z215" s="15" t="str">
        <x:f>IF(COUNTA(C215:M215,O215:X215)=0,"",TEXTJOIN("; ",TRUE,IF(C215="","Missing work date",""),IF(D215="","Missing project",""),IF(F215="","Missing crew",""),IF(O215="","Missing labor hours",""),IF(P215="","Missing production qty",""),IF(AND(R215="Yes",OR(S215="",S215&lt;=0)),"Missing photo proof",""),IF(AND(T215="Yes",U215&lt;&gt;"Yes"),"Missing redline",""),IF(V215="Yes","Safety follow-up",""),IF(W215&lt;&gt;"Yes","Missing customer signoff",""),IF(X215&lt;&gt;"Approved","Office not approved",""),IF(N215&lt;=0,"Bad shift hours","")))</x:f>
      </x:c>
      <x:c r="AA215" s="15" t="str">
        <x:f>IF(COUNTA(C215:M215,O215:X215)=0,"",IF(Z215="","Yes","No"))</x:f>
      </x:c>
      <x:c r="AB215" s="15"/>
    </x:row>
    <x:row r="216" ht="20" customHeight="1">
      <x:c r="A216" s="15"/>
      <x:c r="B216" s="122"/>
      <x:c r="C216" s="28"/>
      <x:c r="D216" s="15"/>
      <x:c r="E216" s="15"/>
      <x:c r="F216" s="15"/>
      <x:c r="G216" s="15"/>
      <x:c r="H216" s="15"/>
      <x:c r="I216" s="15"/>
      <x:c r="J216" s="15"/>
      <x:c r="K216" s="15"/>
      <x:c r="L216" s="134"/>
      <x:c r="M216" s="134"/>
      <x:c r="N216" s="136" t="str">
        <x:f>IF(OR(L216="",M216=""),"",MAX(0,(M216-L216)*24))</x:f>
      </x:c>
      <x:c r="O216" s="136"/>
      <x:c r="P216" s="138"/>
      <x:c r="Q216" s="15"/>
      <x:c r="R216" s="15"/>
      <x:c r="S216" s="15"/>
      <x:c r="T216" s="15"/>
      <x:c r="U216" s="15"/>
      <x:c r="V216" s="15"/>
      <x:c r="W216" s="15"/>
      <x:c r="X216" s="15"/>
      <x:c r="Y216" s="140" t="str">
        <x:f>IF(COUNTA(C216:M216,O216:X216)=0,"",ROUND((IF(OR(R216&lt;&gt;"Yes",S216&gt;0),1,0)+IF(OR(T216&lt;&gt;"Yes",U216="Yes"),1,0)+IF(W216="Yes",1,0)+IF(X216="Approved",1,0))/4,2))</x:f>
      </x:c>
      <x:c r="Z216" s="15" t="str">
        <x:f>IF(COUNTA(C216:M216,O216:X216)=0,"",TEXTJOIN("; ",TRUE,IF(C216="","Missing work date",""),IF(D216="","Missing project",""),IF(F216="","Missing crew",""),IF(O216="","Missing labor hours",""),IF(P216="","Missing production qty",""),IF(AND(R216="Yes",OR(S216="",S216&lt;=0)),"Missing photo proof",""),IF(AND(T216="Yes",U216&lt;&gt;"Yes"),"Missing redline",""),IF(V216="Yes","Safety follow-up",""),IF(W216&lt;&gt;"Yes","Missing customer signoff",""),IF(X216&lt;&gt;"Approved","Office not approved",""),IF(N216&lt;=0,"Bad shift hours","")))</x:f>
      </x:c>
      <x:c r="AA216" s="15" t="str">
        <x:f>IF(COUNTA(C216:M216,O216:X216)=0,"",IF(Z216="","Yes","No"))</x:f>
      </x:c>
      <x:c r="AB216" s="15"/>
    </x:row>
    <x:row r="217" ht="20" customHeight="1">
      <x:c r="A217" s="15"/>
      <x:c r="B217" s="122"/>
      <x:c r="C217" s="28"/>
      <x:c r="D217" s="15"/>
      <x:c r="E217" s="15"/>
      <x:c r="F217" s="15"/>
      <x:c r="G217" s="15"/>
      <x:c r="H217" s="15"/>
      <x:c r="I217" s="15"/>
      <x:c r="J217" s="15"/>
      <x:c r="K217" s="15"/>
      <x:c r="L217" s="134"/>
      <x:c r="M217" s="134"/>
      <x:c r="N217" s="136" t="str">
        <x:f>IF(OR(L217="",M217=""),"",MAX(0,(M217-L217)*24))</x:f>
      </x:c>
      <x:c r="O217" s="136"/>
      <x:c r="P217" s="138"/>
      <x:c r="Q217" s="15"/>
      <x:c r="R217" s="15"/>
      <x:c r="S217" s="15"/>
      <x:c r="T217" s="15"/>
      <x:c r="U217" s="15"/>
      <x:c r="V217" s="15"/>
      <x:c r="W217" s="15"/>
      <x:c r="X217" s="15"/>
      <x:c r="Y217" s="140" t="str">
        <x:f>IF(COUNTA(C217:M217,O217:X217)=0,"",ROUND((IF(OR(R217&lt;&gt;"Yes",S217&gt;0),1,0)+IF(OR(T217&lt;&gt;"Yes",U217="Yes"),1,0)+IF(W217="Yes",1,0)+IF(X217="Approved",1,0))/4,2))</x:f>
      </x:c>
      <x:c r="Z217" s="15" t="str">
        <x:f>IF(COUNTA(C217:M217,O217:X217)=0,"",TEXTJOIN("; ",TRUE,IF(C217="","Missing work date",""),IF(D217="","Missing project",""),IF(F217="","Missing crew",""),IF(O217="","Missing labor hours",""),IF(P217="","Missing production qty",""),IF(AND(R217="Yes",OR(S217="",S217&lt;=0)),"Missing photo proof",""),IF(AND(T217="Yes",U217&lt;&gt;"Yes"),"Missing redline",""),IF(V217="Yes","Safety follow-up",""),IF(W217&lt;&gt;"Yes","Missing customer signoff",""),IF(X217&lt;&gt;"Approved","Office not approved",""),IF(N217&lt;=0,"Bad shift hours","")))</x:f>
      </x:c>
      <x:c r="AA217" s="15" t="str">
        <x:f>IF(COUNTA(C217:M217,O217:X217)=0,"",IF(Z217="","Yes","No"))</x:f>
      </x:c>
      <x:c r="AB217" s="15"/>
    </x:row>
    <x:row r="218" ht="20" customHeight="1">
      <x:c r="A218" s="15"/>
      <x:c r="B218" s="122"/>
      <x:c r="C218" s="28"/>
      <x:c r="D218" s="15"/>
      <x:c r="E218" s="15"/>
      <x:c r="F218" s="15"/>
      <x:c r="G218" s="15"/>
      <x:c r="H218" s="15"/>
      <x:c r="I218" s="15"/>
      <x:c r="J218" s="15"/>
      <x:c r="K218" s="15"/>
      <x:c r="L218" s="134"/>
      <x:c r="M218" s="134"/>
      <x:c r="N218" s="136" t="str">
        <x:f>IF(OR(L218="",M218=""),"",MAX(0,(M218-L218)*24))</x:f>
      </x:c>
      <x:c r="O218" s="136"/>
      <x:c r="P218" s="138"/>
      <x:c r="Q218" s="15"/>
      <x:c r="R218" s="15"/>
      <x:c r="S218" s="15"/>
      <x:c r="T218" s="15"/>
      <x:c r="U218" s="15"/>
      <x:c r="V218" s="15"/>
      <x:c r="W218" s="15"/>
      <x:c r="X218" s="15"/>
      <x:c r="Y218" s="140" t="str">
        <x:f>IF(COUNTA(C218:M218,O218:X218)=0,"",ROUND((IF(OR(R218&lt;&gt;"Yes",S218&gt;0),1,0)+IF(OR(T218&lt;&gt;"Yes",U218="Yes"),1,0)+IF(W218="Yes",1,0)+IF(X218="Approved",1,0))/4,2))</x:f>
      </x:c>
      <x:c r="Z218" s="15" t="str">
        <x:f>IF(COUNTA(C218:M218,O218:X218)=0,"",TEXTJOIN("; ",TRUE,IF(C218="","Missing work date",""),IF(D218="","Missing project",""),IF(F218="","Missing crew",""),IF(O218="","Missing labor hours",""),IF(P218="","Missing production qty",""),IF(AND(R218="Yes",OR(S218="",S218&lt;=0)),"Missing photo proof",""),IF(AND(T218="Yes",U218&lt;&gt;"Yes"),"Missing redline",""),IF(V218="Yes","Safety follow-up",""),IF(W218&lt;&gt;"Yes","Missing customer signoff",""),IF(X218&lt;&gt;"Approved","Office not approved",""),IF(N218&lt;=0,"Bad shift hours","")))</x:f>
      </x:c>
      <x:c r="AA218" s="15" t="str">
        <x:f>IF(COUNTA(C218:M218,O218:X218)=0,"",IF(Z218="","Yes","No"))</x:f>
      </x:c>
      <x:c r="AB218" s="15"/>
    </x:row>
    <x:row r="219" ht="20" customHeight="1">
      <x:c r="A219" s="15"/>
      <x:c r="B219" s="122"/>
      <x:c r="C219" s="28"/>
      <x:c r="D219" s="15"/>
      <x:c r="E219" s="15"/>
      <x:c r="F219" s="15"/>
      <x:c r="G219" s="15"/>
      <x:c r="H219" s="15"/>
      <x:c r="I219" s="15"/>
      <x:c r="J219" s="15"/>
      <x:c r="K219" s="15"/>
      <x:c r="L219" s="134"/>
      <x:c r="M219" s="134"/>
      <x:c r="N219" s="136" t="str">
        <x:f>IF(OR(L219="",M219=""),"",MAX(0,(M219-L219)*24))</x:f>
      </x:c>
      <x:c r="O219" s="136"/>
      <x:c r="P219" s="138"/>
      <x:c r="Q219" s="15"/>
      <x:c r="R219" s="15"/>
      <x:c r="S219" s="15"/>
      <x:c r="T219" s="15"/>
      <x:c r="U219" s="15"/>
      <x:c r="V219" s="15"/>
      <x:c r="W219" s="15"/>
      <x:c r="X219" s="15"/>
      <x:c r="Y219" s="140" t="str">
        <x:f>IF(COUNTA(C219:M219,O219:X219)=0,"",ROUND((IF(OR(R219&lt;&gt;"Yes",S219&gt;0),1,0)+IF(OR(T219&lt;&gt;"Yes",U219="Yes"),1,0)+IF(W219="Yes",1,0)+IF(X219="Approved",1,0))/4,2))</x:f>
      </x:c>
      <x:c r="Z219" s="15" t="str">
        <x:f>IF(COUNTA(C219:M219,O219:X219)=0,"",TEXTJOIN("; ",TRUE,IF(C219="","Missing work date",""),IF(D219="","Missing project",""),IF(F219="","Missing crew",""),IF(O219="","Missing labor hours",""),IF(P219="","Missing production qty",""),IF(AND(R219="Yes",OR(S219="",S219&lt;=0)),"Missing photo proof",""),IF(AND(T219="Yes",U219&lt;&gt;"Yes"),"Missing redline",""),IF(V219="Yes","Safety follow-up",""),IF(W219&lt;&gt;"Yes","Missing customer signoff",""),IF(X219&lt;&gt;"Approved","Office not approved",""),IF(N219&lt;=0,"Bad shift hours","")))</x:f>
      </x:c>
      <x:c r="AA219" s="15" t="str">
        <x:f>IF(COUNTA(C219:M219,O219:X219)=0,"",IF(Z219="","Yes","No"))</x:f>
      </x:c>
      <x:c r="AB219" s="15"/>
    </x:row>
    <x:row r="220" ht="20" customHeight="1">
      <x:c r="A220" s="15"/>
      <x:c r="B220" s="122"/>
      <x:c r="C220" s="28"/>
      <x:c r="D220" s="15"/>
      <x:c r="E220" s="15"/>
      <x:c r="F220" s="15"/>
      <x:c r="G220" s="15"/>
      <x:c r="H220" s="15"/>
      <x:c r="I220" s="15"/>
      <x:c r="J220" s="15"/>
      <x:c r="K220" s="15"/>
      <x:c r="L220" s="134"/>
      <x:c r="M220" s="134"/>
      <x:c r="N220" s="136" t="str">
        <x:f>IF(OR(L220="",M220=""),"",MAX(0,(M220-L220)*24))</x:f>
      </x:c>
      <x:c r="O220" s="136"/>
      <x:c r="P220" s="138"/>
      <x:c r="Q220" s="15"/>
      <x:c r="R220" s="15"/>
      <x:c r="S220" s="15"/>
      <x:c r="T220" s="15"/>
      <x:c r="U220" s="15"/>
      <x:c r="V220" s="15"/>
      <x:c r="W220" s="15"/>
      <x:c r="X220" s="15"/>
      <x:c r="Y220" s="140" t="str">
        <x:f>IF(COUNTA(C220:M220,O220:X220)=0,"",ROUND((IF(OR(R220&lt;&gt;"Yes",S220&gt;0),1,0)+IF(OR(T220&lt;&gt;"Yes",U220="Yes"),1,0)+IF(W220="Yes",1,0)+IF(X220="Approved",1,0))/4,2))</x:f>
      </x:c>
      <x:c r="Z220" s="15" t="str">
        <x:f>IF(COUNTA(C220:M220,O220:X220)=0,"",TEXTJOIN("; ",TRUE,IF(C220="","Missing work date",""),IF(D220="","Missing project",""),IF(F220="","Missing crew",""),IF(O220="","Missing labor hours",""),IF(P220="","Missing production qty",""),IF(AND(R220="Yes",OR(S220="",S220&lt;=0)),"Missing photo proof",""),IF(AND(T220="Yes",U220&lt;&gt;"Yes"),"Missing redline",""),IF(V220="Yes","Safety follow-up",""),IF(W220&lt;&gt;"Yes","Missing customer signoff",""),IF(X220&lt;&gt;"Approved","Office not approved",""),IF(N220&lt;=0,"Bad shift hours","")))</x:f>
      </x:c>
      <x:c r="AA220" s="15" t="str">
        <x:f>IF(COUNTA(C220:M220,O220:X220)=0,"",IF(Z220="","Yes","No"))</x:f>
      </x:c>
      <x:c r="AB220" s="15"/>
    </x:row>
    <x:row r="221" ht="20" customHeight="1">
      <x:c r="A221" s="15"/>
      <x:c r="B221" s="122"/>
      <x:c r="C221" s="28"/>
      <x:c r="D221" s="15"/>
      <x:c r="E221" s="15"/>
      <x:c r="F221" s="15"/>
      <x:c r="G221" s="15"/>
      <x:c r="H221" s="15"/>
      <x:c r="I221" s="15"/>
      <x:c r="J221" s="15"/>
      <x:c r="K221" s="15"/>
      <x:c r="L221" s="134"/>
      <x:c r="M221" s="134"/>
      <x:c r="N221" s="136" t="str">
        <x:f>IF(OR(L221="",M221=""),"",MAX(0,(M221-L221)*24))</x:f>
      </x:c>
      <x:c r="O221" s="136"/>
      <x:c r="P221" s="138"/>
      <x:c r="Q221" s="15"/>
      <x:c r="R221" s="15"/>
      <x:c r="S221" s="15"/>
      <x:c r="T221" s="15"/>
      <x:c r="U221" s="15"/>
      <x:c r="V221" s="15"/>
      <x:c r="W221" s="15"/>
      <x:c r="X221" s="15"/>
      <x:c r="Y221" s="140" t="str">
        <x:f>IF(COUNTA(C221:M221,O221:X221)=0,"",ROUND((IF(OR(R221&lt;&gt;"Yes",S221&gt;0),1,0)+IF(OR(T221&lt;&gt;"Yes",U221="Yes"),1,0)+IF(W221="Yes",1,0)+IF(X221="Approved",1,0))/4,2))</x:f>
      </x:c>
      <x:c r="Z221" s="15" t="str">
        <x:f>IF(COUNTA(C221:M221,O221:X221)=0,"",TEXTJOIN("; ",TRUE,IF(C221="","Missing work date",""),IF(D221="","Missing project",""),IF(F221="","Missing crew",""),IF(O221="","Missing labor hours",""),IF(P221="","Missing production qty",""),IF(AND(R221="Yes",OR(S221="",S221&lt;=0)),"Missing photo proof",""),IF(AND(T221="Yes",U221&lt;&gt;"Yes"),"Missing redline",""),IF(V221="Yes","Safety follow-up",""),IF(W221&lt;&gt;"Yes","Missing customer signoff",""),IF(X221&lt;&gt;"Approved","Office not approved",""),IF(N221&lt;=0,"Bad shift hours","")))</x:f>
      </x:c>
      <x:c r="AA221" s="15" t="str">
        <x:f>IF(COUNTA(C221:M221,O221:X221)=0,"",IF(Z221="","Yes","No"))</x:f>
      </x:c>
      <x:c r="AB221" s="15"/>
    </x:row>
    <x:row r="222" ht="20" customHeight="1">
      <x:c r="A222" s="15"/>
      <x:c r="B222" s="122"/>
      <x:c r="C222" s="28"/>
      <x:c r="D222" s="15"/>
      <x:c r="E222" s="15"/>
      <x:c r="F222" s="15"/>
      <x:c r="G222" s="15"/>
      <x:c r="H222" s="15"/>
      <x:c r="I222" s="15"/>
      <x:c r="J222" s="15"/>
      <x:c r="K222" s="15"/>
      <x:c r="L222" s="134"/>
      <x:c r="M222" s="134"/>
      <x:c r="N222" s="136" t="str">
        <x:f>IF(OR(L222="",M222=""),"",MAX(0,(M222-L222)*24))</x:f>
      </x:c>
      <x:c r="O222" s="136"/>
      <x:c r="P222" s="138"/>
      <x:c r="Q222" s="15"/>
      <x:c r="R222" s="15"/>
      <x:c r="S222" s="15"/>
      <x:c r="T222" s="15"/>
      <x:c r="U222" s="15"/>
      <x:c r="V222" s="15"/>
      <x:c r="W222" s="15"/>
      <x:c r="X222" s="15"/>
      <x:c r="Y222" s="140" t="str">
        <x:f>IF(COUNTA(C222:M222,O222:X222)=0,"",ROUND((IF(OR(R222&lt;&gt;"Yes",S222&gt;0),1,0)+IF(OR(T222&lt;&gt;"Yes",U222="Yes"),1,0)+IF(W222="Yes",1,0)+IF(X222="Approved",1,0))/4,2))</x:f>
      </x:c>
      <x:c r="Z222" s="15" t="str">
        <x:f>IF(COUNTA(C222:M222,O222:X222)=0,"",TEXTJOIN("; ",TRUE,IF(C222="","Missing work date",""),IF(D222="","Missing project",""),IF(F222="","Missing crew",""),IF(O222="","Missing labor hours",""),IF(P222="","Missing production qty",""),IF(AND(R222="Yes",OR(S222="",S222&lt;=0)),"Missing photo proof",""),IF(AND(T222="Yes",U222&lt;&gt;"Yes"),"Missing redline",""),IF(V222="Yes","Safety follow-up",""),IF(W222&lt;&gt;"Yes","Missing customer signoff",""),IF(X222&lt;&gt;"Approved","Office not approved",""),IF(N222&lt;=0,"Bad shift hours","")))</x:f>
      </x:c>
      <x:c r="AA222" s="15" t="str">
        <x:f>IF(COUNTA(C222:M222,O222:X222)=0,"",IF(Z222="","Yes","No"))</x:f>
      </x:c>
      <x:c r="AB222" s="15"/>
    </x:row>
    <x:row r="223" ht="20" customHeight="1">
      <x:c r="A223" s="15"/>
      <x:c r="B223" s="122"/>
      <x:c r="C223" s="28"/>
      <x:c r="D223" s="15"/>
      <x:c r="E223" s="15"/>
      <x:c r="F223" s="15"/>
      <x:c r="G223" s="15"/>
      <x:c r="H223" s="15"/>
      <x:c r="I223" s="15"/>
      <x:c r="J223" s="15"/>
      <x:c r="K223" s="15"/>
      <x:c r="L223" s="134"/>
      <x:c r="M223" s="134"/>
      <x:c r="N223" s="136" t="str">
        <x:f>IF(OR(L223="",M223=""),"",MAX(0,(M223-L223)*24))</x:f>
      </x:c>
      <x:c r="O223" s="136"/>
      <x:c r="P223" s="138"/>
      <x:c r="Q223" s="15"/>
      <x:c r="R223" s="15"/>
      <x:c r="S223" s="15"/>
      <x:c r="T223" s="15"/>
      <x:c r="U223" s="15"/>
      <x:c r="V223" s="15"/>
      <x:c r="W223" s="15"/>
      <x:c r="X223" s="15"/>
      <x:c r="Y223" s="140" t="str">
        <x:f>IF(COUNTA(C223:M223,O223:X223)=0,"",ROUND((IF(OR(R223&lt;&gt;"Yes",S223&gt;0),1,0)+IF(OR(T223&lt;&gt;"Yes",U223="Yes"),1,0)+IF(W223="Yes",1,0)+IF(X223="Approved",1,0))/4,2))</x:f>
      </x:c>
      <x:c r="Z223" s="15" t="str">
        <x:f>IF(COUNTA(C223:M223,O223:X223)=0,"",TEXTJOIN("; ",TRUE,IF(C223="","Missing work date",""),IF(D223="","Missing project",""),IF(F223="","Missing crew",""),IF(O223="","Missing labor hours",""),IF(P223="","Missing production qty",""),IF(AND(R223="Yes",OR(S223="",S223&lt;=0)),"Missing photo proof",""),IF(AND(T223="Yes",U223&lt;&gt;"Yes"),"Missing redline",""),IF(V223="Yes","Safety follow-up",""),IF(W223&lt;&gt;"Yes","Missing customer signoff",""),IF(X223&lt;&gt;"Approved","Office not approved",""),IF(N223&lt;=0,"Bad shift hours","")))</x:f>
      </x:c>
      <x:c r="AA223" s="15" t="str">
        <x:f>IF(COUNTA(C223:M223,O223:X223)=0,"",IF(Z223="","Yes","No"))</x:f>
      </x:c>
      <x:c r="AB223" s="15"/>
    </x:row>
    <x:row r="224" ht="20" customHeight="1">
      <x:c r="A224" s="15"/>
      <x:c r="B224" s="122"/>
      <x:c r="C224" s="28"/>
      <x:c r="D224" s="15"/>
      <x:c r="E224" s="15"/>
      <x:c r="F224" s="15"/>
      <x:c r="G224" s="15"/>
      <x:c r="H224" s="15"/>
      <x:c r="I224" s="15"/>
      <x:c r="J224" s="15"/>
      <x:c r="K224" s="15"/>
      <x:c r="L224" s="134"/>
      <x:c r="M224" s="134"/>
      <x:c r="N224" s="136" t="str">
        <x:f>IF(OR(L224="",M224=""),"",MAX(0,(M224-L224)*24))</x:f>
      </x:c>
      <x:c r="O224" s="136"/>
      <x:c r="P224" s="138"/>
      <x:c r="Q224" s="15"/>
      <x:c r="R224" s="15"/>
      <x:c r="S224" s="15"/>
      <x:c r="T224" s="15"/>
      <x:c r="U224" s="15"/>
      <x:c r="V224" s="15"/>
      <x:c r="W224" s="15"/>
      <x:c r="X224" s="15"/>
      <x:c r="Y224" s="140" t="str">
        <x:f>IF(COUNTA(C224:M224,O224:X224)=0,"",ROUND((IF(OR(R224&lt;&gt;"Yes",S224&gt;0),1,0)+IF(OR(T224&lt;&gt;"Yes",U224="Yes"),1,0)+IF(W224="Yes",1,0)+IF(X224="Approved",1,0))/4,2))</x:f>
      </x:c>
      <x:c r="Z224" s="15" t="str">
        <x:f>IF(COUNTA(C224:M224,O224:X224)=0,"",TEXTJOIN("; ",TRUE,IF(C224="","Missing work date",""),IF(D224="","Missing project",""),IF(F224="","Missing crew",""),IF(O224="","Missing labor hours",""),IF(P224="","Missing production qty",""),IF(AND(R224="Yes",OR(S224="",S224&lt;=0)),"Missing photo proof",""),IF(AND(T224="Yes",U224&lt;&gt;"Yes"),"Missing redline",""),IF(V224="Yes","Safety follow-up",""),IF(W224&lt;&gt;"Yes","Missing customer signoff",""),IF(X224&lt;&gt;"Approved","Office not approved",""),IF(N224&lt;=0,"Bad shift hours","")))</x:f>
      </x:c>
      <x:c r="AA224" s="15" t="str">
        <x:f>IF(COUNTA(C224:M224,O224:X224)=0,"",IF(Z224="","Yes","No"))</x:f>
      </x:c>
      <x:c r="AB224" s="15"/>
    </x:row>
    <x:row r="225" ht="20" customHeight="1">
      <x:c r="A225" s="15"/>
      <x:c r="B225" s="122"/>
      <x:c r="C225" s="28"/>
      <x:c r="D225" s="15"/>
      <x:c r="E225" s="15"/>
      <x:c r="F225" s="15"/>
      <x:c r="G225" s="15"/>
      <x:c r="H225" s="15"/>
      <x:c r="I225" s="15"/>
      <x:c r="J225" s="15"/>
      <x:c r="K225" s="15"/>
      <x:c r="L225" s="134"/>
      <x:c r="M225" s="134"/>
      <x:c r="N225" s="136" t="str">
        <x:f>IF(OR(L225="",M225=""),"",MAX(0,(M225-L225)*24))</x:f>
      </x:c>
      <x:c r="O225" s="136"/>
      <x:c r="P225" s="138"/>
      <x:c r="Q225" s="15"/>
      <x:c r="R225" s="15"/>
      <x:c r="S225" s="15"/>
      <x:c r="T225" s="15"/>
      <x:c r="U225" s="15"/>
      <x:c r="V225" s="15"/>
      <x:c r="W225" s="15"/>
      <x:c r="X225" s="15"/>
      <x:c r="Y225" s="140" t="str">
        <x:f>IF(COUNTA(C225:M225,O225:X225)=0,"",ROUND((IF(OR(R225&lt;&gt;"Yes",S225&gt;0),1,0)+IF(OR(T225&lt;&gt;"Yes",U225="Yes"),1,0)+IF(W225="Yes",1,0)+IF(X225="Approved",1,0))/4,2))</x:f>
      </x:c>
      <x:c r="Z225" s="15" t="str">
        <x:f>IF(COUNTA(C225:M225,O225:X225)=0,"",TEXTJOIN("; ",TRUE,IF(C225="","Missing work date",""),IF(D225="","Missing project",""),IF(F225="","Missing crew",""),IF(O225="","Missing labor hours",""),IF(P225="","Missing production qty",""),IF(AND(R225="Yes",OR(S225="",S225&lt;=0)),"Missing photo proof",""),IF(AND(T225="Yes",U225&lt;&gt;"Yes"),"Missing redline",""),IF(V225="Yes","Safety follow-up",""),IF(W225&lt;&gt;"Yes","Missing customer signoff",""),IF(X225&lt;&gt;"Approved","Office not approved",""),IF(N225&lt;=0,"Bad shift hours","")))</x:f>
      </x:c>
      <x:c r="AA225" s="15" t="str">
        <x:f>IF(COUNTA(C225:M225,O225:X225)=0,"",IF(Z225="","Yes","No"))</x:f>
      </x:c>
      <x:c r="AB225" s="15"/>
    </x:row>
    <x:row r="226" ht="20" customHeight="1">
      <x:c r="A226" s="15"/>
      <x:c r="B226" s="122"/>
      <x:c r="C226" s="28"/>
      <x:c r="D226" s="15"/>
      <x:c r="E226" s="15"/>
      <x:c r="F226" s="15"/>
      <x:c r="G226" s="15"/>
      <x:c r="H226" s="15"/>
      <x:c r="I226" s="15"/>
      <x:c r="J226" s="15"/>
      <x:c r="K226" s="15"/>
      <x:c r="L226" s="134"/>
      <x:c r="M226" s="134"/>
      <x:c r="N226" s="136" t="str">
        <x:f>IF(OR(L226="",M226=""),"",MAX(0,(M226-L226)*24))</x:f>
      </x:c>
      <x:c r="O226" s="136"/>
      <x:c r="P226" s="138"/>
      <x:c r="Q226" s="15"/>
      <x:c r="R226" s="15"/>
      <x:c r="S226" s="15"/>
      <x:c r="T226" s="15"/>
      <x:c r="U226" s="15"/>
      <x:c r="V226" s="15"/>
      <x:c r="W226" s="15"/>
      <x:c r="X226" s="15"/>
      <x:c r="Y226" s="140" t="str">
        <x:f>IF(COUNTA(C226:M226,O226:X226)=0,"",ROUND((IF(OR(R226&lt;&gt;"Yes",S226&gt;0),1,0)+IF(OR(T226&lt;&gt;"Yes",U226="Yes"),1,0)+IF(W226="Yes",1,0)+IF(X226="Approved",1,0))/4,2))</x:f>
      </x:c>
      <x:c r="Z226" s="15" t="str">
        <x:f>IF(COUNTA(C226:M226,O226:X226)=0,"",TEXTJOIN("; ",TRUE,IF(C226="","Missing work date",""),IF(D226="","Missing project",""),IF(F226="","Missing crew",""),IF(O226="","Missing labor hours",""),IF(P226="","Missing production qty",""),IF(AND(R226="Yes",OR(S226="",S226&lt;=0)),"Missing photo proof",""),IF(AND(T226="Yes",U226&lt;&gt;"Yes"),"Missing redline",""),IF(V226="Yes","Safety follow-up",""),IF(W226&lt;&gt;"Yes","Missing customer signoff",""),IF(X226&lt;&gt;"Approved","Office not approved",""),IF(N226&lt;=0,"Bad shift hours","")))</x:f>
      </x:c>
      <x:c r="AA226" s="15" t="str">
        <x:f>IF(COUNTA(C226:M226,O226:X226)=0,"",IF(Z226="","Yes","No"))</x:f>
      </x:c>
      <x:c r="AB226" s="15"/>
    </x:row>
    <x:row r="227" ht="20" customHeight="1">
      <x:c r="A227" s="15"/>
      <x:c r="B227" s="122"/>
      <x:c r="C227" s="28"/>
      <x:c r="D227" s="15"/>
      <x:c r="E227" s="15"/>
      <x:c r="F227" s="15"/>
      <x:c r="G227" s="15"/>
      <x:c r="H227" s="15"/>
      <x:c r="I227" s="15"/>
      <x:c r="J227" s="15"/>
      <x:c r="K227" s="15"/>
      <x:c r="L227" s="134"/>
      <x:c r="M227" s="134"/>
      <x:c r="N227" s="136" t="str">
        <x:f>IF(OR(L227="",M227=""),"",MAX(0,(M227-L227)*24))</x:f>
      </x:c>
      <x:c r="O227" s="136"/>
      <x:c r="P227" s="138"/>
      <x:c r="Q227" s="15"/>
      <x:c r="R227" s="15"/>
      <x:c r="S227" s="15"/>
      <x:c r="T227" s="15"/>
      <x:c r="U227" s="15"/>
      <x:c r="V227" s="15"/>
      <x:c r="W227" s="15"/>
      <x:c r="X227" s="15"/>
      <x:c r="Y227" s="140" t="str">
        <x:f>IF(COUNTA(C227:M227,O227:X227)=0,"",ROUND((IF(OR(R227&lt;&gt;"Yes",S227&gt;0),1,0)+IF(OR(T227&lt;&gt;"Yes",U227="Yes"),1,0)+IF(W227="Yes",1,0)+IF(X227="Approved",1,0))/4,2))</x:f>
      </x:c>
      <x:c r="Z227" s="15" t="str">
        <x:f>IF(COUNTA(C227:M227,O227:X227)=0,"",TEXTJOIN("; ",TRUE,IF(C227="","Missing work date",""),IF(D227="","Missing project",""),IF(F227="","Missing crew",""),IF(O227="","Missing labor hours",""),IF(P227="","Missing production qty",""),IF(AND(R227="Yes",OR(S227="",S227&lt;=0)),"Missing photo proof",""),IF(AND(T227="Yes",U227&lt;&gt;"Yes"),"Missing redline",""),IF(V227="Yes","Safety follow-up",""),IF(W227&lt;&gt;"Yes","Missing customer signoff",""),IF(X227&lt;&gt;"Approved","Office not approved",""),IF(N227&lt;=0,"Bad shift hours","")))</x:f>
      </x:c>
      <x:c r="AA227" s="15" t="str">
        <x:f>IF(COUNTA(C227:M227,O227:X227)=0,"",IF(Z227="","Yes","No"))</x:f>
      </x:c>
      <x:c r="AB227" s="15"/>
    </x:row>
    <x:row r="228" ht="20" customHeight="1">
      <x:c r="A228" s="15"/>
      <x:c r="B228" s="122"/>
      <x:c r="C228" s="28"/>
      <x:c r="D228" s="15"/>
      <x:c r="E228" s="15"/>
      <x:c r="F228" s="15"/>
      <x:c r="G228" s="15"/>
      <x:c r="H228" s="15"/>
      <x:c r="I228" s="15"/>
      <x:c r="J228" s="15"/>
      <x:c r="K228" s="15"/>
      <x:c r="L228" s="134"/>
      <x:c r="M228" s="134"/>
      <x:c r="N228" s="136" t="str">
        <x:f>IF(OR(L228="",M228=""),"",MAX(0,(M228-L228)*24))</x:f>
      </x:c>
      <x:c r="O228" s="136"/>
      <x:c r="P228" s="138"/>
      <x:c r="Q228" s="15"/>
      <x:c r="R228" s="15"/>
      <x:c r="S228" s="15"/>
      <x:c r="T228" s="15"/>
      <x:c r="U228" s="15"/>
      <x:c r="V228" s="15"/>
      <x:c r="W228" s="15"/>
      <x:c r="X228" s="15"/>
      <x:c r="Y228" s="140" t="str">
        <x:f>IF(COUNTA(C228:M228,O228:X228)=0,"",ROUND((IF(OR(R228&lt;&gt;"Yes",S228&gt;0),1,0)+IF(OR(T228&lt;&gt;"Yes",U228="Yes"),1,0)+IF(W228="Yes",1,0)+IF(X228="Approved",1,0))/4,2))</x:f>
      </x:c>
      <x:c r="Z228" s="15" t="str">
        <x:f>IF(COUNTA(C228:M228,O228:X228)=0,"",TEXTJOIN("; ",TRUE,IF(C228="","Missing work date",""),IF(D228="","Missing project",""),IF(F228="","Missing crew",""),IF(O228="","Missing labor hours",""),IF(P228="","Missing production qty",""),IF(AND(R228="Yes",OR(S228="",S228&lt;=0)),"Missing photo proof",""),IF(AND(T228="Yes",U228&lt;&gt;"Yes"),"Missing redline",""),IF(V228="Yes","Safety follow-up",""),IF(W228&lt;&gt;"Yes","Missing customer signoff",""),IF(X228&lt;&gt;"Approved","Office not approved",""),IF(N228&lt;=0,"Bad shift hours","")))</x:f>
      </x:c>
      <x:c r="AA228" s="15" t="str">
        <x:f>IF(COUNTA(C228:M228,O228:X228)=0,"",IF(Z228="","Yes","No"))</x:f>
      </x:c>
      <x:c r="AB228" s="15"/>
    </x:row>
    <x:row r="229" ht="20" customHeight="1">
      <x:c r="A229" s="15"/>
      <x:c r="B229" s="122"/>
      <x:c r="C229" s="28"/>
      <x:c r="D229" s="15"/>
      <x:c r="E229" s="15"/>
      <x:c r="F229" s="15"/>
      <x:c r="G229" s="15"/>
      <x:c r="H229" s="15"/>
      <x:c r="I229" s="15"/>
      <x:c r="J229" s="15"/>
      <x:c r="K229" s="15"/>
      <x:c r="L229" s="134"/>
      <x:c r="M229" s="134"/>
      <x:c r="N229" s="136" t="str">
        <x:f>IF(OR(L229="",M229=""),"",MAX(0,(M229-L229)*24))</x:f>
      </x:c>
      <x:c r="O229" s="136"/>
      <x:c r="P229" s="138"/>
      <x:c r="Q229" s="15"/>
      <x:c r="R229" s="15"/>
      <x:c r="S229" s="15"/>
      <x:c r="T229" s="15"/>
      <x:c r="U229" s="15"/>
      <x:c r="V229" s="15"/>
      <x:c r="W229" s="15"/>
      <x:c r="X229" s="15"/>
      <x:c r="Y229" s="140" t="str">
        <x:f>IF(COUNTA(C229:M229,O229:X229)=0,"",ROUND((IF(OR(R229&lt;&gt;"Yes",S229&gt;0),1,0)+IF(OR(T229&lt;&gt;"Yes",U229="Yes"),1,0)+IF(W229="Yes",1,0)+IF(X229="Approved",1,0))/4,2))</x:f>
      </x:c>
      <x:c r="Z229" s="15" t="str">
        <x:f>IF(COUNTA(C229:M229,O229:X229)=0,"",TEXTJOIN("; ",TRUE,IF(C229="","Missing work date",""),IF(D229="","Missing project",""),IF(F229="","Missing crew",""),IF(O229="","Missing labor hours",""),IF(P229="","Missing production qty",""),IF(AND(R229="Yes",OR(S229="",S229&lt;=0)),"Missing photo proof",""),IF(AND(T229="Yes",U229&lt;&gt;"Yes"),"Missing redline",""),IF(V229="Yes","Safety follow-up",""),IF(W229&lt;&gt;"Yes","Missing customer signoff",""),IF(X229&lt;&gt;"Approved","Office not approved",""),IF(N229&lt;=0,"Bad shift hours","")))</x:f>
      </x:c>
      <x:c r="AA229" s="15" t="str">
        <x:f>IF(COUNTA(C229:M229,O229:X229)=0,"",IF(Z229="","Yes","No"))</x:f>
      </x:c>
      <x:c r="AB229" s="15"/>
    </x:row>
    <x:row r="230" ht="20" customHeight="1">
      <x:c r="A230" s="15"/>
      <x:c r="B230" s="122"/>
      <x:c r="C230" s="28"/>
      <x:c r="D230" s="15"/>
      <x:c r="E230" s="15"/>
      <x:c r="F230" s="15"/>
      <x:c r="G230" s="15"/>
      <x:c r="H230" s="15"/>
      <x:c r="I230" s="15"/>
      <x:c r="J230" s="15"/>
      <x:c r="K230" s="15"/>
      <x:c r="L230" s="134"/>
      <x:c r="M230" s="134"/>
      <x:c r="N230" s="136" t="str">
        <x:f>IF(OR(L230="",M230=""),"",MAX(0,(M230-L230)*24))</x:f>
      </x:c>
      <x:c r="O230" s="136"/>
      <x:c r="P230" s="138"/>
      <x:c r="Q230" s="15"/>
      <x:c r="R230" s="15"/>
      <x:c r="S230" s="15"/>
      <x:c r="T230" s="15"/>
      <x:c r="U230" s="15"/>
      <x:c r="V230" s="15"/>
      <x:c r="W230" s="15"/>
      <x:c r="X230" s="15"/>
      <x:c r="Y230" s="140" t="str">
        <x:f>IF(COUNTA(C230:M230,O230:X230)=0,"",ROUND((IF(OR(R230&lt;&gt;"Yes",S230&gt;0),1,0)+IF(OR(T230&lt;&gt;"Yes",U230="Yes"),1,0)+IF(W230="Yes",1,0)+IF(X230="Approved",1,0))/4,2))</x:f>
      </x:c>
      <x:c r="Z230" s="15" t="str">
        <x:f>IF(COUNTA(C230:M230,O230:X230)=0,"",TEXTJOIN("; ",TRUE,IF(C230="","Missing work date",""),IF(D230="","Missing project",""),IF(F230="","Missing crew",""),IF(O230="","Missing labor hours",""),IF(P230="","Missing production qty",""),IF(AND(R230="Yes",OR(S230="",S230&lt;=0)),"Missing photo proof",""),IF(AND(T230="Yes",U230&lt;&gt;"Yes"),"Missing redline",""),IF(V230="Yes","Safety follow-up",""),IF(W230&lt;&gt;"Yes","Missing customer signoff",""),IF(X230&lt;&gt;"Approved","Office not approved",""),IF(N230&lt;=0,"Bad shift hours","")))</x:f>
      </x:c>
      <x:c r="AA230" s="15" t="str">
        <x:f>IF(COUNTA(C230:M230,O230:X230)=0,"",IF(Z230="","Yes","No"))</x:f>
      </x:c>
      <x:c r="AB230" s="15"/>
    </x:row>
    <x:row r="231" ht="20" customHeight="1">
      <x:c r="A231" s="15"/>
      <x:c r="B231" s="122"/>
      <x:c r="C231" s="28"/>
      <x:c r="D231" s="15"/>
      <x:c r="E231" s="15"/>
      <x:c r="F231" s="15"/>
      <x:c r="G231" s="15"/>
      <x:c r="H231" s="15"/>
      <x:c r="I231" s="15"/>
      <x:c r="J231" s="15"/>
      <x:c r="K231" s="15"/>
      <x:c r="L231" s="134"/>
      <x:c r="M231" s="134"/>
      <x:c r="N231" s="136" t="str">
        <x:f>IF(OR(L231="",M231=""),"",MAX(0,(M231-L231)*24))</x:f>
      </x:c>
      <x:c r="O231" s="136"/>
      <x:c r="P231" s="138"/>
      <x:c r="Q231" s="15"/>
      <x:c r="R231" s="15"/>
      <x:c r="S231" s="15"/>
      <x:c r="T231" s="15"/>
      <x:c r="U231" s="15"/>
      <x:c r="V231" s="15"/>
      <x:c r="W231" s="15"/>
      <x:c r="X231" s="15"/>
      <x:c r="Y231" s="140" t="str">
        <x:f>IF(COUNTA(C231:M231,O231:X231)=0,"",ROUND((IF(OR(R231&lt;&gt;"Yes",S231&gt;0),1,0)+IF(OR(T231&lt;&gt;"Yes",U231="Yes"),1,0)+IF(W231="Yes",1,0)+IF(X231="Approved",1,0))/4,2))</x:f>
      </x:c>
      <x:c r="Z231" s="15" t="str">
        <x:f>IF(COUNTA(C231:M231,O231:X231)=0,"",TEXTJOIN("; ",TRUE,IF(C231="","Missing work date",""),IF(D231="","Missing project",""),IF(F231="","Missing crew",""),IF(O231="","Missing labor hours",""),IF(P231="","Missing production qty",""),IF(AND(R231="Yes",OR(S231="",S231&lt;=0)),"Missing photo proof",""),IF(AND(T231="Yes",U231&lt;&gt;"Yes"),"Missing redline",""),IF(V231="Yes","Safety follow-up",""),IF(W231&lt;&gt;"Yes","Missing customer signoff",""),IF(X231&lt;&gt;"Approved","Office not approved",""),IF(N231&lt;=0,"Bad shift hours","")))</x:f>
      </x:c>
      <x:c r="AA231" s="15" t="str">
        <x:f>IF(COUNTA(C231:M231,O231:X231)=0,"",IF(Z231="","Yes","No"))</x:f>
      </x:c>
      <x:c r="AB231" s="15"/>
    </x:row>
    <x:row r="232" ht="20" customHeight="1">
      <x:c r="A232" s="15"/>
      <x:c r="B232" s="122"/>
      <x:c r="C232" s="28"/>
      <x:c r="D232" s="15"/>
      <x:c r="E232" s="15"/>
      <x:c r="F232" s="15"/>
      <x:c r="G232" s="15"/>
      <x:c r="H232" s="15"/>
      <x:c r="I232" s="15"/>
      <x:c r="J232" s="15"/>
      <x:c r="K232" s="15"/>
      <x:c r="L232" s="134"/>
      <x:c r="M232" s="134"/>
      <x:c r="N232" s="136" t="str">
        <x:f>IF(OR(L232="",M232=""),"",MAX(0,(M232-L232)*24))</x:f>
      </x:c>
      <x:c r="O232" s="136"/>
      <x:c r="P232" s="138"/>
      <x:c r="Q232" s="15"/>
      <x:c r="R232" s="15"/>
      <x:c r="S232" s="15"/>
      <x:c r="T232" s="15"/>
      <x:c r="U232" s="15"/>
      <x:c r="V232" s="15"/>
      <x:c r="W232" s="15"/>
      <x:c r="X232" s="15"/>
      <x:c r="Y232" s="140" t="str">
        <x:f>IF(COUNTA(C232:M232,O232:X232)=0,"",ROUND((IF(OR(R232&lt;&gt;"Yes",S232&gt;0),1,0)+IF(OR(T232&lt;&gt;"Yes",U232="Yes"),1,0)+IF(W232="Yes",1,0)+IF(X232="Approved",1,0))/4,2))</x:f>
      </x:c>
      <x:c r="Z232" s="15" t="str">
        <x:f>IF(COUNTA(C232:M232,O232:X232)=0,"",TEXTJOIN("; ",TRUE,IF(C232="","Missing work date",""),IF(D232="","Missing project",""),IF(F232="","Missing crew",""),IF(O232="","Missing labor hours",""),IF(P232="","Missing production qty",""),IF(AND(R232="Yes",OR(S232="",S232&lt;=0)),"Missing photo proof",""),IF(AND(T232="Yes",U232&lt;&gt;"Yes"),"Missing redline",""),IF(V232="Yes","Safety follow-up",""),IF(W232&lt;&gt;"Yes","Missing customer signoff",""),IF(X232&lt;&gt;"Approved","Office not approved",""),IF(N232&lt;=0,"Bad shift hours","")))</x:f>
      </x:c>
      <x:c r="AA232" s="15" t="str">
        <x:f>IF(COUNTA(C232:M232,O232:X232)=0,"",IF(Z232="","Yes","No"))</x:f>
      </x:c>
      <x:c r="AB232" s="15"/>
    </x:row>
    <x:row r="233" ht="20" customHeight="1">
      <x:c r="A233" s="15"/>
      <x:c r="B233" s="122"/>
      <x:c r="C233" s="28"/>
      <x:c r="D233" s="15"/>
      <x:c r="E233" s="15"/>
      <x:c r="F233" s="15"/>
      <x:c r="G233" s="15"/>
      <x:c r="H233" s="15"/>
      <x:c r="I233" s="15"/>
      <x:c r="J233" s="15"/>
      <x:c r="K233" s="15"/>
      <x:c r="L233" s="134"/>
      <x:c r="M233" s="134"/>
      <x:c r="N233" s="136" t="str">
        <x:f>IF(OR(L233="",M233=""),"",MAX(0,(M233-L233)*24))</x:f>
      </x:c>
      <x:c r="O233" s="136"/>
      <x:c r="P233" s="138"/>
      <x:c r="Q233" s="15"/>
      <x:c r="R233" s="15"/>
      <x:c r="S233" s="15"/>
      <x:c r="T233" s="15"/>
      <x:c r="U233" s="15"/>
      <x:c r="V233" s="15"/>
      <x:c r="W233" s="15"/>
      <x:c r="X233" s="15"/>
      <x:c r="Y233" s="140" t="str">
        <x:f>IF(COUNTA(C233:M233,O233:X233)=0,"",ROUND((IF(OR(R233&lt;&gt;"Yes",S233&gt;0),1,0)+IF(OR(T233&lt;&gt;"Yes",U233="Yes"),1,0)+IF(W233="Yes",1,0)+IF(X233="Approved",1,0))/4,2))</x:f>
      </x:c>
      <x:c r="Z233" s="15" t="str">
        <x:f>IF(COUNTA(C233:M233,O233:X233)=0,"",TEXTJOIN("; ",TRUE,IF(C233="","Missing work date",""),IF(D233="","Missing project",""),IF(F233="","Missing crew",""),IF(O233="","Missing labor hours",""),IF(P233="","Missing production qty",""),IF(AND(R233="Yes",OR(S233="",S233&lt;=0)),"Missing photo proof",""),IF(AND(T233="Yes",U233&lt;&gt;"Yes"),"Missing redline",""),IF(V233="Yes","Safety follow-up",""),IF(W233&lt;&gt;"Yes","Missing customer signoff",""),IF(X233&lt;&gt;"Approved","Office not approved",""),IF(N233&lt;=0,"Bad shift hours","")))</x:f>
      </x:c>
      <x:c r="AA233" s="15" t="str">
        <x:f>IF(COUNTA(C233:M233,O233:X233)=0,"",IF(Z233="","Yes","No"))</x:f>
      </x:c>
      <x:c r="AB233" s="15"/>
    </x:row>
    <x:row r="234" ht="20" customHeight="1">
      <x:c r="A234" s="15"/>
      <x:c r="B234" s="122"/>
      <x:c r="C234" s="28"/>
      <x:c r="D234" s="15"/>
      <x:c r="E234" s="15"/>
      <x:c r="F234" s="15"/>
      <x:c r="G234" s="15"/>
      <x:c r="H234" s="15"/>
      <x:c r="I234" s="15"/>
      <x:c r="J234" s="15"/>
      <x:c r="K234" s="15"/>
      <x:c r="L234" s="134"/>
      <x:c r="M234" s="134"/>
      <x:c r="N234" s="136" t="str">
        <x:f>IF(OR(L234="",M234=""),"",MAX(0,(M234-L234)*24))</x:f>
      </x:c>
      <x:c r="O234" s="136"/>
      <x:c r="P234" s="138"/>
      <x:c r="Q234" s="15"/>
      <x:c r="R234" s="15"/>
      <x:c r="S234" s="15"/>
      <x:c r="T234" s="15"/>
      <x:c r="U234" s="15"/>
      <x:c r="V234" s="15"/>
      <x:c r="W234" s="15"/>
      <x:c r="X234" s="15"/>
      <x:c r="Y234" s="140" t="str">
        <x:f>IF(COUNTA(C234:M234,O234:X234)=0,"",ROUND((IF(OR(R234&lt;&gt;"Yes",S234&gt;0),1,0)+IF(OR(T234&lt;&gt;"Yes",U234="Yes"),1,0)+IF(W234="Yes",1,0)+IF(X234="Approved",1,0))/4,2))</x:f>
      </x:c>
      <x:c r="Z234" s="15" t="str">
        <x:f>IF(COUNTA(C234:M234,O234:X234)=0,"",TEXTJOIN("; ",TRUE,IF(C234="","Missing work date",""),IF(D234="","Missing project",""),IF(F234="","Missing crew",""),IF(O234="","Missing labor hours",""),IF(P234="","Missing production qty",""),IF(AND(R234="Yes",OR(S234="",S234&lt;=0)),"Missing photo proof",""),IF(AND(T234="Yes",U234&lt;&gt;"Yes"),"Missing redline",""),IF(V234="Yes","Safety follow-up",""),IF(W234&lt;&gt;"Yes","Missing customer signoff",""),IF(X234&lt;&gt;"Approved","Office not approved",""),IF(N234&lt;=0,"Bad shift hours","")))</x:f>
      </x:c>
      <x:c r="AA234" s="15" t="str">
        <x:f>IF(COUNTA(C234:M234,O234:X234)=0,"",IF(Z234="","Yes","No"))</x:f>
      </x:c>
      <x:c r="AB234" s="15"/>
    </x:row>
    <x:row r="235" ht="20" customHeight="1">
      <x:c r="A235" s="15"/>
      <x:c r="B235" s="122"/>
      <x:c r="C235" s="28"/>
      <x:c r="D235" s="15"/>
      <x:c r="E235" s="15"/>
      <x:c r="F235" s="15"/>
      <x:c r="G235" s="15"/>
      <x:c r="H235" s="15"/>
      <x:c r="I235" s="15"/>
      <x:c r="J235" s="15"/>
      <x:c r="K235" s="15"/>
      <x:c r="L235" s="134"/>
      <x:c r="M235" s="134"/>
      <x:c r="N235" s="136" t="str">
        <x:f>IF(OR(L235="",M235=""),"",MAX(0,(M235-L235)*24))</x:f>
      </x:c>
      <x:c r="O235" s="136"/>
      <x:c r="P235" s="138"/>
      <x:c r="Q235" s="15"/>
      <x:c r="R235" s="15"/>
      <x:c r="S235" s="15"/>
      <x:c r="T235" s="15"/>
      <x:c r="U235" s="15"/>
      <x:c r="V235" s="15"/>
      <x:c r="W235" s="15"/>
      <x:c r="X235" s="15"/>
      <x:c r="Y235" s="140" t="str">
        <x:f>IF(COUNTA(C235:M235,O235:X235)=0,"",ROUND((IF(OR(R235&lt;&gt;"Yes",S235&gt;0),1,0)+IF(OR(T235&lt;&gt;"Yes",U235="Yes"),1,0)+IF(W235="Yes",1,0)+IF(X235="Approved",1,0))/4,2))</x:f>
      </x:c>
      <x:c r="Z235" s="15" t="str">
        <x:f>IF(COUNTA(C235:M235,O235:X235)=0,"",TEXTJOIN("; ",TRUE,IF(C235="","Missing work date",""),IF(D235="","Missing project",""),IF(F235="","Missing crew",""),IF(O235="","Missing labor hours",""),IF(P235="","Missing production qty",""),IF(AND(R235="Yes",OR(S235="",S235&lt;=0)),"Missing photo proof",""),IF(AND(T235="Yes",U235&lt;&gt;"Yes"),"Missing redline",""),IF(V235="Yes","Safety follow-up",""),IF(W235&lt;&gt;"Yes","Missing customer signoff",""),IF(X235&lt;&gt;"Approved","Office not approved",""),IF(N235&lt;=0,"Bad shift hours","")))</x:f>
      </x:c>
      <x:c r="AA235" s="15" t="str">
        <x:f>IF(COUNTA(C235:M235,O235:X235)=0,"",IF(Z235="","Yes","No"))</x:f>
      </x:c>
      <x:c r="AB235" s="15"/>
    </x:row>
    <x:row r="236" ht="20" customHeight="1">
      <x:c r="A236" s="15"/>
      <x:c r="B236" s="122"/>
      <x:c r="C236" s="28"/>
      <x:c r="D236" s="15"/>
      <x:c r="E236" s="15"/>
      <x:c r="F236" s="15"/>
      <x:c r="G236" s="15"/>
      <x:c r="H236" s="15"/>
      <x:c r="I236" s="15"/>
      <x:c r="J236" s="15"/>
      <x:c r="K236" s="15"/>
      <x:c r="L236" s="134"/>
      <x:c r="M236" s="134"/>
      <x:c r="N236" s="136" t="str">
        <x:f>IF(OR(L236="",M236=""),"",MAX(0,(M236-L236)*24))</x:f>
      </x:c>
      <x:c r="O236" s="136"/>
      <x:c r="P236" s="138"/>
      <x:c r="Q236" s="15"/>
      <x:c r="R236" s="15"/>
      <x:c r="S236" s="15"/>
      <x:c r="T236" s="15"/>
      <x:c r="U236" s="15"/>
      <x:c r="V236" s="15"/>
      <x:c r="W236" s="15"/>
      <x:c r="X236" s="15"/>
      <x:c r="Y236" s="140" t="str">
        <x:f>IF(COUNTA(C236:M236,O236:X236)=0,"",ROUND((IF(OR(R236&lt;&gt;"Yes",S236&gt;0),1,0)+IF(OR(T236&lt;&gt;"Yes",U236="Yes"),1,0)+IF(W236="Yes",1,0)+IF(X236="Approved",1,0))/4,2))</x:f>
      </x:c>
      <x:c r="Z236" s="15" t="str">
        <x:f>IF(COUNTA(C236:M236,O236:X236)=0,"",TEXTJOIN("; ",TRUE,IF(C236="","Missing work date",""),IF(D236="","Missing project",""),IF(F236="","Missing crew",""),IF(O236="","Missing labor hours",""),IF(P236="","Missing production qty",""),IF(AND(R236="Yes",OR(S236="",S236&lt;=0)),"Missing photo proof",""),IF(AND(T236="Yes",U236&lt;&gt;"Yes"),"Missing redline",""),IF(V236="Yes","Safety follow-up",""),IF(W236&lt;&gt;"Yes","Missing customer signoff",""),IF(X236&lt;&gt;"Approved","Office not approved",""),IF(N236&lt;=0,"Bad shift hours","")))</x:f>
      </x:c>
      <x:c r="AA236" s="15" t="str">
        <x:f>IF(COUNTA(C236:M236,O236:X236)=0,"",IF(Z236="","Yes","No"))</x:f>
      </x:c>
      <x:c r="AB236" s="15"/>
    </x:row>
    <x:row r="237" ht="20" customHeight="1">
      <x:c r="A237" s="15"/>
      <x:c r="B237" s="122"/>
      <x:c r="C237" s="28"/>
      <x:c r="D237" s="15"/>
      <x:c r="E237" s="15"/>
      <x:c r="F237" s="15"/>
      <x:c r="G237" s="15"/>
      <x:c r="H237" s="15"/>
      <x:c r="I237" s="15"/>
      <x:c r="J237" s="15"/>
      <x:c r="K237" s="15"/>
      <x:c r="L237" s="134"/>
      <x:c r="M237" s="134"/>
      <x:c r="N237" s="136" t="str">
        <x:f>IF(OR(L237="",M237=""),"",MAX(0,(M237-L237)*24))</x:f>
      </x:c>
      <x:c r="O237" s="136"/>
      <x:c r="P237" s="138"/>
      <x:c r="Q237" s="15"/>
      <x:c r="R237" s="15"/>
      <x:c r="S237" s="15"/>
      <x:c r="T237" s="15"/>
      <x:c r="U237" s="15"/>
      <x:c r="V237" s="15"/>
      <x:c r="W237" s="15"/>
      <x:c r="X237" s="15"/>
      <x:c r="Y237" s="140" t="str">
        <x:f>IF(COUNTA(C237:M237,O237:X237)=0,"",ROUND((IF(OR(R237&lt;&gt;"Yes",S237&gt;0),1,0)+IF(OR(T237&lt;&gt;"Yes",U237="Yes"),1,0)+IF(W237="Yes",1,0)+IF(X237="Approved",1,0))/4,2))</x:f>
      </x:c>
      <x:c r="Z237" s="15" t="str">
        <x:f>IF(COUNTA(C237:M237,O237:X237)=0,"",TEXTJOIN("; ",TRUE,IF(C237="","Missing work date",""),IF(D237="","Missing project",""),IF(F237="","Missing crew",""),IF(O237="","Missing labor hours",""),IF(P237="","Missing production qty",""),IF(AND(R237="Yes",OR(S237="",S237&lt;=0)),"Missing photo proof",""),IF(AND(T237="Yes",U237&lt;&gt;"Yes"),"Missing redline",""),IF(V237="Yes","Safety follow-up",""),IF(W237&lt;&gt;"Yes","Missing customer signoff",""),IF(X237&lt;&gt;"Approved","Office not approved",""),IF(N237&lt;=0,"Bad shift hours","")))</x:f>
      </x:c>
      <x:c r="AA237" s="15" t="str">
        <x:f>IF(COUNTA(C237:M237,O237:X237)=0,"",IF(Z237="","Yes","No"))</x:f>
      </x:c>
      <x:c r="AB237" s="15"/>
    </x:row>
    <x:row r="238" ht="20" customHeight="1">
      <x:c r="A238" s="15"/>
      <x:c r="B238" s="122"/>
      <x:c r="C238" s="28"/>
      <x:c r="D238" s="15"/>
      <x:c r="E238" s="15"/>
      <x:c r="F238" s="15"/>
      <x:c r="G238" s="15"/>
      <x:c r="H238" s="15"/>
      <x:c r="I238" s="15"/>
      <x:c r="J238" s="15"/>
      <x:c r="K238" s="15"/>
      <x:c r="L238" s="134"/>
      <x:c r="M238" s="134"/>
      <x:c r="N238" s="136" t="str">
        <x:f>IF(OR(L238="",M238=""),"",MAX(0,(M238-L238)*24))</x:f>
      </x:c>
      <x:c r="O238" s="136"/>
      <x:c r="P238" s="138"/>
      <x:c r="Q238" s="15"/>
      <x:c r="R238" s="15"/>
      <x:c r="S238" s="15"/>
      <x:c r="T238" s="15"/>
      <x:c r="U238" s="15"/>
      <x:c r="V238" s="15"/>
      <x:c r="W238" s="15"/>
      <x:c r="X238" s="15"/>
      <x:c r="Y238" s="140" t="str">
        <x:f>IF(COUNTA(C238:M238,O238:X238)=0,"",ROUND((IF(OR(R238&lt;&gt;"Yes",S238&gt;0),1,0)+IF(OR(T238&lt;&gt;"Yes",U238="Yes"),1,0)+IF(W238="Yes",1,0)+IF(X238="Approved",1,0))/4,2))</x:f>
      </x:c>
      <x:c r="Z238" s="15" t="str">
        <x:f>IF(COUNTA(C238:M238,O238:X238)=0,"",TEXTJOIN("; ",TRUE,IF(C238="","Missing work date",""),IF(D238="","Missing project",""),IF(F238="","Missing crew",""),IF(O238="","Missing labor hours",""),IF(P238="","Missing production qty",""),IF(AND(R238="Yes",OR(S238="",S238&lt;=0)),"Missing photo proof",""),IF(AND(T238="Yes",U238&lt;&gt;"Yes"),"Missing redline",""),IF(V238="Yes","Safety follow-up",""),IF(W238&lt;&gt;"Yes","Missing customer signoff",""),IF(X238&lt;&gt;"Approved","Office not approved",""),IF(N238&lt;=0,"Bad shift hours","")))</x:f>
      </x:c>
      <x:c r="AA238" s="15" t="str">
        <x:f>IF(COUNTA(C238:M238,O238:X238)=0,"",IF(Z238="","Yes","No"))</x:f>
      </x:c>
      <x:c r="AB238" s="15"/>
    </x:row>
    <x:row r="239" ht="20" customHeight="1">
      <x:c r="A239" s="15"/>
      <x:c r="B239" s="122"/>
      <x:c r="C239" s="28"/>
      <x:c r="D239" s="15"/>
      <x:c r="E239" s="15"/>
      <x:c r="F239" s="15"/>
      <x:c r="G239" s="15"/>
      <x:c r="H239" s="15"/>
      <x:c r="I239" s="15"/>
      <x:c r="J239" s="15"/>
      <x:c r="K239" s="15"/>
      <x:c r="L239" s="134"/>
      <x:c r="M239" s="134"/>
      <x:c r="N239" s="136" t="str">
        <x:f>IF(OR(L239="",M239=""),"",MAX(0,(M239-L239)*24))</x:f>
      </x:c>
      <x:c r="O239" s="136"/>
      <x:c r="P239" s="138"/>
      <x:c r="Q239" s="15"/>
      <x:c r="R239" s="15"/>
      <x:c r="S239" s="15"/>
      <x:c r="T239" s="15"/>
      <x:c r="U239" s="15"/>
      <x:c r="V239" s="15"/>
      <x:c r="W239" s="15"/>
      <x:c r="X239" s="15"/>
      <x:c r="Y239" s="140" t="str">
        <x:f>IF(COUNTA(C239:M239,O239:X239)=0,"",ROUND((IF(OR(R239&lt;&gt;"Yes",S239&gt;0),1,0)+IF(OR(T239&lt;&gt;"Yes",U239="Yes"),1,0)+IF(W239="Yes",1,0)+IF(X239="Approved",1,0))/4,2))</x:f>
      </x:c>
      <x:c r="Z239" s="15" t="str">
        <x:f>IF(COUNTA(C239:M239,O239:X239)=0,"",TEXTJOIN("; ",TRUE,IF(C239="","Missing work date",""),IF(D239="","Missing project",""),IF(F239="","Missing crew",""),IF(O239="","Missing labor hours",""),IF(P239="","Missing production qty",""),IF(AND(R239="Yes",OR(S239="",S239&lt;=0)),"Missing photo proof",""),IF(AND(T239="Yes",U239&lt;&gt;"Yes"),"Missing redline",""),IF(V239="Yes","Safety follow-up",""),IF(W239&lt;&gt;"Yes","Missing customer signoff",""),IF(X239&lt;&gt;"Approved","Office not approved",""),IF(N239&lt;=0,"Bad shift hours","")))</x:f>
      </x:c>
      <x:c r="AA239" s="15" t="str">
        <x:f>IF(COUNTA(C239:M239,O239:X239)=0,"",IF(Z239="","Yes","No"))</x:f>
      </x:c>
      <x:c r="AB239" s="15"/>
    </x:row>
    <x:row r="240" ht="20" customHeight="1">
      <x:c r="A240" s="15"/>
      <x:c r="B240" s="122"/>
      <x:c r="C240" s="28"/>
      <x:c r="D240" s="15"/>
      <x:c r="E240" s="15"/>
      <x:c r="F240" s="15"/>
      <x:c r="G240" s="15"/>
      <x:c r="H240" s="15"/>
      <x:c r="I240" s="15"/>
      <x:c r="J240" s="15"/>
      <x:c r="K240" s="15"/>
      <x:c r="L240" s="134"/>
      <x:c r="M240" s="134"/>
      <x:c r="N240" s="136" t="str">
        <x:f>IF(OR(L240="",M240=""),"",MAX(0,(M240-L240)*24))</x:f>
      </x:c>
      <x:c r="O240" s="136"/>
      <x:c r="P240" s="138"/>
      <x:c r="Q240" s="15"/>
      <x:c r="R240" s="15"/>
      <x:c r="S240" s="15"/>
      <x:c r="T240" s="15"/>
      <x:c r="U240" s="15"/>
      <x:c r="V240" s="15"/>
      <x:c r="W240" s="15"/>
      <x:c r="X240" s="15"/>
      <x:c r="Y240" s="140" t="str">
        <x:f>IF(COUNTA(C240:M240,O240:X240)=0,"",ROUND((IF(OR(R240&lt;&gt;"Yes",S240&gt;0),1,0)+IF(OR(T240&lt;&gt;"Yes",U240="Yes"),1,0)+IF(W240="Yes",1,0)+IF(X240="Approved",1,0))/4,2))</x:f>
      </x:c>
      <x:c r="Z240" s="15" t="str">
        <x:f>IF(COUNTA(C240:M240,O240:X240)=0,"",TEXTJOIN("; ",TRUE,IF(C240="","Missing work date",""),IF(D240="","Missing project",""),IF(F240="","Missing crew",""),IF(O240="","Missing labor hours",""),IF(P240="","Missing production qty",""),IF(AND(R240="Yes",OR(S240="",S240&lt;=0)),"Missing photo proof",""),IF(AND(T240="Yes",U240&lt;&gt;"Yes"),"Missing redline",""),IF(V240="Yes","Safety follow-up",""),IF(W240&lt;&gt;"Yes","Missing customer signoff",""),IF(X240&lt;&gt;"Approved","Office not approved",""),IF(N240&lt;=0,"Bad shift hours","")))</x:f>
      </x:c>
      <x:c r="AA240" s="15" t="str">
        <x:f>IF(COUNTA(C240:M240,O240:X240)=0,"",IF(Z240="","Yes","No"))</x:f>
      </x:c>
      <x:c r="AB240" s="15"/>
    </x:row>
    <x:row r="241" ht="20" customHeight="1">
      <x:c r="A241" s="15"/>
      <x:c r="B241" s="122"/>
      <x:c r="C241" s="28"/>
      <x:c r="D241" s="15"/>
      <x:c r="E241" s="15"/>
      <x:c r="F241" s="15"/>
      <x:c r="G241" s="15"/>
      <x:c r="H241" s="15"/>
      <x:c r="I241" s="15"/>
      <x:c r="J241" s="15"/>
      <x:c r="K241" s="15"/>
      <x:c r="L241" s="134"/>
      <x:c r="M241" s="134"/>
      <x:c r="N241" s="136" t="str">
        <x:f>IF(OR(L241="",M241=""),"",MAX(0,(M241-L241)*24))</x:f>
      </x:c>
      <x:c r="O241" s="136"/>
      <x:c r="P241" s="138"/>
      <x:c r="Q241" s="15"/>
      <x:c r="R241" s="15"/>
      <x:c r="S241" s="15"/>
      <x:c r="T241" s="15"/>
      <x:c r="U241" s="15"/>
      <x:c r="V241" s="15"/>
      <x:c r="W241" s="15"/>
      <x:c r="X241" s="15"/>
      <x:c r="Y241" s="140" t="str">
        <x:f>IF(COUNTA(C241:M241,O241:X241)=0,"",ROUND((IF(OR(R241&lt;&gt;"Yes",S241&gt;0),1,0)+IF(OR(T241&lt;&gt;"Yes",U241="Yes"),1,0)+IF(W241="Yes",1,0)+IF(X241="Approved",1,0))/4,2))</x:f>
      </x:c>
      <x:c r="Z241" s="15" t="str">
        <x:f>IF(COUNTA(C241:M241,O241:X241)=0,"",TEXTJOIN("; ",TRUE,IF(C241="","Missing work date",""),IF(D241="","Missing project",""),IF(F241="","Missing crew",""),IF(O241="","Missing labor hours",""),IF(P241="","Missing production qty",""),IF(AND(R241="Yes",OR(S241="",S241&lt;=0)),"Missing photo proof",""),IF(AND(T241="Yes",U241&lt;&gt;"Yes"),"Missing redline",""),IF(V241="Yes","Safety follow-up",""),IF(W241&lt;&gt;"Yes","Missing customer signoff",""),IF(X241&lt;&gt;"Approved","Office not approved",""),IF(N241&lt;=0,"Bad shift hours","")))</x:f>
      </x:c>
      <x:c r="AA241" s="15" t="str">
        <x:f>IF(COUNTA(C241:M241,O241:X241)=0,"",IF(Z241="","Yes","No"))</x:f>
      </x:c>
      <x:c r="AB241" s="15"/>
    </x:row>
    <x:row r="242" ht="20" customHeight="1">
      <x:c r="A242" s="15"/>
      <x:c r="B242" s="122"/>
      <x:c r="C242" s="28"/>
      <x:c r="D242" s="15"/>
      <x:c r="E242" s="15"/>
      <x:c r="F242" s="15"/>
      <x:c r="G242" s="15"/>
      <x:c r="H242" s="15"/>
      <x:c r="I242" s="15"/>
      <x:c r="J242" s="15"/>
      <x:c r="K242" s="15"/>
      <x:c r="L242" s="134"/>
      <x:c r="M242" s="134"/>
      <x:c r="N242" s="136" t="str">
        <x:f>IF(OR(L242="",M242=""),"",MAX(0,(M242-L242)*24))</x:f>
      </x:c>
      <x:c r="O242" s="136"/>
      <x:c r="P242" s="138"/>
      <x:c r="Q242" s="15"/>
      <x:c r="R242" s="15"/>
      <x:c r="S242" s="15"/>
      <x:c r="T242" s="15"/>
      <x:c r="U242" s="15"/>
      <x:c r="V242" s="15"/>
      <x:c r="W242" s="15"/>
      <x:c r="X242" s="15"/>
      <x:c r="Y242" s="140" t="str">
        <x:f>IF(COUNTA(C242:M242,O242:X242)=0,"",ROUND((IF(OR(R242&lt;&gt;"Yes",S242&gt;0),1,0)+IF(OR(T242&lt;&gt;"Yes",U242="Yes"),1,0)+IF(W242="Yes",1,0)+IF(X242="Approved",1,0))/4,2))</x:f>
      </x:c>
      <x:c r="Z242" s="15" t="str">
        <x:f>IF(COUNTA(C242:M242,O242:X242)=0,"",TEXTJOIN("; ",TRUE,IF(C242="","Missing work date",""),IF(D242="","Missing project",""),IF(F242="","Missing crew",""),IF(O242="","Missing labor hours",""),IF(P242="","Missing production qty",""),IF(AND(R242="Yes",OR(S242="",S242&lt;=0)),"Missing photo proof",""),IF(AND(T242="Yes",U242&lt;&gt;"Yes"),"Missing redline",""),IF(V242="Yes","Safety follow-up",""),IF(W242&lt;&gt;"Yes","Missing customer signoff",""),IF(X242&lt;&gt;"Approved","Office not approved",""),IF(N242&lt;=0,"Bad shift hours","")))</x:f>
      </x:c>
      <x:c r="AA242" s="15" t="str">
        <x:f>IF(COUNTA(C242:M242,O242:X242)=0,"",IF(Z242="","Yes","No"))</x:f>
      </x:c>
      <x:c r="AB242" s="15"/>
    </x:row>
    <x:row r="243" ht="20" customHeight="1">
      <x:c r="A243" s="15"/>
      <x:c r="B243" s="122"/>
      <x:c r="C243" s="28"/>
      <x:c r="D243" s="15"/>
      <x:c r="E243" s="15"/>
      <x:c r="F243" s="15"/>
      <x:c r="G243" s="15"/>
      <x:c r="H243" s="15"/>
      <x:c r="I243" s="15"/>
      <x:c r="J243" s="15"/>
      <x:c r="K243" s="15"/>
      <x:c r="L243" s="134"/>
      <x:c r="M243" s="134"/>
      <x:c r="N243" s="136" t="str">
        <x:f>IF(OR(L243="",M243=""),"",MAX(0,(M243-L243)*24))</x:f>
      </x:c>
      <x:c r="O243" s="136"/>
      <x:c r="P243" s="138"/>
      <x:c r="Q243" s="15"/>
      <x:c r="R243" s="15"/>
      <x:c r="S243" s="15"/>
      <x:c r="T243" s="15"/>
      <x:c r="U243" s="15"/>
      <x:c r="V243" s="15"/>
      <x:c r="W243" s="15"/>
      <x:c r="X243" s="15"/>
      <x:c r="Y243" s="140" t="str">
        <x:f>IF(COUNTA(C243:M243,O243:X243)=0,"",ROUND((IF(OR(R243&lt;&gt;"Yes",S243&gt;0),1,0)+IF(OR(T243&lt;&gt;"Yes",U243="Yes"),1,0)+IF(W243="Yes",1,0)+IF(X243="Approved",1,0))/4,2))</x:f>
      </x:c>
      <x:c r="Z243" s="15" t="str">
        <x:f>IF(COUNTA(C243:M243,O243:X243)=0,"",TEXTJOIN("; ",TRUE,IF(C243="","Missing work date",""),IF(D243="","Missing project",""),IF(F243="","Missing crew",""),IF(O243="","Missing labor hours",""),IF(P243="","Missing production qty",""),IF(AND(R243="Yes",OR(S243="",S243&lt;=0)),"Missing photo proof",""),IF(AND(T243="Yes",U243&lt;&gt;"Yes"),"Missing redline",""),IF(V243="Yes","Safety follow-up",""),IF(W243&lt;&gt;"Yes","Missing customer signoff",""),IF(X243&lt;&gt;"Approved","Office not approved",""),IF(N243&lt;=0,"Bad shift hours","")))</x:f>
      </x:c>
      <x:c r="AA243" s="15" t="str">
        <x:f>IF(COUNTA(C243:M243,O243:X243)=0,"",IF(Z243="","Yes","No"))</x:f>
      </x:c>
      <x:c r="AB243" s="15"/>
    </x:row>
    <x:row r="244" ht="20" customHeight="1">
      <x:c r="A244" s="15"/>
      <x:c r="B244" s="122"/>
      <x:c r="C244" s="28"/>
      <x:c r="D244" s="15"/>
      <x:c r="E244" s="15"/>
      <x:c r="F244" s="15"/>
      <x:c r="G244" s="15"/>
      <x:c r="H244" s="15"/>
      <x:c r="I244" s="15"/>
      <x:c r="J244" s="15"/>
      <x:c r="K244" s="15"/>
      <x:c r="L244" s="134"/>
      <x:c r="M244" s="134"/>
      <x:c r="N244" s="136" t="str">
        <x:f>IF(OR(L244="",M244=""),"",MAX(0,(M244-L244)*24))</x:f>
      </x:c>
      <x:c r="O244" s="136"/>
      <x:c r="P244" s="138"/>
      <x:c r="Q244" s="15"/>
      <x:c r="R244" s="15"/>
      <x:c r="S244" s="15"/>
      <x:c r="T244" s="15"/>
      <x:c r="U244" s="15"/>
      <x:c r="V244" s="15"/>
      <x:c r="W244" s="15"/>
      <x:c r="X244" s="15"/>
      <x:c r="Y244" s="140" t="str">
        <x:f>IF(COUNTA(C244:M244,O244:X244)=0,"",ROUND((IF(OR(R244&lt;&gt;"Yes",S244&gt;0),1,0)+IF(OR(T244&lt;&gt;"Yes",U244="Yes"),1,0)+IF(W244="Yes",1,0)+IF(X244="Approved",1,0))/4,2))</x:f>
      </x:c>
      <x:c r="Z244" s="15" t="str">
        <x:f>IF(COUNTA(C244:M244,O244:X244)=0,"",TEXTJOIN("; ",TRUE,IF(C244="","Missing work date",""),IF(D244="","Missing project",""),IF(F244="","Missing crew",""),IF(O244="","Missing labor hours",""),IF(P244="","Missing production qty",""),IF(AND(R244="Yes",OR(S244="",S244&lt;=0)),"Missing photo proof",""),IF(AND(T244="Yes",U244&lt;&gt;"Yes"),"Missing redline",""),IF(V244="Yes","Safety follow-up",""),IF(W244&lt;&gt;"Yes","Missing customer signoff",""),IF(X244&lt;&gt;"Approved","Office not approved",""),IF(N244&lt;=0,"Bad shift hours","")))</x:f>
      </x:c>
      <x:c r="AA244" s="15" t="str">
        <x:f>IF(COUNTA(C244:M244,O244:X244)=0,"",IF(Z244="","Yes","No"))</x:f>
      </x:c>
      <x:c r="AB244" s="15"/>
    </x:row>
    <x:row r="245" ht="20" customHeight="1">
      <x:c r="A245" s="15"/>
      <x:c r="B245" s="122"/>
      <x:c r="C245" s="28"/>
      <x:c r="D245" s="15"/>
      <x:c r="E245" s="15"/>
      <x:c r="F245" s="15"/>
      <x:c r="G245" s="15"/>
      <x:c r="H245" s="15"/>
      <x:c r="I245" s="15"/>
      <x:c r="J245" s="15"/>
      <x:c r="K245" s="15"/>
      <x:c r="L245" s="134"/>
      <x:c r="M245" s="134"/>
      <x:c r="N245" s="136" t="str">
        <x:f>IF(OR(L245="",M245=""),"",MAX(0,(M245-L245)*24))</x:f>
      </x:c>
      <x:c r="O245" s="136"/>
      <x:c r="P245" s="138"/>
      <x:c r="Q245" s="15"/>
      <x:c r="R245" s="15"/>
      <x:c r="S245" s="15"/>
      <x:c r="T245" s="15"/>
      <x:c r="U245" s="15"/>
      <x:c r="V245" s="15"/>
      <x:c r="W245" s="15"/>
      <x:c r="X245" s="15"/>
      <x:c r="Y245" s="140" t="str">
        <x:f>IF(COUNTA(C245:M245,O245:X245)=0,"",ROUND((IF(OR(R245&lt;&gt;"Yes",S245&gt;0),1,0)+IF(OR(T245&lt;&gt;"Yes",U245="Yes"),1,0)+IF(W245="Yes",1,0)+IF(X245="Approved",1,0))/4,2))</x:f>
      </x:c>
      <x:c r="Z245" s="15" t="str">
        <x:f>IF(COUNTA(C245:M245,O245:X245)=0,"",TEXTJOIN("; ",TRUE,IF(C245="","Missing work date",""),IF(D245="","Missing project",""),IF(F245="","Missing crew",""),IF(O245="","Missing labor hours",""),IF(P245="","Missing production qty",""),IF(AND(R245="Yes",OR(S245="",S245&lt;=0)),"Missing photo proof",""),IF(AND(T245="Yes",U245&lt;&gt;"Yes"),"Missing redline",""),IF(V245="Yes","Safety follow-up",""),IF(W245&lt;&gt;"Yes","Missing customer signoff",""),IF(X245&lt;&gt;"Approved","Office not approved",""),IF(N245&lt;=0,"Bad shift hours","")))</x:f>
      </x:c>
      <x:c r="AA245" s="15" t="str">
        <x:f>IF(COUNTA(C245:M245,O245:X245)=0,"",IF(Z245="","Yes","No"))</x:f>
      </x:c>
      <x:c r="AB245" s="15"/>
    </x:row>
    <x:row r="246" ht="20" customHeight="1">
      <x:c r="A246" s="15"/>
      <x:c r="B246" s="122"/>
      <x:c r="C246" s="28"/>
      <x:c r="D246" s="15"/>
      <x:c r="E246" s="15"/>
      <x:c r="F246" s="15"/>
      <x:c r="G246" s="15"/>
      <x:c r="H246" s="15"/>
      <x:c r="I246" s="15"/>
      <x:c r="J246" s="15"/>
      <x:c r="K246" s="15"/>
      <x:c r="L246" s="134"/>
      <x:c r="M246" s="134"/>
      <x:c r="N246" s="136" t="str">
        <x:f>IF(OR(L246="",M246=""),"",MAX(0,(M246-L246)*24))</x:f>
      </x:c>
      <x:c r="O246" s="136"/>
      <x:c r="P246" s="138"/>
      <x:c r="Q246" s="15"/>
      <x:c r="R246" s="15"/>
      <x:c r="S246" s="15"/>
      <x:c r="T246" s="15"/>
      <x:c r="U246" s="15"/>
      <x:c r="V246" s="15"/>
      <x:c r="W246" s="15"/>
      <x:c r="X246" s="15"/>
      <x:c r="Y246" s="140" t="str">
        <x:f>IF(COUNTA(C246:M246,O246:X246)=0,"",ROUND((IF(OR(R246&lt;&gt;"Yes",S246&gt;0),1,0)+IF(OR(T246&lt;&gt;"Yes",U246="Yes"),1,0)+IF(W246="Yes",1,0)+IF(X246="Approved",1,0))/4,2))</x:f>
      </x:c>
      <x:c r="Z246" s="15" t="str">
        <x:f>IF(COUNTA(C246:M246,O246:X246)=0,"",TEXTJOIN("; ",TRUE,IF(C246="","Missing work date",""),IF(D246="","Missing project",""),IF(F246="","Missing crew",""),IF(O246="","Missing labor hours",""),IF(P246="","Missing production qty",""),IF(AND(R246="Yes",OR(S246="",S246&lt;=0)),"Missing photo proof",""),IF(AND(T246="Yes",U246&lt;&gt;"Yes"),"Missing redline",""),IF(V246="Yes","Safety follow-up",""),IF(W246&lt;&gt;"Yes","Missing customer signoff",""),IF(X246&lt;&gt;"Approved","Office not approved",""),IF(N246&lt;=0,"Bad shift hours","")))</x:f>
      </x:c>
      <x:c r="AA246" s="15" t="str">
        <x:f>IF(COUNTA(C246:M246,O246:X246)=0,"",IF(Z246="","Yes","No"))</x:f>
      </x:c>
      <x:c r="AB246" s="15"/>
    </x:row>
    <x:row r="247" ht="20" customHeight="1">
      <x:c r="A247" s="15"/>
      <x:c r="B247" s="122"/>
      <x:c r="C247" s="28"/>
      <x:c r="D247" s="15"/>
      <x:c r="E247" s="15"/>
      <x:c r="F247" s="15"/>
      <x:c r="G247" s="15"/>
      <x:c r="H247" s="15"/>
      <x:c r="I247" s="15"/>
      <x:c r="J247" s="15"/>
      <x:c r="K247" s="15"/>
      <x:c r="L247" s="134"/>
      <x:c r="M247" s="134"/>
      <x:c r="N247" s="136" t="str">
        <x:f>IF(OR(L247="",M247=""),"",MAX(0,(M247-L247)*24))</x:f>
      </x:c>
      <x:c r="O247" s="136"/>
      <x:c r="P247" s="138"/>
      <x:c r="Q247" s="15"/>
      <x:c r="R247" s="15"/>
      <x:c r="S247" s="15"/>
      <x:c r="T247" s="15"/>
      <x:c r="U247" s="15"/>
      <x:c r="V247" s="15"/>
      <x:c r="W247" s="15"/>
      <x:c r="X247" s="15"/>
      <x:c r="Y247" s="140" t="str">
        <x:f>IF(COUNTA(C247:M247,O247:X247)=0,"",ROUND((IF(OR(R247&lt;&gt;"Yes",S247&gt;0),1,0)+IF(OR(T247&lt;&gt;"Yes",U247="Yes"),1,0)+IF(W247="Yes",1,0)+IF(X247="Approved",1,0))/4,2))</x:f>
      </x:c>
      <x:c r="Z247" s="15" t="str">
        <x:f>IF(COUNTA(C247:M247,O247:X247)=0,"",TEXTJOIN("; ",TRUE,IF(C247="","Missing work date",""),IF(D247="","Missing project",""),IF(F247="","Missing crew",""),IF(O247="","Missing labor hours",""),IF(P247="","Missing production qty",""),IF(AND(R247="Yes",OR(S247="",S247&lt;=0)),"Missing photo proof",""),IF(AND(T247="Yes",U247&lt;&gt;"Yes"),"Missing redline",""),IF(V247="Yes","Safety follow-up",""),IF(W247&lt;&gt;"Yes","Missing customer signoff",""),IF(X247&lt;&gt;"Approved","Office not approved",""),IF(N247&lt;=0,"Bad shift hours","")))</x:f>
      </x:c>
      <x:c r="AA247" s="15" t="str">
        <x:f>IF(COUNTA(C247:M247,O247:X247)=0,"",IF(Z247="","Yes","No"))</x:f>
      </x:c>
      <x:c r="AB247" s="15"/>
    </x:row>
    <x:row r="248" ht="20" customHeight="1">
      <x:c r="A248" s="15"/>
      <x:c r="B248" s="122"/>
      <x:c r="C248" s="28"/>
      <x:c r="D248" s="15"/>
      <x:c r="E248" s="15"/>
      <x:c r="F248" s="15"/>
      <x:c r="G248" s="15"/>
      <x:c r="H248" s="15"/>
      <x:c r="I248" s="15"/>
      <x:c r="J248" s="15"/>
      <x:c r="K248" s="15"/>
      <x:c r="L248" s="134"/>
      <x:c r="M248" s="134"/>
      <x:c r="N248" s="136" t="str">
        <x:f>IF(OR(L248="",M248=""),"",MAX(0,(M248-L248)*24))</x:f>
      </x:c>
      <x:c r="O248" s="136"/>
      <x:c r="P248" s="138"/>
      <x:c r="Q248" s="15"/>
      <x:c r="R248" s="15"/>
      <x:c r="S248" s="15"/>
      <x:c r="T248" s="15"/>
      <x:c r="U248" s="15"/>
      <x:c r="V248" s="15"/>
      <x:c r="W248" s="15"/>
      <x:c r="X248" s="15"/>
      <x:c r="Y248" s="140" t="str">
        <x:f>IF(COUNTA(C248:M248,O248:X248)=0,"",ROUND((IF(OR(R248&lt;&gt;"Yes",S248&gt;0),1,0)+IF(OR(T248&lt;&gt;"Yes",U248="Yes"),1,0)+IF(W248="Yes",1,0)+IF(X248="Approved",1,0))/4,2))</x:f>
      </x:c>
      <x:c r="Z248" s="15" t="str">
        <x:f>IF(COUNTA(C248:M248,O248:X248)=0,"",TEXTJOIN("; ",TRUE,IF(C248="","Missing work date",""),IF(D248="","Missing project",""),IF(F248="","Missing crew",""),IF(O248="","Missing labor hours",""),IF(P248="","Missing production qty",""),IF(AND(R248="Yes",OR(S248="",S248&lt;=0)),"Missing photo proof",""),IF(AND(T248="Yes",U248&lt;&gt;"Yes"),"Missing redline",""),IF(V248="Yes","Safety follow-up",""),IF(W248&lt;&gt;"Yes","Missing customer signoff",""),IF(X248&lt;&gt;"Approved","Office not approved",""),IF(N248&lt;=0,"Bad shift hours","")))</x:f>
      </x:c>
      <x:c r="AA248" s="15" t="str">
        <x:f>IF(COUNTA(C248:M248,O248:X248)=0,"",IF(Z248="","Yes","No"))</x:f>
      </x:c>
      <x:c r="AB248" s="15"/>
    </x:row>
    <x:row r="249" ht="20" customHeight="1">
      <x:c r="A249" s="15"/>
      <x:c r="B249" s="122"/>
      <x:c r="C249" s="28"/>
      <x:c r="D249" s="15"/>
      <x:c r="E249" s="15"/>
      <x:c r="F249" s="15"/>
      <x:c r="G249" s="15"/>
      <x:c r="H249" s="15"/>
      <x:c r="I249" s="15"/>
      <x:c r="J249" s="15"/>
      <x:c r="K249" s="15"/>
      <x:c r="L249" s="134"/>
      <x:c r="M249" s="134"/>
      <x:c r="N249" s="136" t="str">
        <x:f>IF(OR(L249="",M249=""),"",MAX(0,(M249-L249)*24))</x:f>
      </x:c>
      <x:c r="O249" s="136"/>
      <x:c r="P249" s="138"/>
      <x:c r="Q249" s="15"/>
      <x:c r="R249" s="15"/>
      <x:c r="S249" s="15"/>
      <x:c r="T249" s="15"/>
      <x:c r="U249" s="15"/>
      <x:c r="V249" s="15"/>
      <x:c r="W249" s="15"/>
      <x:c r="X249" s="15"/>
      <x:c r="Y249" s="140" t="str">
        <x:f>IF(COUNTA(C249:M249,O249:X249)=0,"",ROUND((IF(OR(R249&lt;&gt;"Yes",S249&gt;0),1,0)+IF(OR(T249&lt;&gt;"Yes",U249="Yes"),1,0)+IF(W249="Yes",1,0)+IF(X249="Approved",1,0))/4,2))</x:f>
      </x:c>
      <x:c r="Z249" s="15" t="str">
        <x:f>IF(COUNTA(C249:M249,O249:X249)=0,"",TEXTJOIN("; ",TRUE,IF(C249="","Missing work date",""),IF(D249="","Missing project",""),IF(F249="","Missing crew",""),IF(O249="","Missing labor hours",""),IF(P249="","Missing production qty",""),IF(AND(R249="Yes",OR(S249="",S249&lt;=0)),"Missing photo proof",""),IF(AND(T249="Yes",U249&lt;&gt;"Yes"),"Missing redline",""),IF(V249="Yes","Safety follow-up",""),IF(W249&lt;&gt;"Yes","Missing customer signoff",""),IF(X249&lt;&gt;"Approved","Office not approved",""),IF(N249&lt;=0,"Bad shift hours","")))</x:f>
      </x:c>
      <x:c r="AA249" s="15" t="str">
        <x:f>IF(COUNTA(C249:M249,O249:X249)=0,"",IF(Z249="","Yes","No"))</x:f>
      </x:c>
      <x:c r="AB249" s="15"/>
    </x:row>
    <x:row r="250" ht="20" customHeight="1">
      <x:c r="A250" s="15"/>
      <x:c r="B250" s="122"/>
      <x:c r="C250" s="28"/>
      <x:c r="D250" s="15"/>
      <x:c r="E250" s="15"/>
      <x:c r="F250" s="15"/>
      <x:c r="G250" s="15"/>
      <x:c r="H250" s="15"/>
      <x:c r="I250" s="15"/>
      <x:c r="J250" s="15"/>
      <x:c r="K250" s="15"/>
      <x:c r="L250" s="134"/>
      <x:c r="M250" s="134"/>
      <x:c r="N250" s="136" t="str">
        <x:f>IF(OR(L250="",M250=""),"",MAX(0,(M250-L250)*24))</x:f>
      </x:c>
      <x:c r="O250" s="136"/>
      <x:c r="P250" s="138"/>
      <x:c r="Q250" s="15"/>
      <x:c r="R250" s="15"/>
      <x:c r="S250" s="15"/>
      <x:c r="T250" s="15"/>
      <x:c r="U250" s="15"/>
      <x:c r="V250" s="15"/>
      <x:c r="W250" s="15"/>
      <x:c r="X250" s="15"/>
      <x:c r="Y250" s="140" t="str">
        <x:f>IF(COUNTA(C250:M250,O250:X250)=0,"",ROUND((IF(OR(R250&lt;&gt;"Yes",S250&gt;0),1,0)+IF(OR(T250&lt;&gt;"Yes",U250="Yes"),1,0)+IF(W250="Yes",1,0)+IF(X250="Approved",1,0))/4,2))</x:f>
      </x:c>
      <x:c r="Z250" s="15" t="str">
        <x:f>IF(COUNTA(C250:M250,O250:X250)=0,"",TEXTJOIN("; ",TRUE,IF(C250="","Missing work date",""),IF(D250="","Missing project",""),IF(F250="","Missing crew",""),IF(O250="","Missing labor hours",""),IF(P250="","Missing production qty",""),IF(AND(R250="Yes",OR(S250="",S250&lt;=0)),"Missing photo proof",""),IF(AND(T250="Yes",U250&lt;&gt;"Yes"),"Missing redline",""),IF(V250="Yes","Safety follow-up",""),IF(W250&lt;&gt;"Yes","Missing customer signoff",""),IF(X250&lt;&gt;"Approved","Office not approved",""),IF(N250&lt;=0,"Bad shift hours","")))</x:f>
      </x:c>
      <x:c r="AA250" s="15" t="str">
        <x:f>IF(COUNTA(C250:M250,O250:X250)=0,"",IF(Z250="","Yes","No"))</x:f>
      </x:c>
      <x:c r="AB250" s="15"/>
    </x:row>
    <x:row r="251" ht="20" customHeight="1">
      <x:c r="A251" s="15"/>
      <x:c r="B251" s="122"/>
      <x:c r="C251" s="28"/>
      <x:c r="D251" s="15"/>
      <x:c r="E251" s="15"/>
      <x:c r="F251" s="15"/>
      <x:c r="G251" s="15"/>
      <x:c r="H251" s="15"/>
      <x:c r="I251" s="15"/>
      <x:c r="J251" s="15"/>
      <x:c r="K251" s="15"/>
      <x:c r="L251" s="134"/>
      <x:c r="M251" s="134"/>
      <x:c r="N251" s="136" t="str">
        <x:f>IF(OR(L251="",M251=""),"",MAX(0,(M251-L251)*24))</x:f>
      </x:c>
      <x:c r="O251" s="136"/>
      <x:c r="P251" s="138"/>
      <x:c r="Q251" s="15"/>
      <x:c r="R251" s="15"/>
      <x:c r="S251" s="15"/>
      <x:c r="T251" s="15"/>
      <x:c r="U251" s="15"/>
      <x:c r="V251" s="15"/>
      <x:c r="W251" s="15"/>
      <x:c r="X251" s="15"/>
      <x:c r="Y251" s="140" t="str">
        <x:f>IF(COUNTA(C251:M251,O251:X251)=0,"",ROUND((IF(OR(R251&lt;&gt;"Yes",S251&gt;0),1,0)+IF(OR(T251&lt;&gt;"Yes",U251="Yes"),1,0)+IF(W251="Yes",1,0)+IF(X251="Approved",1,0))/4,2))</x:f>
      </x:c>
      <x:c r="Z251" s="15" t="str">
        <x:f>IF(COUNTA(C251:M251,O251:X251)=0,"",TEXTJOIN("; ",TRUE,IF(C251="","Missing work date",""),IF(D251="","Missing project",""),IF(F251="","Missing crew",""),IF(O251="","Missing labor hours",""),IF(P251="","Missing production qty",""),IF(AND(R251="Yes",OR(S251="",S251&lt;=0)),"Missing photo proof",""),IF(AND(T251="Yes",U251&lt;&gt;"Yes"),"Missing redline",""),IF(V251="Yes","Safety follow-up",""),IF(W251&lt;&gt;"Yes","Missing customer signoff",""),IF(X251&lt;&gt;"Approved","Office not approved",""),IF(N251&lt;=0,"Bad shift hours","")))</x:f>
      </x:c>
      <x:c r="AA251" s="15" t="str">
        <x:f>IF(COUNTA(C251:M251,O251:X251)=0,"",IF(Z251="","Yes","No"))</x:f>
      </x:c>
      <x:c r="AB251" s="15"/>
    </x:row>
  </x:sheetData>
  <x:conditionalFormatting sqref="Y2:Y251">
    <x:cfRule type="cellIs" dxfId="0" priority="1" operator="lessThan">
      <x:formula>0.8</x:formula>
    </x:cfRule>
  </x:conditionalFormatting>
  <x:conditionalFormatting sqref="Z2:Z251">
    <x:cfRule type="expression" dxfId="1" priority="2">
      <x:formula>Z2&lt;&gt;""</x:formula>
    </x:cfRule>
  </x:conditionalFormatting>
  <x:dataValidations count="9">
    <x:dataValidation type="list" sqref="H2:H251">
      <x:formula1>"Day,Night,Weekend,Emergency"</x:formula1>
    </x:dataValidation>
    <x:dataValidation type="list" sqref="I2:I251">
      <x:formula1>"Clear,Cloudy,Rain,Snow,Wind,Heat,Cold"</x:formula1>
    </x:dataValidation>
    <x:dataValidation type="list" sqref="Q2:Q251">
      <x:formula1>"ft,lf,each,hr,yard,mile,sqft,ton"</x:formula1>
    </x:dataValidation>
    <x:dataValidation type="list" sqref="R2:R251">
      <x:formula1>"Yes,No"</x:formula1>
    </x:dataValidation>
    <x:dataValidation type="list" sqref="T2:T251">
      <x:formula1>"Yes,No"</x:formula1>
    </x:dataValidation>
    <x:dataValidation type="list" sqref="U2:U251">
      <x:formula1>"Yes,No"</x:formula1>
    </x:dataValidation>
    <x:dataValidation type="list" sqref="V2:V251">
      <x:formula1>"Yes,No"</x:formula1>
    </x:dataValidation>
    <x:dataValidation type="list" sqref="W2:W251">
      <x:formula1>"Yes,No"</x:formula1>
    </x:dataValidation>
    <x:dataValidation type="list" sqref="X2:X251">
      <x:formula1>"New,In Review,Approved,Rejected,Needs Field Correction"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d14ab6acb2457c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18" hidden="0" customWidth="1"/>
    <x:col min="7" max="7" width="34" hidden="0" customWidth="1"/>
    <x:col min="8" max="8" width="12" hidden="0" customWidth="1"/>
    <x:col min="9" max="9" width="10" hidden="0" customWidth="1"/>
    <x:col min="10" max="10" width="12" hidden="0" customWidth="1"/>
    <x:col min="11" max="11" width="18" hidden="0" customWidth="1"/>
    <x:col min="12" max="12" width="14" hidden="0" customWidth="1"/>
    <x:col min="13" max="13" width="18" hidden="0" customWidth="1"/>
    <x:col min="14" max="14" width="48" hidden="0" customWidth="1"/>
  </x:cols>
  <x:sheetData>
    <x:row r="1" ht="30" customHeight="1">
      <x:c r="A1" s="146" t="str">
        <x:v>EntryID</x:v>
      </x:c>
      <x:c r="B1" s="146" t="str">
        <x:v>WorkDate</x:v>
      </x:c>
      <x:c r="C1" s="146" t="str">
        <x:v>ProjectID</x:v>
      </x:c>
      <x:c r="D1" s="146" t="str">
        <x:v>JobID</x:v>
      </x:c>
      <x:c r="E1" s="146" t="str">
        <x:v>CrewID</x:v>
      </x:c>
      <x:c r="F1" s="146" t="str">
        <x:v>ProductionCode</x:v>
      </x:c>
      <x:c r="G1" s="146" t="str">
        <x:v>Description</x:v>
      </x:c>
      <x:c r="H1" s="146" t="str">
        <x:v>Quantity</x:v>
      </x:c>
      <x:c r="I1" s="146" t="str">
        <x:v>Unit</x:v>
      </x:c>
      <x:c r="J1" s="146" t="str">
        <x:v>Billable</x:v>
      </x:c>
      <x:c r="K1" s="146" t="str">
        <x:v>SourceSubmissionID</x:v>
      </x:c>
      <x:c r="L1" s="146" t="str">
        <x:v>UnitRate</x:v>
      </x:c>
      <x:c r="M1" s="146" t="str">
        <x:v>BillableRevenue</x:v>
      </x:c>
      <x:c r="N1" s="146" t="str">
        <x:v>ValidationIssues</x:v>
      </x:c>
    </x:row>
    <x:row r="2" ht="20" customHeight="1">
      <x:c r="A2" s="15" t="str">
        <x:v>PROD-0001</x:v>
      </x:c>
      <x:c r="B2" s="28" t="n">
        <x:v>46204</x:v>
      </x:c>
      <x:c r="C2" s="15" t="str">
        <x:v>PRJ-1001</x:v>
      </x:c>
      <x:c r="D2" s="15" t="str">
        <x:v>JOB-1001</x:v>
      </x:c>
      <x:c r="E2" s="15" t="str">
        <x:v>CRW-A</x:v>
      </x:c>
      <x:c r="F2" s="15" t="str">
        <x:v>UG-FIBER-LF</x:v>
      </x:c>
      <x:c r="G2" s="15" t="str">
        <x:v>Placed underground fiber</x:v>
      </x:c>
      <x:c r="H2" s="138" t="n">
        <x:v>1250</x:v>
      </x:c>
      <x:c r="I2" s="15" t="str">
        <x:v>lf</x:v>
      </x:c>
      <x:c r="J2" s="15" t="str">
        <x:v>Yes</x:v>
      </x:c>
      <x:c r="K2" s="15" t="str">
        <x:v>SUB-0001</x:v>
      </x:c>
      <x:c r="L2" s="70" t="n">
        <x:f>IF(F2="","",IFERROR(INDEX('08_Rate_Cards'!$D:$D,MATCH(F2,'08_Rate_Cards'!$A:$A,0)),"NO RATE"))</x:f>
        <x:v>8.5</x:v>
      </x:c>
      <x:c r="M2" s="70" t="n">
        <x:f>IF(OR(H2="",NOT(ISNUMBER(L2))),"",H2*L2)</x:f>
        <x:v>10625</x:v>
      </x:c>
      <x:c r="N2" s="15" t="str">
        <x:f>IF(COUNTA(B2:K2)=0,"",TEXTJOIN("; ",TRUE,IF(B2="","Missing work date",""),IF(C2="","Missing project",""),IF(F2="","Missing production code",""),IF(H2="","Missing quantity",""),IF(I2="","Missing unit",""),IF(L2="NO RATE","Missing rate card","")))</x:f>
      </x:c>
    </x:row>
    <x:row r="3" ht="20" customHeight="1">
      <x:c r="A3" s="15" t="str">
        <x:v>PROD-0002</x:v>
      </x:c>
      <x:c r="B3" s="28" t="n">
        <x:v>46204</x:v>
      </x:c>
      <x:c r="C3" s="15" t="str">
        <x:v>PRJ-1001</x:v>
      </x:c>
      <x:c r="D3" s="15" t="str">
        <x:v>JOB-1002</x:v>
      </x:c>
      <x:c r="E3" s="15" t="str">
        <x:v>CRW-B</x:v>
      </x:c>
      <x:c r="F3" s="15" t="str">
        <x:v>BORE-LF</x:v>
      </x:c>
      <x:c r="G3" s="15" t="str">
        <x:v>Bore footage</x:v>
      </x:c>
      <x:c r="H3" s="138" t="n">
        <x:v>320</x:v>
      </x:c>
      <x:c r="I3" s="15" t="str">
        <x:v>lf</x:v>
      </x:c>
      <x:c r="J3" s="15" t="str">
        <x:v>Yes</x:v>
      </x:c>
      <x:c r="K3" s="15" t="str">
        <x:v>SUB-0002</x:v>
      </x:c>
      <x:c r="L3" s="70" t="n">
        <x:f>IF(F3="","",IFERROR(INDEX('08_Rate_Cards'!$D:$D,MATCH(F3,'08_Rate_Cards'!$A:$A,0)),"NO RATE"))</x:f>
        <x:v>22</x:v>
      </x:c>
      <x:c r="M3" s="70" t="n">
        <x:f>IF(OR(H3="",NOT(ISNUMBER(L3))),"",H3*L3)</x:f>
        <x:v>7040</x:v>
      </x:c>
      <x:c r="N3" s="15" t="str">
        <x:f>IF(COUNTA(B3:K3)=0,"",TEXTJOIN("; ",TRUE,IF(B3="","Missing work date",""),IF(C3="","Missing project",""),IF(F3="","Missing production code",""),IF(H3="","Missing quantity",""),IF(I3="","Missing unit",""),IF(L3="NO RATE","Missing rate card","")))</x:f>
      </x:c>
    </x:row>
    <x:row r="4" ht="20" customHeight="1">
      <x:c r="A4" s="15" t="str">
        <x:v>PROD-0003</x:v>
      </x:c>
      <x:c r="B4" s="28" t="n">
        <x:v>46204</x:v>
      </x:c>
      <x:c r="C4" s="15" t="str">
        <x:v>PRJ-1002</x:v>
      </x:c>
      <x:c r="D4" s="15" t="str">
        <x:v>JOB-2001</x:v>
      </x:c>
      <x:c r="E4" s="15" t="str">
        <x:v>CRW-C</x:v>
      </x:c>
      <x:c r="F4" s="15" t="str">
        <x:v>SPLICE-EA</x:v>
      </x:c>
      <x:c r="G4" s="15" t="str">
        <x:v>Splice points</x:v>
      </x:c>
      <x:c r="H4" s="138" t="n">
        <x:v>4</x:v>
      </x:c>
      <x:c r="I4" s="15" t="str">
        <x:v>each</x:v>
      </x:c>
      <x:c r="J4" s="15" t="str">
        <x:v>Yes</x:v>
      </x:c>
      <x:c r="K4" s="15" t="str">
        <x:v>SUB-0003</x:v>
      </x:c>
      <x:c r="L4" s="70" t="n">
        <x:f>IF(F4="","",IFERROR(INDEX('08_Rate_Cards'!$D:$D,MATCH(F4,'08_Rate_Cards'!$A:$A,0)),"NO RATE"))</x:f>
        <x:v>185</x:v>
      </x:c>
      <x:c r="M4" s="70" t="n">
        <x:f>IF(OR(H4="",NOT(ISNUMBER(L4))),"",H4*L4)</x:f>
        <x:v>740</x:v>
      </x:c>
      <x:c r="N4" s="15" t="str">
        <x:f>IF(COUNTA(B4:K4)=0,"",TEXTJOIN("; ",TRUE,IF(B4="","Missing work date",""),IF(C4="","Missing project",""),IF(F4="","Missing production code",""),IF(H4="","Missing quantity",""),IF(I4="","Missing unit",""),IF(L4="NO RATE","Missing rate card","")))</x:f>
      </x:c>
    </x:row>
    <x:row r="5" ht="20" customHeight="1">
      <x:c r="A5" s="15" t="str">
        <x:v>PROD-0004</x:v>
      </x:c>
      <x:c r="B5" s="28" t="n">
        <x:v>46205</x:v>
      </x:c>
      <x:c r="C5" s="15" t="str">
        <x:v>PRJ-1001</x:v>
      </x:c>
      <x:c r="D5" s="15" t="str">
        <x:v>JOB-1001</x:v>
      </x:c>
      <x:c r="E5" s="15" t="str">
        <x:v>CRW-A</x:v>
      </x:c>
      <x:c r="F5" s="15" t="str">
        <x:v>UG-FIBER-LF</x:v>
      </x:c>
      <x:c r="G5" s="15" t="str">
        <x:v>Placed underground fiber</x:v>
      </x:c>
      <x:c r="H5" s="138" t="n">
        <x:v>1400</x:v>
      </x:c>
      <x:c r="I5" s="15" t="str">
        <x:v>lf</x:v>
      </x:c>
      <x:c r="J5" s="15" t="str">
        <x:v>Yes</x:v>
      </x:c>
      <x:c r="K5" s="15" t="str">
        <x:v>SUB-0004</x:v>
      </x:c>
      <x:c r="L5" s="70" t="n">
        <x:f>IF(F5="","",IFERROR(INDEX('08_Rate_Cards'!$D:$D,MATCH(F5,'08_Rate_Cards'!$A:$A,0)),"NO RATE"))</x:f>
        <x:v>8.5</x:v>
      </x:c>
      <x:c r="M5" s="70" t="n">
        <x:f>IF(OR(H5="",NOT(ISNUMBER(L5))),"",H5*L5)</x:f>
        <x:v>11900</x:v>
      </x:c>
      <x:c r="N5" s="15" t="str">
        <x:f>IF(COUNTA(B5:K5)=0,"",TEXTJOIN("; ",TRUE,IF(B5="","Missing work date",""),IF(C5="","Missing project",""),IF(F5="","Missing production code",""),IF(H5="","Missing quantity",""),IF(I5="","Missing unit",""),IF(L5="NO RATE","Missing rate card","")))</x:f>
      </x:c>
    </x:row>
    <x:row r="6" ht="20" customHeight="1">
      <x:c r="A6" s="15"/>
      <x:c r="B6" s="28"/>
      <x:c r="C6" s="15"/>
      <x:c r="D6" s="15"/>
      <x:c r="E6" s="15"/>
      <x:c r="F6" s="15"/>
      <x:c r="G6" s="15"/>
      <x:c r="H6" s="138"/>
      <x:c r="I6" s="15"/>
      <x:c r="J6" s="15"/>
      <x:c r="K6" s="15"/>
      <x:c r="L6" s="70" t="str">
        <x:f>IF(F6="","",IFERROR(INDEX('08_Rate_Cards'!$D:$D,MATCH(F6,'08_Rate_Cards'!$A:$A,0)),"NO RATE"))</x:f>
      </x:c>
      <x:c r="M6" s="70" t="str">
        <x:f>IF(OR(H6="",NOT(ISNUMBER(L6))),"",H6*L6)</x:f>
      </x:c>
      <x:c r="N6" s="15" t="str">
        <x:f>IF(COUNTA(B6:K6)=0,"",TEXTJOIN("; ",TRUE,IF(B6="","Missing work date",""),IF(C6="","Missing project",""),IF(F6="","Missing production code",""),IF(H6="","Missing quantity",""),IF(I6="","Missing unit",""),IF(L6="NO RATE","Missing rate card","")))</x:f>
      </x:c>
    </x:row>
    <x:row r="7" ht="20" customHeight="1">
      <x:c r="A7" s="15"/>
      <x:c r="B7" s="28"/>
      <x:c r="C7" s="15"/>
      <x:c r="D7" s="15"/>
      <x:c r="E7" s="15"/>
      <x:c r="F7" s="15"/>
      <x:c r="G7" s="15"/>
      <x:c r="H7" s="138"/>
      <x:c r="I7" s="15"/>
      <x:c r="J7" s="15"/>
      <x:c r="K7" s="15"/>
      <x:c r="L7" s="70" t="str">
        <x:f>IF(F7="","",IFERROR(INDEX('08_Rate_Cards'!$D:$D,MATCH(F7,'08_Rate_Cards'!$A:$A,0)),"NO RATE"))</x:f>
      </x:c>
      <x:c r="M7" s="70" t="str">
        <x:f>IF(OR(H7="",NOT(ISNUMBER(L7))),"",H7*L7)</x:f>
      </x:c>
      <x:c r="N7" s="15" t="str">
        <x:f>IF(COUNTA(B7:K7)=0,"",TEXTJOIN("; ",TRUE,IF(B7="","Missing work date",""),IF(C7="","Missing project",""),IF(F7="","Missing production code",""),IF(H7="","Missing quantity",""),IF(I7="","Missing unit",""),IF(L7="NO RATE","Missing rate card","")))</x:f>
      </x:c>
    </x:row>
    <x:row r="8" ht="20" customHeight="1">
      <x:c r="A8" s="15"/>
      <x:c r="B8" s="28"/>
      <x:c r="C8" s="15"/>
      <x:c r="D8" s="15"/>
      <x:c r="E8" s="15"/>
      <x:c r="F8" s="15"/>
      <x:c r="G8" s="15"/>
      <x:c r="H8" s="138"/>
      <x:c r="I8" s="15"/>
      <x:c r="J8" s="15"/>
      <x:c r="K8" s="15"/>
      <x:c r="L8" s="70" t="str">
        <x:f>IF(F8="","",IFERROR(INDEX('08_Rate_Cards'!$D:$D,MATCH(F8,'08_Rate_Cards'!$A:$A,0)),"NO RATE"))</x:f>
      </x:c>
      <x:c r="M8" s="70" t="str">
        <x:f>IF(OR(H8="",NOT(ISNUMBER(L8))),"",H8*L8)</x:f>
      </x:c>
      <x:c r="N8" s="15" t="str">
        <x:f>IF(COUNTA(B8:K8)=0,"",TEXTJOIN("; ",TRUE,IF(B8="","Missing work date",""),IF(C8="","Missing project",""),IF(F8="","Missing production code",""),IF(H8="","Missing quantity",""),IF(I8="","Missing unit",""),IF(L8="NO RATE","Missing rate card","")))</x:f>
      </x:c>
    </x:row>
    <x:row r="9" ht="20" customHeight="1">
      <x:c r="A9" s="15"/>
      <x:c r="B9" s="28"/>
      <x:c r="C9" s="15"/>
      <x:c r="D9" s="15"/>
      <x:c r="E9" s="15"/>
      <x:c r="F9" s="15"/>
      <x:c r="G9" s="15"/>
      <x:c r="H9" s="138"/>
      <x:c r="I9" s="15"/>
      <x:c r="J9" s="15"/>
      <x:c r="K9" s="15"/>
      <x:c r="L9" s="70" t="str">
        <x:f>IF(F9="","",IFERROR(INDEX('08_Rate_Cards'!$D:$D,MATCH(F9,'08_Rate_Cards'!$A:$A,0)),"NO RATE"))</x:f>
      </x:c>
      <x:c r="M9" s="70" t="str">
        <x:f>IF(OR(H9="",NOT(ISNUMBER(L9))),"",H9*L9)</x:f>
      </x:c>
      <x:c r="N9" s="15" t="str">
        <x:f>IF(COUNTA(B9:K9)=0,"",TEXTJOIN("; ",TRUE,IF(B9="","Missing work date",""),IF(C9="","Missing project",""),IF(F9="","Missing production code",""),IF(H9="","Missing quantity",""),IF(I9="","Missing unit",""),IF(L9="NO RATE","Missing rate card","")))</x:f>
      </x:c>
    </x:row>
    <x:row r="10" ht="20" customHeight="1">
      <x:c r="A10" s="15"/>
      <x:c r="B10" s="28"/>
      <x:c r="C10" s="15"/>
      <x:c r="D10" s="15"/>
      <x:c r="E10" s="15"/>
      <x:c r="F10" s="15"/>
      <x:c r="G10" s="15"/>
      <x:c r="H10" s="138"/>
      <x:c r="I10" s="15"/>
      <x:c r="J10" s="15"/>
      <x:c r="K10" s="15"/>
      <x:c r="L10" s="70" t="str">
        <x:f>IF(F10="","",IFERROR(INDEX('08_Rate_Cards'!$D:$D,MATCH(F10,'08_Rate_Cards'!$A:$A,0)),"NO RATE"))</x:f>
      </x:c>
      <x:c r="M10" s="70" t="str">
        <x:f>IF(OR(H10="",NOT(ISNUMBER(L10))),"",H10*L10)</x:f>
      </x:c>
      <x:c r="N10" s="15" t="str">
        <x:f>IF(COUNTA(B10:K10)=0,"",TEXTJOIN("; ",TRUE,IF(B10="","Missing work date",""),IF(C10="","Missing project",""),IF(F10="","Missing production code",""),IF(H10="","Missing quantity",""),IF(I10="","Missing unit",""),IF(L10="NO RATE","Missing rate card","")))</x:f>
      </x:c>
    </x:row>
    <x:row r="11" ht="20" customHeight="1">
      <x:c r="A11" s="15"/>
      <x:c r="B11" s="28"/>
      <x:c r="C11" s="15"/>
      <x:c r="D11" s="15"/>
      <x:c r="E11" s="15"/>
      <x:c r="F11" s="15"/>
      <x:c r="G11" s="15"/>
      <x:c r="H11" s="138"/>
      <x:c r="I11" s="15"/>
      <x:c r="J11" s="15"/>
      <x:c r="K11" s="15"/>
      <x:c r="L11" s="70" t="str">
        <x:f>IF(F11="","",IFERROR(INDEX('08_Rate_Cards'!$D:$D,MATCH(F11,'08_Rate_Cards'!$A:$A,0)),"NO RATE"))</x:f>
      </x:c>
      <x:c r="M11" s="70" t="str">
        <x:f>IF(OR(H11="",NOT(ISNUMBER(L11))),"",H11*L11)</x:f>
      </x:c>
      <x:c r="N11" s="15" t="str">
        <x:f>IF(COUNTA(B11:K11)=0,"",TEXTJOIN("; ",TRUE,IF(B11="","Missing work date",""),IF(C11="","Missing project",""),IF(F11="","Missing production code",""),IF(H11="","Missing quantity",""),IF(I11="","Missing unit",""),IF(L11="NO RATE","Missing rate card","")))</x:f>
      </x:c>
    </x:row>
    <x:row r="12" ht="20" customHeight="1">
      <x:c r="A12" s="15"/>
      <x:c r="B12" s="28"/>
      <x:c r="C12" s="15"/>
      <x:c r="D12" s="15"/>
      <x:c r="E12" s="15"/>
      <x:c r="F12" s="15"/>
      <x:c r="G12" s="15"/>
      <x:c r="H12" s="138"/>
      <x:c r="I12" s="15"/>
      <x:c r="J12" s="15"/>
      <x:c r="K12" s="15"/>
      <x:c r="L12" s="70" t="str">
        <x:f>IF(F12="","",IFERROR(INDEX('08_Rate_Cards'!$D:$D,MATCH(F12,'08_Rate_Cards'!$A:$A,0)),"NO RATE"))</x:f>
      </x:c>
      <x:c r="M12" s="70" t="str">
        <x:f>IF(OR(H12="",NOT(ISNUMBER(L12))),"",H12*L12)</x:f>
      </x:c>
      <x:c r="N12" s="15" t="str">
        <x:f>IF(COUNTA(B12:K12)=0,"",TEXTJOIN("; ",TRUE,IF(B12="","Missing work date",""),IF(C12="","Missing project",""),IF(F12="","Missing production code",""),IF(H12="","Missing quantity",""),IF(I12="","Missing unit",""),IF(L12="NO RATE","Missing rate card","")))</x:f>
      </x:c>
    </x:row>
    <x:row r="13" ht="20" customHeight="1">
      <x:c r="A13" s="15"/>
      <x:c r="B13" s="28"/>
      <x:c r="C13" s="15"/>
      <x:c r="D13" s="15"/>
      <x:c r="E13" s="15"/>
      <x:c r="F13" s="15"/>
      <x:c r="G13" s="15"/>
      <x:c r="H13" s="138"/>
      <x:c r="I13" s="15"/>
      <x:c r="J13" s="15"/>
      <x:c r="K13" s="15"/>
      <x:c r="L13" s="70" t="str">
        <x:f>IF(F13="","",IFERROR(INDEX('08_Rate_Cards'!$D:$D,MATCH(F13,'08_Rate_Cards'!$A:$A,0)),"NO RATE"))</x:f>
      </x:c>
      <x:c r="M13" s="70" t="str">
        <x:f>IF(OR(H13="",NOT(ISNUMBER(L13))),"",H13*L13)</x:f>
      </x:c>
      <x:c r="N13" s="15" t="str">
        <x:f>IF(COUNTA(B13:K13)=0,"",TEXTJOIN("; ",TRUE,IF(B13="","Missing work date",""),IF(C13="","Missing project",""),IF(F13="","Missing production code",""),IF(H13="","Missing quantity",""),IF(I13="","Missing unit",""),IF(L13="NO RATE","Missing rate card","")))</x:f>
      </x:c>
    </x:row>
    <x:row r="14" ht="20" customHeight="1">
      <x:c r="A14" s="15"/>
      <x:c r="B14" s="28"/>
      <x:c r="C14" s="15"/>
      <x:c r="D14" s="15"/>
      <x:c r="E14" s="15"/>
      <x:c r="F14" s="15"/>
      <x:c r="G14" s="15"/>
      <x:c r="H14" s="138"/>
      <x:c r="I14" s="15"/>
      <x:c r="J14" s="15"/>
      <x:c r="K14" s="15"/>
      <x:c r="L14" s="70" t="str">
        <x:f>IF(F14="","",IFERROR(INDEX('08_Rate_Cards'!$D:$D,MATCH(F14,'08_Rate_Cards'!$A:$A,0)),"NO RATE"))</x:f>
      </x:c>
      <x:c r="M14" s="70" t="str">
        <x:f>IF(OR(H14="",NOT(ISNUMBER(L14))),"",H14*L14)</x:f>
      </x:c>
      <x:c r="N14" s="15" t="str">
        <x:f>IF(COUNTA(B14:K14)=0,"",TEXTJOIN("; ",TRUE,IF(B14="","Missing work date",""),IF(C14="","Missing project",""),IF(F14="","Missing production code",""),IF(H14="","Missing quantity",""),IF(I14="","Missing unit",""),IF(L14="NO RATE","Missing rate card","")))</x:f>
      </x:c>
    </x:row>
    <x:row r="15" ht="20" customHeight="1">
      <x:c r="A15" s="15"/>
      <x:c r="B15" s="28"/>
      <x:c r="C15" s="15"/>
      <x:c r="D15" s="15"/>
      <x:c r="E15" s="15"/>
      <x:c r="F15" s="15"/>
      <x:c r="G15" s="15"/>
      <x:c r="H15" s="138"/>
      <x:c r="I15" s="15"/>
      <x:c r="J15" s="15"/>
      <x:c r="K15" s="15"/>
      <x:c r="L15" s="70" t="str">
        <x:f>IF(F15="","",IFERROR(INDEX('08_Rate_Cards'!$D:$D,MATCH(F15,'08_Rate_Cards'!$A:$A,0)),"NO RATE"))</x:f>
      </x:c>
      <x:c r="M15" s="70" t="str">
        <x:f>IF(OR(H15="",NOT(ISNUMBER(L15))),"",H15*L15)</x:f>
      </x:c>
      <x:c r="N15" s="15" t="str">
        <x:f>IF(COUNTA(B15:K15)=0,"",TEXTJOIN("; ",TRUE,IF(B15="","Missing work date",""),IF(C15="","Missing project",""),IF(F15="","Missing production code",""),IF(H15="","Missing quantity",""),IF(I15="","Missing unit",""),IF(L15="NO RATE","Missing rate card","")))</x:f>
      </x:c>
    </x:row>
    <x:row r="16" ht="20" customHeight="1">
      <x:c r="A16" s="15"/>
      <x:c r="B16" s="28"/>
      <x:c r="C16" s="15"/>
      <x:c r="D16" s="15"/>
      <x:c r="E16" s="15"/>
      <x:c r="F16" s="15"/>
      <x:c r="G16" s="15"/>
      <x:c r="H16" s="138"/>
      <x:c r="I16" s="15"/>
      <x:c r="J16" s="15"/>
      <x:c r="K16" s="15"/>
      <x:c r="L16" s="70" t="str">
        <x:f>IF(F16="","",IFERROR(INDEX('08_Rate_Cards'!$D:$D,MATCH(F16,'08_Rate_Cards'!$A:$A,0)),"NO RATE"))</x:f>
      </x:c>
      <x:c r="M16" s="70" t="str">
        <x:f>IF(OR(H16="",NOT(ISNUMBER(L16))),"",H16*L16)</x:f>
      </x:c>
      <x:c r="N16" s="15" t="str">
        <x:f>IF(COUNTA(B16:K16)=0,"",TEXTJOIN("; ",TRUE,IF(B16="","Missing work date",""),IF(C16="","Missing project",""),IF(F16="","Missing production code",""),IF(H16="","Missing quantity",""),IF(I16="","Missing unit",""),IF(L16="NO RATE","Missing rate card","")))</x:f>
      </x:c>
    </x:row>
    <x:row r="17" ht="20" customHeight="1">
      <x:c r="A17" s="15"/>
      <x:c r="B17" s="28"/>
      <x:c r="C17" s="15"/>
      <x:c r="D17" s="15"/>
      <x:c r="E17" s="15"/>
      <x:c r="F17" s="15"/>
      <x:c r="G17" s="15"/>
      <x:c r="H17" s="138"/>
      <x:c r="I17" s="15"/>
      <x:c r="J17" s="15"/>
      <x:c r="K17" s="15"/>
      <x:c r="L17" s="70" t="str">
        <x:f>IF(F17="","",IFERROR(INDEX('08_Rate_Cards'!$D:$D,MATCH(F17,'08_Rate_Cards'!$A:$A,0)),"NO RATE"))</x:f>
      </x:c>
      <x:c r="M17" s="70" t="str">
        <x:f>IF(OR(H17="",NOT(ISNUMBER(L17))),"",H17*L17)</x:f>
      </x:c>
      <x:c r="N17" s="15" t="str">
        <x:f>IF(COUNTA(B17:K17)=0,"",TEXTJOIN("; ",TRUE,IF(B17="","Missing work date",""),IF(C17="","Missing project",""),IF(F17="","Missing production code",""),IF(H17="","Missing quantity",""),IF(I17="","Missing unit",""),IF(L17="NO RATE","Missing rate card","")))</x:f>
      </x:c>
    </x:row>
    <x:row r="18" ht="20" customHeight="1">
      <x:c r="A18" s="15"/>
      <x:c r="B18" s="28"/>
      <x:c r="C18" s="15"/>
      <x:c r="D18" s="15"/>
      <x:c r="E18" s="15"/>
      <x:c r="F18" s="15"/>
      <x:c r="G18" s="15"/>
      <x:c r="H18" s="138"/>
      <x:c r="I18" s="15"/>
      <x:c r="J18" s="15"/>
      <x:c r="K18" s="15"/>
      <x:c r="L18" s="70" t="str">
        <x:f>IF(F18="","",IFERROR(INDEX('08_Rate_Cards'!$D:$D,MATCH(F18,'08_Rate_Cards'!$A:$A,0)),"NO RATE"))</x:f>
      </x:c>
      <x:c r="M18" s="70" t="str">
        <x:f>IF(OR(H18="",NOT(ISNUMBER(L18))),"",H18*L18)</x:f>
      </x:c>
      <x:c r="N18" s="15" t="str">
        <x:f>IF(COUNTA(B18:K18)=0,"",TEXTJOIN("; ",TRUE,IF(B18="","Missing work date",""),IF(C18="","Missing project",""),IF(F18="","Missing production code",""),IF(H18="","Missing quantity",""),IF(I18="","Missing unit",""),IF(L18="NO RATE","Missing rate card","")))</x:f>
      </x:c>
    </x:row>
    <x:row r="19" ht="20" customHeight="1">
      <x:c r="A19" s="15"/>
      <x:c r="B19" s="28"/>
      <x:c r="C19" s="15"/>
      <x:c r="D19" s="15"/>
      <x:c r="E19" s="15"/>
      <x:c r="F19" s="15"/>
      <x:c r="G19" s="15"/>
      <x:c r="H19" s="138"/>
      <x:c r="I19" s="15"/>
      <x:c r="J19" s="15"/>
      <x:c r="K19" s="15"/>
      <x:c r="L19" s="70" t="str">
        <x:f>IF(F19="","",IFERROR(INDEX('08_Rate_Cards'!$D:$D,MATCH(F19,'08_Rate_Cards'!$A:$A,0)),"NO RATE"))</x:f>
      </x:c>
      <x:c r="M19" s="70" t="str">
        <x:f>IF(OR(H19="",NOT(ISNUMBER(L19))),"",H19*L19)</x:f>
      </x:c>
      <x:c r="N19" s="15" t="str">
        <x:f>IF(COUNTA(B19:K19)=0,"",TEXTJOIN("; ",TRUE,IF(B19="","Missing work date",""),IF(C19="","Missing project",""),IF(F19="","Missing production code",""),IF(H19="","Missing quantity",""),IF(I19="","Missing unit",""),IF(L19="NO RATE","Missing rate card","")))</x:f>
      </x:c>
    </x:row>
    <x:row r="20" ht="20" customHeight="1">
      <x:c r="A20" s="15"/>
      <x:c r="B20" s="28"/>
      <x:c r="C20" s="15"/>
      <x:c r="D20" s="15"/>
      <x:c r="E20" s="15"/>
      <x:c r="F20" s="15"/>
      <x:c r="G20" s="15"/>
      <x:c r="H20" s="138"/>
      <x:c r="I20" s="15"/>
      <x:c r="J20" s="15"/>
      <x:c r="K20" s="15"/>
      <x:c r="L20" s="70" t="str">
        <x:f>IF(F20="","",IFERROR(INDEX('08_Rate_Cards'!$D:$D,MATCH(F20,'08_Rate_Cards'!$A:$A,0)),"NO RATE"))</x:f>
      </x:c>
      <x:c r="M20" s="70" t="str">
        <x:f>IF(OR(H20="",NOT(ISNUMBER(L20))),"",H20*L20)</x:f>
      </x:c>
      <x:c r="N20" s="15" t="str">
        <x:f>IF(COUNTA(B20:K20)=0,"",TEXTJOIN("; ",TRUE,IF(B20="","Missing work date",""),IF(C20="","Missing project",""),IF(F20="","Missing production code",""),IF(H20="","Missing quantity",""),IF(I20="","Missing unit",""),IF(L20="NO RATE","Missing rate card","")))</x:f>
      </x:c>
    </x:row>
    <x:row r="21" ht="20" customHeight="1">
      <x:c r="A21" s="15"/>
      <x:c r="B21" s="28"/>
      <x:c r="C21" s="15"/>
      <x:c r="D21" s="15"/>
      <x:c r="E21" s="15"/>
      <x:c r="F21" s="15"/>
      <x:c r="G21" s="15"/>
      <x:c r="H21" s="138"/>
      <x:c r="I21" s="15"/>
      <x:c r="J21" s="15"/>
      <x:c r="K21" s="15"/>
      <x:c r="L21" s="70" t="str">
        <x:f>IF(F21="","",IFERROR(INDEX('08_Rate_Cards'!$D:$D,MATCH(F21,'08_Rate_Cards'!$A:$A,0)),"NO RATE"))</x:f>
      </x:c>
      <x:c r="M21" s="70" t="str">
        <x:f>IF(OR(H21="",NOT(ISNUMBER(L21))),"",H21*L21)</x:f>
      </x:c>
      <x:c r="N21" s="15" t="str">
        <x:f>IF(COUNTA(B21:K21)=0,"",TEXTJOIN("; ",TRUE,IF(B21="","Missing work date",""),IF(C21="","Missing project",""),IF(F21="","Missing production code",""),IF(H21="","Missing quantity",""),IF(I21="","Missing unit",""),IF(L21="NO RATE","Missing rate card","")))</x:f>
      </x:c>
    </x:row>
    <x:row r="22" ht="20" customHeight="1">
      <x:c r="A22" s="15"/>
      <x:c r="B22" s="28"/>
      <x:c r="C22" s="15"/>
      <x:c r="D22" s="15"/>
      <x:c r="E22" s="15"/>
      <x:c r="F22" s="15"/>
      <x:c r="G22" s="15"/>
      <x:c r="H22" s="138"/>
      <x:c r="I22" s="15"/>
      <x:c r="J22" s="15"/>
      <x:c r="K22" s="15"/>
      <x:c r="L22" s="70" t="str">
        <x:f>IF(F22="","",IFERROR(INDEX('08_Rate_Cards'!$D:$D,MATCH(F22,'08_Rate_Cards'!$A:$A,0)),"NO RATE"))</x:f>
      </x:c>
      <x:c r="M22" s="70" t="str">
        <x:f>IF(OR(H22="",NOT(ISNUMBER(L22))),"",H22*L22)</x:f>
      </x:c>
      <x:c r="N22" s="15" t="str">
        <x:f>IF(COUNTA(B22:K22)=0,"",TEXTJOIN("; ",TRUE,IF(B22="","Missing work date",""),IF(C22="","Missing project",""),IF(F22="","Missing production code",""),IF(H22="","Missing quantity",""),IF(I22="","Missing unit",""),IF(L22="NO RATE","Missing rate card","")))</x:f>
      </x:c>
    </x:row>
    <x:row r="23" ht="20" customHeight="1">
      <x:c r="A23" s="15"/>
      <x:c r="B23" s="28"/>
      <x:c r="C23" s="15"/>
      <x:c r="D23" s="15"/>
      <x:c r="E23" s="15"/>
      <x:c r="F23" s="15"/>
      <x:c r="G23" s="15"/>
      <x:c r="H23" s="138"/>
      <x:c r="I23" s="15"/>
      <x:c r="J23" s="15"/>
      <x:c r="K23" s="15"/>
      <x:c r="L23" s="70" t="str">
        <x:f>IF(F23="","",IFERROR(INDEX('08_Rate_Cards'!$D:$D,MATCH(F23,'08_Rate_Cards'!$A:$A,0)),"NO RATE"))</x:f>
      </x:c>
      <x:c r="M23" s="70" t="str">
        <x:f>IF(OR(H23="",NOT(ISNUMBER(L23))),"",H23*L23)</x:f>
      </x:c>
      <x:c r="N23" s="15" t="str">
        <x:f>IF(COUNTA(B23:K23)=0,"",TEXTJOIN("; ",TRUE,IF(B23="","Missing work date",""),IF(C23="","Missing project",""),IF(F23="","Missing production code",""),IF(H23="","Missing quantity",""),IF(I23="","Missing unit",""),IF(L23="NO RATE","Missing rate card","")))</x:f>
      </x:c>
    </x:row>
    <x:row r="24" ht="20" customHeight="1">
      <x:c r="A24" s="15"/>
      <x:c r="B24" s="28"/>
      <x:c r="C24" s="15"/>
      <x:c r="D24" s="15"/>
      <x:c r="E24" s="15"/>
      <x:c r="F24" s="15"/>
      <x:c r="G24" s="15"/>
      <x:c r="H24" s="138"/>
      <x:c r="I24" s="15"/>
      <x:c r="J24" s="15"/>
      <x:c r="K24" s="15"/>
      <x:c r="L24" s="70" t="str">
        <x:f>IF(F24="","",IFERROR(INDEX('08_Rate_Cards'!$D:$D,MATCH(F24,'08_Rate_Cards'!$A:$A,0)),"NO RATE"))</x:f>
      </x:c>
      <x:c r="M24" s="70" t="str">
        <x:f>IF(OR(H24="",NOT(ISNUMBER(L24))),"",H24*L24)</x:f>
      </x:c>
      <x:c r="N24" s="15" t="str">
        <x:f>IF(COUNTA(B24:K24)=0,"",TEXTJOIN("; ",TRUE,IF(B24="","Missing work date",""),IF(C24="","Missing project",""),IF(F24="","Missing production code",""),IF(H24="","Missing quantity",""),IF(I24="","Missing unit",""),IF(L24="NO RATE","Missing rate card","")))</x:f>
      </x:c>
    </x:row>
    <x:row r="25" ht="20" customHeight="1">
      <x:c r="A25" s="15"/>
      <x:c r="B25" s="28"/>
      <x:c r="C25" s="15"/>
      <x:c r="D25" s="15"/>
      <x:c r="E25" s="15"/>
      <x:c r="F25" s="15"/>
      <x:c r="G25" s="15"/>
      <x:c r="H25" s="138"/>
      <x:c r="I25" s="15"/>
      <x:c r="J25" s="15"/>
      <x:c r="K25" s="15"/>
      <x:c r="L25" s="70" t="str">
        <x:f>IF(F25="","",IFERROR(INDEX('08_Rate_Cards'!$D:$D,MATCH(F25,'08_Rate_Cards'!$A:$A,0)),"NO RATE"))</x:f>
      </x:c>
      <x:c r="M25" s="70" t="str">
        <x:f>IF(OR(H25="",NOT(ISNUMBER(L25))),"",H25*L25)</x:f>
      </x:c>
      <x:c r="N25" s="15" t="str">
        <x:f>IF(COUNTA(B25:K25)=0,"",TEXTJOIN("; ",TRUE,IF(B25="","Missing work date",""),IF(C25="","Missing project",""),IF(F25="","Missing production code",""),IF(H25="","Missing quantity",""),IF(I25="","Missing unit",""),IF(L25="NO RATE","Missing rate card","")))</x:f>
      </x:c>
    </x:row>
    <x:row r="26" ht="20" customHeight="1">
      <x:c r="A26" s="15"/>
      <x:c r="B26" s="28"/>
      <x:c r="C26" s="15"/>
      <x:c r="D26" s="15"/>
      <x:c r="E26" s="15"/>
      <x:c r="F26" s="15"/>
      <x:c r="G26" s="15"/>
      <x:c r="H26" s="138"/>
      <x:c r="I26" s="15"/>
      <x:c r="J26" s="15"/>
      <x:c r="K26" s="15"/>
      <x:c r="L26" s="70" t="str">
        <x:f>IF(F26="","",IFERROR(INDEX('08_Rate_Cards'!$D:$D,MATCH(F26,'08_Rate_Cards'!$A:$A,0)),"NO RATE"))</x:f>
      </x:c>
      <x:c r="M26" s="70" t="str">
        <x:f>IF(OR(H26="",NOT(ISNUMBER(L26))),"",H26*L26)</x:f>
      </x:c>
      <x:c r="N26" s="15" t="str">
        <x:f>IF(COUNTA(B26:K26)=0,"",TEXTJOIN("; ",TRUE,IF(B26="","Missing work date",""),IF(C26="","Missing project",""),IF(F26="","Missing production code",""),IF(H26="","Missing quantity",""),IF(I26="","Missing unit",""),IF(L26="NO RATE","Missing rate card","")))</x:f>
      </x:c>
    </x:row>
    <x:row r="27" ht="20" customHeight="1">
      <x:c r="A27" s="15"/>
      <x:c r="B27" s="28"/>
      <x:c r="C27" s="15"/>
      <x:c r="D27" s="15"/>
      <x:c r="E27" s="15"/>
      <x:c r="F27" s="15"/>
      <x:c r="G27" s="15"/>
      <x:c r="H27" s="138"/>
      <x:c r="I27" s="15"/>
      <x:c r="J27" s="15"/>
      <x:c r="K27" s="15"/>
      <x:c r="L27" s="70" t="str">
        <x:f>IF(F27="","",IFERROR(INDEX('08_Rate_Cards'!$D:$D,MATCH(F27,'08_Rate_Cards'!$A:$A,0)),"NO RATE"))</x:f>
      </x:c>
      <x:c r="M27" s="70" t="str">
        <x:f>IF(OR(H27="",NOT(ISNUMBER(L27))),"",H27*L27)</x:f>
      </x:c>
      <x:c r="N27" s="15" t="str">
        <x:f>IF(COUNTA(B27:K27)=0,"",TEXTJOIN("; ",TRUE,IF(B27="","Missing work date",""),IF(C27="","Missing project",""),IF(F27="","Missing production code",""),IF(H27="","Missing quantity",""),IF(I27="","Missing unit",""),IF(L27="NO RATE","Missing rate card","")))</x:f>
      </x:c>
    </x:row>
    <x:row r="28" ht="20" customHeight="1">
      <x:c r="A28" s="15"/>
      <x:c r="B28" s="28"/>
      <x:c r="C28" s="15"/>
      <x:c r="D28" s="15"/>
      <x:c r="E28" s="15"/>
      <x:c r="F28" s="15"/>
      <x:c r="G28" s="15"/>
      <x:c r="H28" s="138"/>
      <x:c r="I28" s="15"/>
      <x:c r="J28" s="15"/>
      <x:c r="K28" s="15"/>
      <x:c r="L28" s="70" t="str">
        <x:f>IF(F28="","",IFERROR(INDEX('08_Rate_Cards'!$D:$D,MATCH(F28,'08_Rate_Cards'!$A:$A,0)),"NO RATE"))</x:f>
      </x:c>
      <x:c r="M28" s="70" t="str">
        <x:f>IF(OR(H28="",NOT(ISNUMBER(L28))),"",H28*L28)</x:f>
      </x:c>
      <x:c r="N28" s="15" t="str">
        <x:f>IF(COUNTA(B28:K28)=0,"",TEXTJOIN("; ",TRUE,IF(B28="","Missing work date",""),IF(C28="","Missing project",""),IF(F28="","Missing production code",""),IF(H28="","Missing quantity",""),IF(I28="","Missing unit",""),IF(L28="NO RATE","Missing rate card","")))</x:f>
      </x:c>
    </x:row>
    <x:row r="29" ht="20" customHeight="1">
      <x:c r="A29" s="15"/>
      <x:c r="B29" s="28"/>
      <x:c r="C29" s="15"/>
      <x:c r="D29" s="15"/>
      <x:c r="E29" s="15"/>
      <x:c r="F29" s="15"/>
      <x:c r="G29" s="15"/>
      <x:c r="H29" s="138"/>
      <x:c r="I29" s="15"/>
      <x:c r="J29" s="15"/>
      <x:c r="K29" s="15"/>
      <x:c r="L29" s="70" t="str">
        <x:f>IF(F29="","",IFERROR(INDEX('08_Rate_Cards'!$D:$D,MATCH(F29,'08_Rate_Cards'!$A:$A,0)),"NO RATE"))</x:f>
      </x:c>
      <x:c r="M29" s="70" t="str">
        <x:f>IF(OR(H29="",NOT(ISNUMBER(L29))),"",H29*L29)</x:f>
      </x:c>
      <x:c r="N29" s="15" t="str">
        <x:f>IF(COUNTA(B29:K29)=0,"",TEXTJOIN("; ",TRUE,IF(B29="","Missing work date",""),IF(C29="","Missing project",""),IF(F29="","Missing production code",""),IF(H29="","Missing quantity",""),IF(I29="","Missing unit",""),IF(L29="NO RATE","Missing rate card","")))</x:f>
      </x:c>
    </x:row>
    <x:row r="30" ht="20" customHeight="1">
      <x:c r="A30" s="15"/>
      <x:c r="B30" s="28"/>
      <x:c r="C30" s="15"/>
      <x:c r="D30" s="15"/>
      <x:c r="E30" s="15"/>
      <x:c r="F30" s="15"/>
      <x:c r="G30" s="15"/>
      <x:c r="H30" s="138"/>
      <x:c r="I30" s="15"/>
      <x:c r="J30" s="15"/>
      <x:c r="K30" s="15"/>
      <x:c r="L30" s="70" t="str">
        <x:f>IF(F30="","",IFERROR(INDEX('08_Rate_Cards'!$D:$D,MATCH(F30,'08_Rate_Cards'!$A:$A,0)),"NO RATE"))</x:f>
      </x:c>
      <x:c r="M30" s="70" t="str">
        <x:f>IF(OR(H30="",NOT(ISNUMBER(L30))),"",H30*L30)</x:f>
      </x:c>
      <x:c r="N30" s="15" t="str">
        <x:f>IF(COUNTA(B30:K30)=0,"",TEXTJOIN("; ",TRUE,IF(B30="","Missing work date",""),IF(C30="","Missing project",""),IF(F30="","Missing production code",""),IF(H30="","Missing quantity",""),IF(I30="","Missing unit",""),IF(L30="NO RATE","Missing rate card","")))</x:f>
      </x:c>
    </x:row>
    <x:row r="31" ht="20" customHeight="1">
      <x:c r="A31" s="15"/>
      <x:c r="B31" s="28"/>
      <x:c r="C31" s="15"/>
      <x:c r="D31" s="15"/>
      <x:c r="E31" s="15"/>
      <x:c r="F31" s="15"/>
      <x:c r="G31" s="15"/>
      <x:c r="H31" s="138"/>
      <x:c r="I31" s="15"/>
      <x:c r="J31" s="15"/>
      <x:c r="K31" s="15"/>
      <x:c r="L31" s="70" t="str">
        <x:f>IF(F31="","",IFERROR(INDEX('08_Rate_Cards'!$D:$D,MATCH(F31,'08_Rate_Cards'!$A:$A,0)),"NO RATE"))</x:f>
      </x:c>
      <x:c r="M31" s="70" t="str">
        <x:f>IF(OR(H31="",NOT(ISNUMBER(L31))),"",H31*L31)</x:f>
      </x:c>
      <x:c r="N31" s="15" t="str">
        <x:f>IF(COUNTA(B31:K31)=0,"",TEXTJOIN("; ",TRUE,IF(B31="","Missing work date",""),IF(C31="","Missing project",""),IF(F31="","Missing production code",""),IF(H31="","Missing quantity",""),IF(I31="","Missing unit",""),IF(L31="NO RATE","Missing rate card","")))</x:f>
      </x:c>
    </x:row>
    <x:row r="32" ht="20" customHeight="1">
      <x:c r="A32" s="15"/>
      <x:c r="B32" s="28"/>
      <x:c r="C32" s="15"/>
      <x:c r="D32" s="15"/>
      <x:c r="E32" s="15"/>
      <x:c r="F32" s="15"/>
      <x:c r="G32" s="15"/>
      <x:c r="H32" s="138"/>
      <x:c r="I32" s="15"/>
      <x:c r="J32" s="15"/>
      <x:c r="K32" s="15"/>
      <x:c r="L32" s="70" t="str">
        <x:f>IF(F32="","",IFERROR(INDEX('08_Rate_Cards'!$D:$D,MATCH(F32,'08_Rate_Cards'!$A:$A,0)),"NO RATE"))</x:f>
      </x:c>
      <x:c r="M32" s="70" t="str">
        <x:f>IF(OR(H32="",NOT(ISNUMBER(L32))),"",H32*L32)</x:f>
      </x:c>
      <x:c r="N32" s="15" t="str">
        <x:f>IF(COUNTA(B32:K32)=0,"",TEXTJOIN("; ",TRUE,IF(B32="","Missing work date",""),IF(C32="","Missing project",""),IF(F32="","Missing production code",""),IF(H32="","Missing quantity",""),IF(I32="","Missing unit",""),IF(L32="NO RATE","Missing rate card","")))</x:f>
      </x:c>
    </x:row>
    <x:row r="33" ht="20" customHeight="1">
      <x:c r="A33" s="15"/>
      <x:c r="B33" s="28"/>
      <x:c r="C33" s="15"/>
      <x:c r="D33" s="15"/>
      <x:c r="E33" s="15"/>
      <x:c r="F33" s="15"/>
      <x:c r="G33" s="15"/>
      <x:c r="H33" s="138"/>
      <x:c r="I33" s="15"/>
      <x:c r="J33" s="15"/>
      <x:c r="K33" s="15"/>
      <x:c r="L33" s="70" t="str">
        <x:f>IF(F33="","",IFERROR(INDEX('08_Rate_Cards'!$D:$D,MATCH(F33,'08_Rate_Cards'!$A:$A,0)),"NO RATE"))</x:f>
      </x:c>
      <x:c r="M33" s="70" t="str">
        <x:f>IF(OR(H33="",NOT(ISNUMBER(L33))),"",H33*L33)</x:f>
      </x:c>
      <x:c r="N33" s="15" t="str">
        <x:f>IF(COUNTA(B33:K33)=0,"",TEXTJOIN("; ",TRUE,IF(B33="","Missing work date",""),IF(C33="","Missing project",""),IF(F33="","Missing production code",""),IF(H33="","Missing quantity",""),IF(I33="","Missing unit",""),IF(L33="NO RATE","Missing rate card","")))</x:f>
      </x:c>
    </x:row>
    <x:row r="34" ht="20" customHeight="1">
      <x:c r="A34" s="15"/>
      <x:c r="B34" s="28"/>
      <x:c r="C34" s="15"/>
      <x:c r="D34" s="15"/>
      <x:c r="E34" s="15"/>
      <x:c r="F34" s="15"/>
      <x:c r="G34" s="15"/>
      <x:c r="H34" s="138"/>
      <x:c r="I34" s="15"/>
      <x:c r="J34" s="15"/>
      <x:c r="K34" s="15"/>
      <x:c r="L34" s="70" t="str">
        <x:f>IF(F34="","",IFERROR(INDEX('08_Rate_Cards'!$D:$D,MATCH(F34,'08_Rate_Cards'!$A:$A,0)),"NO RATE"))</x:f>
      </x:c>
      <x:c r="M34" s="70" t="str">
        <x:f>IF(OR(H34="",NOT(ISNUMBER(L34))),"",H34*L34)</x:f>
      </x:c>
      <x:c r="N34" s="15" t="str">
        <x:f>IF(COUNTA(B34:K34)=0,"",TEXTJOIN("; ",TRUE,IF(B34="","Missing work date",""),IF(C34="","Missing project",""),IF(F34="","Missing production code",""),IF(H34="","Missing quantity",""),IF(I34="","Missing unit",""),IF(L34="NO RATE","Missing rate card","")))</x:f>
      </x:c>
    </x:row>
    <x:row r="35" ht="20" customHeight="1">
      <x:c r="A35" s="15"/>
      <x:c r="B35" s="28"/>
      <x:c r="C35" s="15"/>
      <x:c r="D35" s="15"/>
      <x:c r="E35" s="15"/>
      <x:c r="F35" s="15"/>
      <x:c r="G35" s="15"/>
      <x:c r="H35" s="138"/>
      <x:c r="I35" s="15"/>
      <x:c r="J35" s="15"/>
      <x:c r="K35" s="15"/>
      <x:c r="L35" s="70" t="str">
        <x:f>IF(F35="","",IFERROR(INDEX('08_Rate_Cards'!$D:$D,MATCH(F35,'08_Rate_Cards'!$A:$A,0)),"NO RATE"))</x:f>
      </x:c>
      <x:c r="M35" s="70" t="str">
        <x:f>IF(OR(H35="",NOT(ISNUMBER(L35))),"",H35*L35)</x:f>
      </x:c>
      <x:c r="N35" s="15" t="str">
        <x:f>IF(COUNTA(B35:K35)=0,"",TEXTJOIN("; ",TRUE,IF(B35="","Missing work date",""),IF(C35="","Missing project",""),IF(F35="","Missing production code",""),IF(H35="","Missing quantity",""),IF(I35="","Missing unit",""),IF(L35="NO RATE","Missing rate card","")))</x:f>
      </x:c>
    </x:row>
    <x:row r="36" ht="20" customHeight="1">
      <x:c r="A36" s="15"/>
      <x:c r="B36" s="28"/>
      <x:c r="C36" s="15"/>
      <x:c r="D36" s="15"/>
      <x:c r="E36" s="15"/>
      <x:c r="F36" s="15"/>
      <x:c r="G36" s="15"/>
      <x:c r="H36" s="138"/>
      <x:c r="I36" s="15"/>
      <x:c r="J36" s="15"/>
      <x:c r="K36" s="15"/>
      <x:c r="L36" s="70" t="str">
        <x:f>IF(F36="","",IFERROR(INDEX('08_Rate_Cards'!$D:$D,MATCH(F36,'08_Rate_Cards'!$A:$A,0)),"NO RATE"))</x:f>
      </x:c>
      <x:c r="M36" s="70" t="str">
        <x:f>IF(OR(H36="",NOT(ISNUMBER(L36))),"",H36*L36)</x:f>
      </x:c>
      <x:c r="N36" s="15" t="str">
        <x:f>IF(COUNTA(B36:K36)=0,"",TEXTJOIN("; ",TRUE,IF(B36="","Missing work date",""),IF(C36="","Missing project",""),IF(F36="","Missing production code",""),IF(H36="","Missing quantity",""),IF(I36="","Missing unit",""),IF(L36="NO RATE","Missing rate card","")))</x:f>
      </x:c>
    </x:row>
    <x:row r="37" ht="20" customHeight="1">
      <x:c r="A37" s="15"/>
      <x:c r="B37" s="28"/>
      <x:c r="C37" s="15"/>
      <x:c r="D37" s="15"/>
      <x:c r="E37" s="15"/>
      <x:c r="F37" s="15"/>
      <x:c r="G37" s="15"/>
      <x:c r="H37" s="138"/>
      <x:c r="I37" s="15"/>
      <x:c r="J37" s="15"/>
      <x:c r="K37" s="15"/>
      <x:c r="L37" s="70" t="str">
        <x:f>IF(F37="","",IFERROR(INDEX('08_Rate_Cards'!$D:$D,MATCH(F37,'08_Rate_Cards'!$A:$A,0)),"NO RATE"))</x:f>
      </x:c>
      <x:c r="M37" s="70" t="str">
        <x:f>IF(OR(H37="",NOT(ISNUMBER(L37))),"",H37*L37)</x:f>
      </x:c>
      <x:c r="N37" s="15" t="str">
        <x:f>IF(COUNTA(B37:K37)=0,"",TEXTJOIN("; ",TRUE,IF(B37="","Missing work date",""),IF(C37="","Missing project",""),IF(F37="","Missing production code",""),IF(H37="","Missing quantity",""),IF(I37="","Missing unit",""),IF(L37="NO RATE","Missing rate card","")))</x:f>
      </x:c>
    </x:row>
    <x:row r="38" ht="20" customHeight="1">
      <x:c r="A38" s="15"/>
      <x:c r="B38" s="28"/>
      <x:c r="C38" s="15"/>
      <x:c r="D38" s="15"/>
      <x:c r="E38" s="15"/>
      <x:c r="F38" s="15"/>
      <x:c r="G38" s="15"/>
      <x:c r="H38" s="138"/>
      <x:c r="I38" s="15"/>
      <x:c r="J38" s="15"/>
      <x:c r="K38" s="15"/>
      <x:c r="L38" s="70" t="str">
        <x:f>IF(F38="","",IFERROR(INDEX('08_Rate_Cards'!$D:$D,MATCH(F38,'08_Rate_Cards'!$A:$A,0)),"NO RATE"))</x:f>
      </x:c>
      <x:c r="M38" s="70" t="str">
        <x:f>IF(OR(H38="",NOT(ISNUMBER(L38))),"",H38*L38)</x:f>
      </x:c>
      <x:c r="N38" s="15" t="str">
        <x:f>IF(COUNTA(B38:K38)=0,"",TEXTJOIN("; ",TRUE,IF(B38="","Missing work date",""),IF(C38="","Missing project",""),IF(F38="","Missing production code",""),IF(H38="","Missing quantity",""),IF(I38="","Missing unit",""),IF(L38="NO RATE","Missing rate card","")))</x:f>
      </x:c>
    </x:row>
    <x:row r="39" ht="20" customHeight="1">
      <x:c r="A39" s="15"/>
      <x:c r="B39" s="28"/>
      <x:c r="C39" s="15"/>
      <x:c r="D39" s="15"/>
      <x:c r="E39" s="15"/>
      <x:c r="F39" s="15"/>
      <x:c r="G39" s="15"/>
      <x:c r="H39" s="138"/>
      <x:c r="I39" s="15"/>
      <x:c r="J39" s="15"/>
      <x:c r="K39" s="15"/>
      <x:c r="L39" s="70" t="str">
        <x:f>IF(F39="","",IFERROR(INDEX('08_Rate_Cards'!$D:$D,MATCH(F39,'08_Rate_Cards'!$A:$A,0)),"NO RATE"))</x:f>
      </x:c>
      <x:c r="M39" s="70" t="str">
        <x:f>IF(OR(H39="",NOT(ISNUMBER(L39))),"",H39*L39)</x:f>
      </x:c>
      <x:c r="N39" s="15" t="str">
        <x:f>IF(COUNTA(B39:K39)=0,"",TEXTJOIN("; ",TRUE,IF(B39="","Missing work date",""),IF(C39="","Missing project",""),IF(F39="","Missing production code",""),IF(H39="","Missing quantity",""),IF(I39="","Missing unit",""),IF(L39="NO RATE","Missing rate card","")))</x:f>
      </x:c>
    </x:row>
    <x:row r="40" ht="20" customHeight="1">
      <x:c r="A40" s="15"/>
      <x:c r="B40" s="28"/>
      <x:c r="C40" s="15"/>
      <x:c r="D40" s="15"/>
      <x:c r="E40" s="15"/>
      <x:c r="F40" s="15"/>
      <x:c r="G40" s="15"/>
      <x:c r="H40" s="138"/>
      <x:c r="I40" s="15"/>
      <x:c r="J40" s="15"/>
      <x:c r="K40" s="15"/>
      <x:c r="L40" s="70" t="str">
        <x:f>IF(F40="","",IFERROR(INDEX('08_Rate_Cards'!$D:$D,MATCH(F40,'08_Rate_Cards'!$A:$A,0)),"NO RATE"))</x:f>
      </x:c>
      <x:c r="M40" s="70" t="str">
        <x:f>IF(OR(H40="",NOT(ISNUMBER(L40))),"",H40*L40)</x:f>
      </x:c>
      <x:c r="N40" s="15" t="str">
        <x:f>IF(COUNTA(B40:K40)=0,"",TEXTJOIN("; ",TRUE,IF(B40="","Missing work date",""),IF(C40="","Missing project",""),IF(F40="","Missing production code",""),IF(H40="","Missing quantity",""),IF(I40="","Missing unit",""),IF(L40="NO RATE","Missing rate card","")))</x:f>
      </x:c>
    </x:row>
    <x:row r="41" ht="20" customHeight="1">
      <x:c r="A41" s="15"/>
      <x:c r="B41" s="28"/>
      <x:c r="C41" s="15"/>
      <x:c r="D41" s="15"/>
      <x:c r="E41" s="15"/>
      <x:c r="F41" s="15"/>
      <x:c r="G41" s="15"/>
      <x:c r="H41" s="138"/>
      <x:c r="I41" s="15"/>
      <x:c r="J41" s="15"/>
      <x:c r="K41" s="15"/>
      <x:c r="L41" s="70" t="str">
        <x:f>IF(F41="","",IFERROR(INDEX('08_Rate_Cards'!$D:$D,MATCH(F41,'08_Rate_Cards'!$A:$A,0)),"NO RATE"))</x:f>
      </x:c>
      <x:c r="M41" s="70" t="str">
        <x:f>IF(OR(H41="",NOT(ISNUMBER(L41))),"",H41*L41)</x:f>
      </x:c>
      <x:c r="N41" s="15" t="str">
        <x:f>IF(COUNTA(B41:K41)=0,"",TEXTJOIN("; ",TRUE,IF(B41="","Missing work date",""),IF(C41="","Missing project",""),IF(F41="","Missing production code",""),IF(H41="","Missing quantity",""),IF(I41="","Missing unit",""),IF(L41="NO RATE","Missing rate card","")))</x:f>
      </x:c>
    </x:row>
    <x:row r="42" ht="20" customHeight="1">
      <x:c r="A42" s="15"/>
      <x:c r="B42" s="28"/>
      <x:c r="C42" s="15"/>
      <x:c r="D42" s="15"/>
      <x:c r="E42" s="15"/>
      <x:c r="F42" s="15"/>
      <x:c r="G42" s="15"/>
      <x:c r="H42" s="138"/>
      <x:c r="I42" s="15"/>
      <x:c r="J42" s="15"/>
      <x:c r="K42" s="15"/>
      <x:c r="L42" s="70" t="str">
        <x:f>IF(F42="","",IFERROR(INDEX('08_Rate_Cards'!$D:$D,MATCH(F42,'08_Rate_Cards'!$A:$A,0)),"NO RATE"))</x:f>
      </x:c>
      <x:c r="M42" s="70" t="str">
        <x:f>IF(OR(H42="",NOT(ISNUMBER(L42))),"",H42*L42)</x:f>
      </x:c>
      <x:c r="N42" s="15" t="str">
        <x:f>IF(COUNTA(B42:K42)=0,"",TEXTJOIN("; ",TRUE,IF(B42="","Missing work date",""),IF(C42="","Missing project",""),IF(F42="","Missing production code",""),IF(H42="","Missing quantity",""),IF(I42="","Missing unit",""),IF(L42="NO RATE","Missing rate card","")))</x:f>
      </x:c>
    </x:row>
    <x:row r="43" ht="20" customHeight="1">
      <x:c r="A43" s="15"/>
      <x:c r="B43" s="28"/>
      <x:c r="C43" s="15"/>
      <x:c r="D43" s="15"/>
      <x:c r="E43" s="15"/>
      <x:c r="F43" s="15"/>
      <x:c r="G43" s="15"/>
      <x:c r="H43" s="138"/>
      <x:c r="I43" s="15"/>
      <x:c r="J43" s="15"/>
      <x:c r="K43" s="15"/>
      <x:c r="L43" s="70" t="str">
        <x:f>IF(F43="","",IFERROR(INDEX('08_Rate_Cards'!$D:$D,MATCH(F43,'08_Rate_Cards'!$A:$A,0)),"NO RATE"))</x:f>
      </x:c>
      <x:c r="M43" s="70" t="str">
        <x:f>IF(OR(H43="",NOT(ISNUMBER(L43))),"",H43*L43)</x:f>
      </x:c>
      <x:c r="N43" s="15" t="str">
        <x:f>IF(COUNTA(B43:K43)=0,"",TEXTJOIN("; ",TRUE,IF(B43="","Missing work date",""),IF(C43="","Missing project",""),IF(F43="","Missing production code",""),IF(H43="","Missing quantity",""),IF(I43="","Missing unit",""),IF(L43="NO RATE","Missing rate card","")))</x:f>
      </x:c>
    </x:row>
    <x:row r="44" ht="20" customHeight="1">
      <x:c r="A44" s="15"/>
      <x:c r="B44" s="28"/>
      <x:c r="C44" s="15"/>
      <x:c r="D44" s="15"/>
      <x:c r="E44" s="15"/>
      <x:c r="F44" s="15"/>
      <x:c r="G44" s="15"/>
      <x:c r="H44" s="138"/>
      <x:c r="I44" s="15"/>
      <x:c r="J44" s="15"/>
      <x:c r="K44" s="15"/>
      <x:c r="L44" s="70" t="str">
        <x:f>IF(F44="","",IFERROR(INDEX('08_Rate_Cards'!$D:$D,MATCH(F44,'08_Rate_Cards'!$A:$A,0)),"NO RATE"))</x:f>
      </x:c>
      <x:c r="M44" s="70" t="str">
        <x:f>IF(OR(H44="",NOT(ISNUMBER(L44))),"",H44*L44)</x:f>
      </x:c>
      <x:c r="N44" s="15" t="str">
        <x:f>IF(COUNTA(B44:K44)=0,"",TEXTJOIN("; ",TRUE,IF(B44="","Missing work date",""),IF(C44="","Missing project",""),IF(F44="","Missing production code",""),IF(H44="","Missing quantity",""),IF(I44="","Missing unit",""),IF(L44="NO RATE","Missing rate card","")))</x:f>
      </x:c>
    </x:row>
    <x:row r="45" ht="20" customHeight="1">
      <x:c r="A45" s="15"/>
      <x:c r="B45" s="28"/>
      <x:c r="C45" s="15"/>
      <x:c r="D45" s="15"/>
      <x:c r="E45" s="15"/>
      <x:c r="F45" s="15"/>
      <x:c r="G45" s="15"/>
      <x:c r="H45" s="138"/>
      <x:c r="I45" s="15"/>
      <x:c r="J45" s="15"/>
      <x:c r="K45" s="15"/>
      <x:c r="L45" s="70" t="str">
        <x:f>IF(F45="","",IFERROR(INDEX('08_Rate_Cards'!$D:$D,MATCH(F45,'08_Rate_Cards'!$A:$A,0)),"NO RATE"))</x:f>
      </x:c>
      <x:c r="M45" s="70" t="str">
        <x:f>IF(OR(H45="",NOT(ISNUMBER(L45))),"",H45*L45)</x:f>
      </x:c>
      <x:c r="N45" s="15" t="str">
        <x:f>IF(COUNTA(B45:K45)=0,"",TEXTJOIN("; ",TRUE,IF(B45="","Missing work date",""),IF(C45="","Missing project",""),IF(F45="","Missing production code",""),IF(H45="","Missing quantity",""),IF(I45="","Missing unit",""),IF(L45="NO RATE","Missing rate card","")))</x:f>
      </x:c>
    </x:row>
    <x:row r="46" ht="20" customHeight="1">
      <x:c r="A46" s="15"/>
      <x:c r="B46" s="28"/>
      <x:c r="C46" s="15"/>
      <x:c r="D46" s="15"/>
      <x:c r="E46" s="15"/>
      <x:c r="F46" s="15"/>
      <x:c r="G46" s="15"/>
      <x:c r="H46" s="138"/>
      <x:c r="I46" s="15"/>
      <x:c r="J46" s="15"/>
      <x:c r="K46" s="15"/>
      <x:c r="L46" s="70" t="str">
        <x:f>IF(F46="","",IFERROR(INDEX('08_Rate_Cards'!$D:$D,MATCH(F46,'08_Rate_Cards'!$A:$A,0)),"NO RATE"))</x:f>
      </x:c>
      <x:c r="M46" s="70" t="str">
        <x:f>IF(OR(H46="",NOT(ISNUMBER(L46))),"",H46*L46)</x:f>
      </x:c>
      <x:c r="N46" s="15" t="str">
        <x:f>IF(COUNTA(B46:K46)=0,"",TEXTJOIN("; ",TRUE,IF(B46="","Missing work date",""),IF(C46="","Missing project",""),IF(F46="","Missing production code",""),IF(H46="","Missing quantity",""),IF(I46="","Missing unit",""),IF(L46="NO RATE","Missing rate card","")))</x:f>
      </x:c>
    </x:row>
    <x:row r="47" ht="20" customHeight="1">
      <x:c r="A47" s="15"/>
      <x:c r="B47" s="28"/>
      <x:c r="C47" s="15"/>
      <x:c r="D47" s="15"/>
      <x:c r="E47" s="15"/>
      <x:c r="F47" s="15"/>
      <x:c r="G47" s="15"/>
      <x:c r="H47" s="138"/>
      <x:c r="I47" s="15"/>
      <x:c r="J47" s="15"/>
      <x:c r="K47" s="15"/>
      <x:c r="L47" s="70" t="str">
        <x:f>IF(F47="","",IFERROR(INDEX('08_Rate_Cards'!$D:$D,MATCH(F47,'08_Rate_Cards'!$A:$A,0)),"NO RATE"))</x:f>
      </x:c>
      <x:c r="M47" s="70" t="str">
        <x:f>IF(OR(H47="",NOT(ISNUMBER(L47))),"",H47*L47)</x:f>
      </x:c>
      <x:c r="N47" s="15" t="str">
        <x:f>IF(COUNTA(B47:K47)=0,"",TEXTJOIN("; ",TRUE,IF(B47="","Missing work date",""),IF(C47="","Missing project",""),IF(F47="","Missing production code",""),IF(H47="","Missing quantity",""),IF(I47="","Missing unit",""),IF(L47="NO RATE","Missing rate card","")))</x:f>
      </x:c>
    </x:row>
    <x:row r="48" ht="20" customHeight="1">
      <x:c r="A48" s="15"/>
      <x:c r="B48" s="28"/>
      <x:c r="C48" s="15"/>
      <x:c r="D48" s="15"/>
      <x:c r="E48" s="15"/>
      <x:c r="F48" s="15"/>
      <x:c r="G48" s="15"/>
      <x:c r="H48" s="138"/>
      <x:c r="I48" s="15"/>
      <x:c r="J48" s="15"/>
      <x:c r="K48" s="15"/>
      <x:c r="L48" s="70" t="str">
        <x:f>IF(F48="","",IFERROR(INDEX('08_Rate_Cards'!$D:$D,MATCH(F48,'08_Rate_Cards'!$A:$A,0)),"NO RATE"))</x:f>
      </x:c>
      <x:c r="M48" s="70" t="str">
        <x:f>IF(OR(H48="",NOT(ISNUMBER(L48))),"",H48*L48)</x:f>
      </x:c>
      <x:c r="N48" s="15" t="str">
        <x:f>IF(COUNTA(B48:K48)=0,"",TEXTJOIN("; ",TRUE,IF(B48="","Missing work date",""),IF(C48="","Missing project",""),IF(F48="","Missing production code",""),IF(H48="","Missing quantity",""),IF(I48="","Missing unit",""),IF(L48="NO RATE","Missing rate card","")))</x:f>
      </x:c>
    </x:row>
    <x:row r="49" ht="20" customHeight="1">
      <x:c r="A49" s="15"/>
      <x:c r="B49" s="28"/>
      <x:c r="C49" s="15"/>
      <x:c r="D49" s="15"/>
      <x:c r="E49" s="15"/>
      <x:c r="F49" s="15"/>
      <x:c r="G49" s="15"/>
      <x:c r="H49" s="138"/>
      <x:c r="I49" s="15"/>
      <x:c r="J49" s="15"/>
      <x:c r="K49" s="15"/>
      <x:c r="L49" s="70" t="str">
        <x:f>IF(F49="","",IFERROR(INDEX('08_Rate_Cards'!$D:$D,MATCH(F49,'08_Rate_Cards'!$A:$A,0)),"NO RATE"))</x:f>
      </x:c>
      <x:c r="M49" s="70" t="str">
        <x:f>IF(OR(H49="",NOT(ISNUMBER(L49))),"",H49*L49)</x:f>
      </x:c>
      <x:c r="N49" s="15" t="str">
        <x:f>IF(COUNTA(B49:K49)=0,"",TEXTJOIN("; ",TRUE,IF(B49="","Missing work date",""),IF(C49="","Missing project",""),IF(F49="","Missing production code",""),IF(H49="","Missing quantity",""),IF(I49="","Missing unit",""),IF(L49="NO RATE","Missing rate card","")))</x:f>
      </x:c>
    </x:row>
    <x:row r="50" ht="20" customHeight="1">
      <x:c r="A50" s="15"/>
      <x:c r="B50" s="28"/>
      <x:c r="C50" s="15"/>
      <x:c r="D50" s="15"/>
      <x:c r="E50" s="15"/>
      <x:c r="F50" s="15"/>
      <x:c r="G50" s="15"/>
      <x:c r="H50" s="138"/>
      <x:c r="I50" s="15"/>
      <x:c r="J50" s="15"/>
      <x:c r="K50" s="15"/>
      <x:c r="L50" s="70" t="str">
        <x:f>IF(F50="","",IFERROR(INDEX('08_Rate_Cards'!$D:$D,MATCH(F50,'08_Rate_Cards'!$A:$A,0)),"NO RATE"))</x:f>
      </x:c>
      <x:c r="M50" s="70" t="str">
        <x:f>IF(OR(H50="",NOT(ISNUMBER(L50))),"",H50*L50)</x:f>
      </x:c>
      <x:c r="N50" s="15" t="str">
        <x:f>IF(COUNTA(B50:K50)=0,"",TEXTJOIN("; ",TRUE,IF(B50="","Missing work date",""),IF(C50="","Missing project",""),IF(F50="","Missing production code",""),IF(H50="","Missing quantity",""),IF(I50="","Missing unit",""),IF(L50="NO RATE","Missing rate card","")))</x:f>
      </x:c>
    </x:row>
    <x:row r="51" ht="20" customHeight="1">
      <x:c r="A51" s="15"/>
      <x:c r="B51" s="28"/>
      <x:c r="C51" s="15"/>
      <x:c r="D51" s="15"/>
      <x:c r="E51" s="15"/>
      <x:c r="F51" s="15"/>
      <x:c r="G51" s="15"/>
      <x:c r="H51" s="138"/>
      <x:c r="I51" s="15"/>
      <x:c r="J51" s="15"/>
      <x:c r="K51" s="15"/>
      <x:c r="L51" s="70" t="str">
        <x:f>IF(F51="","",IFERROR(INDEX('08_Rate_Cards'!$D:$D,MATCH(F51,'08_Rate_Cards'!$A:$A,0)),"NO RATE"))</x:f>
      </x:c>
      <x:c r="M51" s="70" t="str">
        <x:f>IF(OR(H51="",NOT(ISNUMBER(L51))),"",H51*L51)</x:f>
      </x:c>
      <x:c r="N51" s="15" t="str">
        <x:f>IF(COUNTA(B51:K51)=0,"",TEXTJOIN("; ",TRUE,IF(B51="","Missing work date",""),IF(C51="","Missing project",""),IF(F51="","Missing production code",""),IF(H51="","Missing quantity",""),IF(I51="","Missing unit",""),IF(L51="NO RATE","Missing rate card","")))</x:f>
      </x:c>
    </x:row>
    <x:row r="52" ht="20" customHeight="1">
      <x:c r="A52" s="15"/>
      <x:c r="B52" s="28"/>
      <x:c r="C52" s="15"/>
      <x:c r="D52" s="15"/>
      <x:c r="E52" s="15"/>
      <x:c r="F52" s="15"/>
      <x:c r="G52" s="15"/>
      <x:c r="H52" s="138"/>
      <x:c r="I52" s="15"/>
      <x:c r="J52" s="15"/>
      <x:c r="K52" s="15"/>
      <x:c r="L52" s="70" t="str">
        <x:f>IF(F52="","",IFERROR(INDEX('08_Rate_Cards'!$D:$D,MATCH(F52,'08_Rate_Cards'!$A:$A,0)),"NO RATE"))</x:f>
      </x:c>
      <x:c r="M52" s="70" t="str">
        <x:f>IF(OR(H52="",NOT(ISNUMBER(L52))),"",H52*L52)</x:f>
      </x:c>
      <x:c r="N52" s="15" t="str">
        <x:f>IF(COUNTA(B52:K52)=0,"",TEXTJOIN("; ",TRUE,IF(B52="","Missing work date",""),IF(C52="","Missing project",""),IF(F52="","Missing production code",""),IF(H52="","Missing quantity",""),IF(I52="","Missing unit",""),IF(L52="NO RATE","Missing rate card","")))</x:f>
      </x:c>
    </x:row>
    <x:row r="53" ht="20" customHeight="1">
      <x:c r="A53" s="15"/>
      <x:c r="B53" s="28"/>
      <x:c r="C53" s="15"/>
      <x:c r="D53" s="15"/>
      <x:c r="E53" s="15"/>
      <x:c r="F53" s="15"/>
      <x:c r="G53" s="15"/>
      <x:c r="H53" s="138"/>
      <x:c r="I53" s="15"/>
      <x:c r="J53" s="15"/>
      <x:c r="K53" s="15"/>
      <x:c r="L53" s="70" t="str">
        <x:f>IF(F53="","",IFERROR(INDEX('08_Rate_Cards'!$D:$D,MATCH(F53,'08_Rate_Cards'!$A:$A,0)),"NO RATE"))</x:f>
      </x:c>
      <x:c r="M53" s="70" t="str">
        <x:f>IF(OR(H53="",NOT(ISNUMBER(L53))),"",H53*L53)</x:f>
      </x:c>
      <x:c r="N53" s="15" t="str">
        <x:f>IF(COUNTA(B53:K53)=0,"",TEXTJOIN("; ",TRUE,IF(B53="","Missing work date",""),IF(C53="","Missing project",""),IF(F53="","Missing production code",""),IF(H53="","Missing quantity",""),IF(I53="","Missing unit",""),IF(L53="NO RATE","Missing rate card","")))</x:f>
      </x:c>
    </x:row>
    <x:row r="54" ht="20" customHeight="1">
      <x:c r="A54" s="15"/>
      <x:c r="B54" s="28"/>
      <x:c r="C54" s="15"/>
      <x:c r="D54" s="15"/>
      <x:c r="E54" s="15"/>
      <x:c r="F54" s="15"/>
      <x:c r="G54" s="15"/>
      <x:c r="H54" s="138"/>
      <x:c r="I54" s="15"/>
      <x:c r="J54" s="15"/>
      <x:c r="K54" s="15"/>
      <x:c r="L54" s="70" t="str">
        <x:f>IF(F54="","",IFERROR(INDEX('08_Rate_Cards'!$D:$D,MATCH(F54,'08_Rate_Cards'!$A:$A,0)),"NO RATE"))</x:f>
      </x:c>
      <x:c r="M54" s="70" t="str">
        <x:f>IF(OR(H54="",NOT(ISNUMBER(L54))),"",H54*L54)</x:f>
      </x:c>
      <x:c r="N54" s="15" t="str">
        <x:f>IF(COUNTA(B54:K54)=0,"",TEXTJOIN("; ",TRUE,IF(B54="","Missing work date",""),IF(C54="","Missing project",""),IF(F54="","Missing production code",""),IF(H54="","Missing quantity",""),IF(I54="","Missing unit",""),IF(L54="NO RATE","Missing rate card","")))</x:f>
      </x:c>
    </x:row>
    <x:row r="55" ht="20" customHeight="1">
      <x:c r="A55" s="15"/>
      <x:c r="B55" s="28"/>
      <x:c r="C55" s="15"/>
      <x:c r="D55" s="15"/>
      <x:c r="E55" s="15"/>
      <x:c r="F55" s="15"/>
      <x:c r="G55" s="15"/>
      <x:c r="H55" s="138"/>
      <x:c r="I55" s="15"/>
      <x:c r="J55" s="15"/>
      <x:c r="K55" s="15"/>
      <x:c r="L55" s="70" t="str">
        <x:f>IF(F55="","",IFERROR(INDEX('08_Rate_Cards'!$D:$D,MATCH(F55,'08_Rate_Cards'!$A:$A,0)),"NO RATE"))</x:f>
      </x:c>
      <x:c r="M55" s="70" t="str">
        <x:f>IF(OR(H55="",NOT(ISNUMBER(L55))),"",H55*L55)</x:f>
      </x:c>
      <x:c r="N55" s="15" t="str">
        <x:f>IF(COUNTA(B55:K55)=0,"",TEXTJOIN("; ",TRUE,IF(B55="","Missing work date",""),IF(C55="","Missing project",""),IF(F55="","Missing production code",""),IF(H55="","Missing quantity",""),IF(I55="","Missing unit",""),IF(L55="NO RATE","Missing rate card","")))</x:f>
      </x:c>
    </x:row>
    <x:row r="56" ht="20" customHeight="1">
      <x:c r="A56" s="15"/>
      <x:c r="B56" s="28"/>
      <x:c r="C56" s="15"/>
      <x:c r="D56" s="15"/>
      <x:c r="E56" s="15"/>
      <x:c r="F56" s="15"/>
      <x:c r="G56" s="15"/>
      <x:c r="H56" s="138"/>
      <x:c r="I56" s="15"/>
      <x:c r="J56" s="15"/>
      <x:c r="K56" s="15"/>
      <x:c r="L56" s="70" t="str">
        <x:f>IF(F56="","",IFERROR(INDEX('08_Rate_Cards'!$D:$D,MATCH(F56,'08_Rate_Cards'!$A:$A,0)),"NO RATE"))</x:f>
      </x:c>
      <x:c r="M56" s="70" t="str">
        <x:f>IF(OR(H56="",NOT(ISNUMBER(L56))),"",H56*L56)</x:f>
      </x:c>
      <x:c r="N56" s="15" t="str">
        <x:f>IF(COUNTA(B56:K56)=0,"",TEXTJOIN("; ",TRUE,IF(B56="","Missing work date",""),IF(C56="","Missing project",""),IF(F56="","Missing production code",""),IF(H56="","Missing quantity",""),IF(I56="","Missing unit",""),IF(L56="NO RATE","Missing rate card","")))</x:f>
      </x:c>
    </x:row>
    <x:row r="57" ht="20" customHeight="1">
      <x:c r="A57" s="15"/>
      <x:c r="B57" s="28"/>
      <x:c r="C57" s="15"/>
      <x:c r="D57" s="15"/>
      <x:c r="E57" s="15"/>
      <x:c r="F57" s="15"/>
      <x:c r="G57" s="15"/>
      <x:c r="H57" s="138"/>
      <x:c r="I57" s="15"/>
      <x:c r="J57" s="15"/>
      <x:c r="K57" s="15"/>
      <x:c r="L57" s="70" t="str">
        <x:f>IF(F57="","",IFERROR(INDEX('08_Rate_Cards'!$D:$D,MATCH(F57,'08_Rate_Cards'!$A:$A,0)),"NO RATE"))</x:f>
      </x:c>
      <x:c r="M57" s="70" t="str">
        <x:f>IF(OR(H57="",NOT(ISNUMBER(L57))),"",H57*L57)</x:f>
      </x:c>
      <x:c r="N57" s="15" t="str">
        <x:f>IF(COUNTA(B57:K57)=0,"",TEXTJOIN("; ",TRUE,IF(B57="","Missing work date",""),IF(C57="","Missing project",""),IF(F57="","Missing production code",""),IF(H57="","Missing quantity",""),IF(I57="","Missing unit",""),IF(L57="NO RATE","Missing rate card","")))</x:f>
      </x:c>
    </x:row>
    <x:row r="58" ht="20" customHeight="1">
      <x:c r="A58" s="15"/>
      <x:c r="B58" s="28"/>
      <x:c r="C58" s="15"/>
      <x:c r="D58" s="15"/>
      <x:c r="E58" s="15"/>
      <x:c r="F58" s="15"/>
      <x:c r="G58" s="15"/>
      <x:c r="H58" s="138"/>
      <x:c r="I58" s="15"/>
      <x:c r="J58" s="15"/>
      <x:c r="K58" s="15"/>
      <x:c r="L58" s="70" t="str">
        <x:f>IF(F58="","",IFERROR(INDEX('08_Rate_Cards'!$D:$D,MATCH(F58,'08_Rate_Cards'!$A:$A,0)),"NO RATE"))</x:f>
      </x:c>
      <x:c r="M58" s="70" t="str">
        <x:f>IF(OR(H58="",NOT(ISNUMBER(L58))),"",H58*L58)</x:f>
      </x:c>
      <x:c r="N58" s="15" t="str">
        <x:f>IF(COUNTA(B58:K58)=0,"",TEXTJOIN("; ",TRUE,IF(B58="","Missing work date",""),IF(C58="","Missing project",""),IF(F58="","Missing production code",""),IF(H58="","Missing quantity",""),IF(I58="","Missing unit",""),IF(L58="NO RATE","Missing rate card","")))</x:f>
      </x:c>
    </x:row>
    <x:row r="59" ht="20" customHeight="1">
      <x:c r="A59" s="15"/>
      <x:c r="B59" s="28"/>
      <x:c r="C59" s="15"/>
      <x:c r="D59" s="15"/>
      <x:c r="E59" s="15"/>
      <x:c r="F59" s="15"/>
      <x:c r="G59" s="15"/>
      <x:c r="H59" s="138"/>
      <x:c r="I59" s="15"/>
      <x:c r="J59" s="15"/>
      <x:c r="K59" s="15"/>
      <x:c r="L59" s="70" t="str">
        <x:f>IF(F59="","",IFERROR(INDEX('08_Rate_Cards'!$D:$D,MATCH(F59,'08_Rate_Cards'!$A:$A,0)),"NO RATE"))</x:f>
      </x:c>
      <x:c r="M59" s="70" t="str">
        <x:f>IF(OR(H59="",NOT(ISNUMBER(L59))),"",H59*L59)</x:f>
      </x:c>
      <x:c r="N59" s="15" t="str">
        <x:f>IF(COUNTA(B59:K59)=0,"",TEXTJOIN("; ",TRUE,IF(B59="","Missing work date",""),IF(C59="","Missing project",""),IF(F59="","Missing production code",""),IF(H59="","Missing quantity",""),IF(I59="","Missing unit",""),IF(L59="NO RATE","Missing rate card","")))</x:f>
      </x:c>
    </x:row>
    <x:row r="60" ht="20" customHeight="1">
      <x:c r="A60" s="15"/>
      <x:c r="B60" s="28"/>
      <x:c r="C60" s="15"/>
      <x:c r="D60" s="15"/>
      <x:c r="E60" s="15"/>
      <x:c r="F60" s="15"/>
      <x:c r="G60" s="15"/>
      <x:c r="H60" s="138"/>
      <x:c r="I60" s="15"/>
      <x:c r="J60" s="15"/>
      <x:c r="K60" s="15"/>
      <x:c r="L60" s="70" t="str">
        <x:f>IF(F60="","",IFERROR(INDEX('08_Rate_Cards'!$D:$D,MATCH(F60,'08_Rate_Cards'!$A:$A,0)),"NO RATE"))</x:f>
      </x:c>
      <x:c r="M60" s="70" t="str">
        <x:f>IF(OR(H60="",NOT(ISNUMBER(L60))),"",H60*L60)</x:f>
      </x:c>
      <x:c r="N60" s="15" t="str">
        <x:f>IF(COUNTA(B60:K60)=0,"",TEXTJOIN("; ",TRUE,IF(B60="","Missing work date",""),IF(C60="","Missing project",""),IF(F60="","Missing production code",""),IF(H60="","Missing quantity",""),IF(I60="","Missing unit",""),IF(L60="NO RATE","Missing rate card","")))</x:f>
      </x:c>
    </x:row>
    <x:row r="61" ht="20" customHeight="1">
      <x:c r="A61" s="15"/>
      <x:c r="B61" s="28"/>
      <x:c r="C61" s="15"/>
      <x:c r="D61" s="15"/>
      <x:c r="E61" s="15"/>
      <x:c r="F61" s="15"/>
      <x:c r="G61" s="15"/>
      <x:c r="H61" s="138"/>
      <x:c r="I61" s="15"/>
      <x:c r="J61" s="15"/>
      <x:c r="K61" s="15"/>
      <x:c r="L61" s="70" t="str">
        <x:f>IF(F61="","",IFERROR(INDEX('08_Rate_Cards'!$D:$D,MATCH(F61,'08_Rate_Cards'!$A:$A,0)),"NO RATE"))</x:f>
      </x:c>
      <x:c r="M61" s="70" t="str">
        <x:f>IF(OR(H61="",NOT(ISNUMBER(L61))),"",H61*L61)</x:f>
      </x:c>
      <x:c r="N61" s="15" t="str">
        <x:f>IF(COUNTA(B61:K61)=0,"",TEXTJOIN("; ",TRUE,IF(B61="","Missing work date",""),IF(C61="","Missing project",""),IF(F61="","Missing production code",""),IF(H61="","Missing quantity",""),IF(I61="","Missing unit",""),IF(L61="NO RATE","Missing rate card","")))</x:f>
      </x:c>
    </x:row>
    <x:row r="62" ht="20" customHeight="1">
      <x:c r="A62" s="15"/>
      <x:c r="B62" s="28"/>
      <x:c r="C62" s="15"/>
      <x:c r="D62" s="15"/>
      <x:c r="E62" s="15"/>
      <x:c r="F62" s="15"/>
      <x:c r="G62" s="15"/>
      <x:c r="H62" s="138"/>
      <x:c r="I62" s="15"/>
      <x:c r="J62" s="15"/>
      <x:c r="K62" s="15"/>
      <x:c r="L62" s="70" t="str">
        <x:f>IF(F62="","",IFERROR(INDEX('08_Rate_Cards'!$D:$D,MATCH(F62,'08_Rate_Cards'!$A:$A,0)),"NO RATE"))</x:f>
      </x:c>
      <x:c r="M62" s="70" t="str">
        <x:f>IF(OR(H62="",NOT(ISNUMBER(L62))),"",H62*L62)</x:f>
      </x:c>
      <x:c r="N62" s="15" t="str">
        <x:f>IF(COUNTA(B62:K62)=0,"",TEXTJOIN("; ",TRUE,IF(B62="","Missing work date",""),IF(C62="","Missing project",""),IF(F62="","Missing production code",""),IF(H62="","Missing quantity",""),IF(I62="","Missing unit",""),IF(L62="NO RATE","Missing rate card","")))</x:f>
      </x:c>
    </x:row>
    <x:row r="63" ht="20" customHeight="1">
      <x:c r="A63" s="15"/>
      <x:c r="B63" s="28"/>
      <x:c r="C63" s="15"/>
      <x:c r="D63" s="15"/>
      <x:c r="E63" s="15"/>
      <x:c r="F63" s="15"/>
      <x:c r="G63" s="15"/>
      <x:c r="H63" s="138"/>
      <x:c r="I63" s="15"/>
      <x:c r="J63" s="15"/>
      <x:c r="K63" s="15"/>
      <x:c r="L63" s="70" t="str">
        <x:f>IF(F63="","",IFERROR(INDEX('08_Rate_Cards'!$D:$D,MATCH(F63,'08_Rate_Cards'!$A:$A,0)),"NO RATE"))</x:f>
      </x:c>
      <x:c r="M63" s="70" t="str">
        <x:f>IF(OR(H63="",NOT(ISNUMBER(L63))),"",H63*L63)</x:f>
      </x:c>
      <x:c r="N63" s="15" t="str">
        <x:f>IF(COUNTA(B63:K63)=0,"",TEXTJOIN("; ",TRUE,IF(B63="","Missing work date",""),IF(C63="","Missing project",""),IF(F63="","Missing production code",""),IF(H63="","Missing quantity",""),IF(I63="","Missing unit",""),IF(L63="NO RATE","Missing rate card","")))</x:f>
      </x:c>
    </x:row>
    <x:row r="64" ht="20" customHeight="1">
      <x:c r="A64" s="15"/>
      <x:c r="B64" s="28"/>
      <x:c r="C64" s="15"/>
      <x:c r="D64" s="15"/>
      <x:c r="E64" s="15"/>
      <x:c r="F64" s="15"/>
      <x:c r="G64" s="15"/>
      <x:c r="H64" s="138"/>
      <x:c r="I64" s="15"/>
      <x:c r="J64" s="15"/>
      <x:c r="K64" s="15"/>
      <x:c r="L64" s="70" t="str">
        <x:f>IF(F64="","",IFERROR(INDEX('08_Rate_Cards'!$D:$D,MATCH(F64,'08_Rate_Cards'!$A:$A,0)),"NO RATE"))</x:f>
      </x:c>
      <x:c r="M64" s="70" t="str">
        <x:f>IF(OR(H64="",NOT(ISNUMBER(L64))),"",H64*L64)</x:f>
      </x:c>
      <x:c r="N64" s="15" t="str">
        <x:f>IF(COUNTA(B64:K64)=0,"",TEXTJOIN("; ",TRUE,IF(B64="","Missing work date",""),IF(C64="","Missing project",""),IF(F64="","Missing production code",""),IF(H64="","Missing quantity",""),IF(I64="","Missing unit",""),IF(L64="NO RATE","Missing rate card","")))</x:f>
      </x:c>
    </x:row>
    <x:row r="65" ht="20" customHeight="1">
      <x:c r="A65" s="15"/>
      <x:c r="B65" s="28"/>
      <x:c r="C65" s="15"/>
      <x:c r="D65" s="15"/>
      <x:c r="E65" s="15"/>
      <x:c r="F65" s="15"/>
      <x:c r="G65" s="15"/>
      <x:c r="H65" s="138"/>
      <x:c r="I65" s="15"/>
      <x:c r="J65" s="15"/>
      <x:c r="K65" s="15"/>
      <x:c r="L65" s="70" t="str">
        <x:f>IF(F65="","",IFERROR(INDEX('08_Rate_Cards'!$D:$D,MATCH(F65,'08_Rate_Cards'!$A:$A,0)),"NO RATE"))</x:f>
      </x:c>
      <x:c r="M65" s="70" t="str">
        <x:f>IF(OR(H65="",NOT(ISNUMBER(L65))),"",H65*L65)</x:f>
      </x:c>
      <x:c r="N65" s="15" t="str">
        <x:f>IF(COUNTA(B65:K65)=0,"",TEXTJOIN("; ",TRUE,IF(B65="","Missing work date",""),IF(C65="","Missing project",""),IF(F65="","Missing production code",""),IF(H65="","Missing quantity",""),IF(I65="","Missing unit",""),IF(L65="NO RATE","Missing rate card","")))</x:f>
      </x:c>
    </x:row>
    <x:row r="66" ht="20" customHeight="1">
      <x:c r="A66" s="15"/>
      <x:c r="B66" s="28"/>
      <x:c r="C66" s="15"/>
      <x:c r="D66" s="15"/>
      <x:c r="E66" s="15"/>
      <x:c r="F66" s="15"/>
      <x:c r="G66" s="15"/>
      <x:c r="H66" s="138"/>
      <x:c r="I66" s="15"/>
      <x:c r="J66" s="15"/>
      <x:c r="K66" s="15"/>
      <x:c r="L66" s="70" t="str">
        <x:f>IF(F66="","",IFERROR(INDEX('08_Rate_Cards'!$D:$D,MATCH(F66,'08_Rate_Cards'!$A:$A,0)),"NO RATE"))</x:f>
      </x:c>
      <x:c r="M66" s="70" t="str">
        <x:f>IF(OR(H66="",NOT(ISNUMBER(L66))),"",H66*L66)</x:f>
      </x:c>
      <x:c r="N66" s="15" t="str">
        <x:f>IF(COUNTA(B66:K66)=0,"",TEXTJOIN("; ",TRUE,IF(B66="","Missing work date",""),IF(C66="","Missing project",""),IF(F66="","Missing production code",""),IF(H66="","Missing quantity",""),IF(I66="","Missing unit",""),IF(L66="NO RATE","Missing rate card","")))</x:f>
      </x:c>
    </x:row>
    <x:row r="67" ht="20" customHeight="1">
      <x:c r="A67" s="15"/>
      <x:c r="B67" s="28"/>
      <x:c r="C67" s="15"/>
      <x:c r="D67" s="15"/>
      <x:c r="E67" s="15"/>
      <x:c r="F67" s="15"/>
      <x:c r="G67" s="15"/>
      <x:c r="H67" s="138"/>
      <x:c r="I67" s="15"/>
      <x:c r="J67" s="15"/>
      <x:c r="K67" s="15"/>
      <x:c r="L67" s="70" t="str">
        <x:f>IF(F67="","",IFERROR(INDEX('08_Rate_Cards'!$D:$D,MATCH(F67,'08_Rate_Cards'!$A:$A,0)),"NO RATE"))</x:f>
      </x:c>
      <x:c r="M67" s="70" t="str">
        <x:f>IF(OR(H67="",NOT(ISNUMBER(L67))),"",H67*L67)</x:f>
      </x:c>
      <x:c r="N67" s="15" t="str">
        <x:f>IF(COUNTA(B67:K67)=0,"",TEXTJOIN("; ",TRUE,IF(B67="","Missing work date",""),IF(C67="","Missing project",""),IF(F67="","Missing production code",""),IF(H67="","Missing quantity",""),IF(I67="","Missing unit",""),IF(L67="NO RATE","Missing rate card","")))</x:f>
      </x:c>
    </x:row>
    <x:row r="68" ht="20" customHeight="1">
      <x:c r="A68" s="15"/>
      <x:c r="B68" s="28"/>
      <x:c r="C68" s="15"/>
      <x:c r="D68" s="15"/>
      <x:c r="E68" s="15"/>
      <x:c r="F68" s="15"/>
      <x:c r="G68" s="15"/>
      <x:c r="H68" s="138"/>
      <x:c r="I68" s="15"/>
      <x:c r="J68" s="15"/>
      <x:c r="K68" s="15"/>
      <x:c r="L68" s="70" t="str">
        <x:f>IF(F68="","",IFERROR(INDEX('08_Rate_Cards'!$D:$D,MATCH(F68,'08_Rate_Cards'!$A:$A,0)),"NO RATE"))</x:f>
      </x:c>
      <x:c r="M68" s="70" t="str">
        <x:f>IF(OR(H68="",NOT(ISNUMBER(L68))),"",H68*L68)</x:f>
      </x:c>
      <x:c r="N68" s="15" t="str">
        <x:f>IF(COUNTA(B68:K68)=0,"",TEXTJOIN("; ",TRUE,IF(B68="","Missing work date",""),IF(C68="","Missing project",""),IF(F68="","Missing production code",""),IF(H68="","Missing quantity",""),IF(I68="","Missing unit",""),IF(L68="NO RATE","Missing rate card","")))</x:f>
      </x:c>
    </x:row>
    <x:row r="69" ht="20" customHeight="1">
      <x:c r="A69" s="15"/>
      <x:c r="B69" s="28"/>
      <x:c r="C69" s="15"/>
      <x:c r="D69" s="15"/>
      <x:c r="E69" s="15"/>
      <x:c r="F69" s="15"/>
      <x:c r="G69" s="15"/>
      <x:c r="H69" s="138"/>
      <x:c r="I69" s="15"/>
      <x:c r="J69" s="15"/>
      <x:c r="K69" s="15"/>
      <x:c r="L69" s="70" t="str">
        <x:f>IF(F69="","",IFERROR(INDEX('08_Rate_Cards'!$D:$D,MATCH(F69,'08_Rate_Cards'!$A:$A,0)),"NO RATE"))</x:f>
      </x:c>
      <x:c r="M69" s="70" t="str">
        <x:f>IF(OR(H69="",NOT(ISNUMBER(L69))),"",H69*L69)</x:f>
      </x:c>
      <x:c r="N69" s="15" t="str">
        <x:f>IF(COUNTA(B69:K69)=0,"",TEXTJOIN("; ",TRUE,IF(B69="","Missing work date",""),IF(C69="","Missing project",""),IF(F69="","Missing production code",""),IF(H69="","Missing quantity",""),IF(I69="","Missing unit",""),IF(L69="NO RATE","Missing rate card","")))</x:f>
      </x:c>
    </x:row>
    <x:row r="70" ht="20" customHeight="1">
      <x:c r="A70" s="15"/>
      <x:c r="B70" s="28"/>
      <x:c r="C70" s="15"/>
      <x:c r="D70" s="15"/>
      <x:c r="E70" s="15"/>
      <x:c r="F70" s="15"/>
      <x:c r="G70" s="15"/>
      <x:c r="H70" s="138"/>
      <x:c r="I70" s="15"/>
      <x:c r="J70" s="15"/>
      <x:c r="K70" s="15"/>
      <x:c r="L70" s="70" t="str">
        <x:f>IF(F70="","",IFERROR(INDEX('08_Rate_Cards'!$D:$D,MATCH(F70,'08_Rate_Cards'!$A:$A,0)),"NO RATE"))</x:f>
      </x:c>
      <x:c r="M70" s="70" t="str">
        <x:f>IF(OR(H70="",NOT(ISNUMBER(L70))),"",H70*L70)</x:f>
      </x:c>
      <x:c r="N70" s="15" t="str">
        <x:f>IF(COUNTA(B70:K70)=0,"",TEXTJOIN("; ",TRUE,IF(B70="","Missing work date",""),IF(C70="","Missing project",""),IF(F70="","Missing production code",""),IF(H70="","Missing quantity",""),IF(I70="","Missing unit",""),IF(L70="NO RATE","Missing rate card","")))</x:f>
      </x:c>
    </x:row>
    <x:row r="71" ht="20" customHeight="1">
      <x:c r="A71" s="15"/>
      <x:c r="B71" s="28"/>
      <x:c r="C71" s="15"/>
      <x:c r="D71" s="15"/>
      <x:c r="E71" s="15"/>
      <x:c r="F71" s="15"/>
      <x:c r="G71" s="15"/>
      <x:c r="H71" s="138"/>
      <x:c r="I71" s="15"/>
      <x:c r="J71" s="15"/>
      <x:c r="K71" s="15"/>
      <x:c r="L71" s="70" t="str">
        <x:f>IF(F71="","",IFERROR(INDEX('08_Rate_Cards'!$D:$D,MATCH(F71,'08_Rate_Cards'!$A:$A,0)),"NO RATE"))</x:f>
      </x:c>
      <x:c r="M71" s="70" t="str">
        <x:f>IF(OR(H71="",NOT(ISNUMBER(L71))),"",H71*L71)</x:f>
      </x:c>
      <x:c r="N71" s="15" t="str">
        <x:f>IF(COUNTA(B71:K71)=0,"",TEXTJOIN("; ",TRUE,IF(B71="","Missing work date",""),IF(C71="","Missing project",""),IF(F71="","Missing production code",""),IF(H71="","Missing quantity",""),IF(I71="","Missing unit",""),IF(L71="NO RATE","Missing rate card","")))</x:f>
      </x:c>
    </x:row>
    <x:row r="72" ht="20" customHeight="1">
      <x:c r="A72" s="15"/>
      <x:c r="B72" s="28"/>
      <x:c r="C72" s="15"/>
      <x:c r="D72" s="15"/>
      <x:c r="E72" s="15"/>
      <x:c r="F72" s="15"/>
      <x:c r="G72" s="15"/>
      <x:c r="H72" s="138"/>
      <x:c r="I72" s="15"/>
      <x:c r="J72" s="15"/>
      <x:c r="K72" s="15"/>
      <x:c r="L72" s="70" t="str">
        <x:f>IF(F72="","",IFERROR(INDEX('08_Rate_Cards'!$D:$D,MATCH(F72,'08_Rate_Cards'!$A:$A,0)),"NO RATE"))</x:f>
      </x:c>
      <x:c r="M72" s="70" t="str">
        <x:f>IF(OR(H72="",NOT(ISNUMBER(L72))),"",H72*L72)</x:f>
      </x:c>
      <x:c r="N72" s="15" t="str">
        <x:f>IF(COUNTA(B72:K72)=0,"",TEXTJOIN("; ",TRUE,IF(B72="","Missing work date",""),IF(C72="","Missing project",""),IF(F72="","Missing production code",""),IF(H72="","Missing quantity",""),IF(I72="","Missing unit",""),IF(L72="NO RATE","Missing rate card","")))</x:f>
      </x:c>
    </x:row>
    <x:row r="73" ht="20" customHeight="1">
      <x:c r="A73" s="15"/>
      <x:c r="B73" s="28"/>
      <x:c r="C73" s="15"/>
      <x:c r="D73" s="15"/>
      <x:c r="E73" s="15"/>
      <x:c r="F73" s="15"/>
      <x:c r="G73" s="15"/>
      <x:c r="H73" s="138"/>
      <x:c r="I73" s="15"/>
      <x:c r="J73" s="15"/>
      <x:c r="K73" s="15"/>
      <x:c r="L73" s="70" t="str">
        <x:f>IF(F73="","",IFERROR(INDEX('08_Rate_Cards'!$D:$D,MATCH(F73,'08_Rate_Cards'!$A:$A,0)),"NO RATE"))</x:f>
      </x:c>
      <x:c r="M73" s="70" t="str">
        <x:f>IF(OR(H73="",NOT(ISNUMBER(L73))),"",H73*L73)</x:f>
      </x:c>
      <x:c r="N73" s="15" t="str">
        <x:f>IF(COUNTA(B73:K73)=0,"",TEXTJOIN("; ",TRUE,IF(B73="","Missing work date",""),IF(C73="","Missing project",""),IF(F73="","Missing production code",""),IF(H73="","Missing quantity",""),IF(I73="","Missing unit",""),IF(L73="NO RATE","Missing rate card","")))</x:f>
      </x:c>
    </x:row>
    <x:row r="74" ht="20" customHeight="1">
      <x:c r="A74" s="15"/>
      <x:c r="B74" s="28"/>
      <x:c r="C74" s="15"/>
      <x:c r="D74" s="15"/>
      <x:c r="E74" s="15"/>
      <x:c r="F74" s="15"/>
      <x:c r="G74" s="15"/>
      <x:c r="H74" s="138"/>
      <x:c r="I74" s="15"/>
      <x:c r="J74" s="15"/>
      <x:c r="K74" s="15"/>
      <x:c r="L74" s="70" t="str">
        <x:f>IF(F74="","",IFERROR(INDEX('08_Rate_Cards'!$D:$D,MATCH(F74,'08_Rate_Cards'!$A:$A,0)),"NO RATE"))</x:f>
      </x:c>
      <x:c r="M74" s="70" t="str">
        <x:f>IF(OR(H74="",NOT(ISNUMBER(L74))),"",H74*L74)</x:f>
      </x:c>
      <x:c r="N74" s="15" t="str">
        <x:f>IF(COUNTA(B74:K74)=0,"",TEXTJOIN("; ",TRUE,IF(B74="","Missing work date",""),IF(C74="","Missing project",""),IF(F74="","Missing production code",""),IF(H74="","Missing quantity",""),IF(I74="","Missing unit",""),IF(L74="NO RATE","Missing rate card","")))</x:f>
      </x:c>
    </x:row>
    <x:row r="75" ht="20" customHeight="1">
      <x:c r="A75" s="15"/>
      <x:c r="B75" s="28"/>
      <x:c r="C75" s="15"/>
      <x:c r="D75" s="15"/>
      <x:c r="E75" s="15"/>
      <x:c r="F75" s="15"/>
      <x:c r="G75" s="15"/>
      <x:c r="H75" s="138"/>
      <x:c r="I75" s="15"/>
      <x:c r="J75" s="15"/>
      <x:c r="K75" s="15"/>
      <x:c r="L75" s="70" t="str">
        <x:f>IF(F75="","",IFERROR(INDEX('08_Rate_Cards'!$D:$D,MATCH(F75,'08_Rate_Cards'!$A:$A,0)),"NO RATE"))</x:f>
      </x:c>
      <x:c r="M75" s="70" t="str">
        <x:f>IF(OR(H75="",NOT(ISNUMBER(L75))),"",H75*L75)</x:f>
      </x:c>
      <x:c r="N75" s="15" t="str">
        <x:f>IF(COUNTA(B75:K75)=0,"",TEXTJOIN("; ",TRUE,IF(B75="","Missing work date",""),IF(C75="","Missing project",""),IF(F75="","Missing production code",""),IF(H75="","Missing quantity",""),IF(I75="","Missing unit",""),IF(L75="NO RATE","Missing rate card","")))</x:f>
      </x:c>
    </x:row>
    <x:row r="76" ht="20" customHeight="1">
      <x:c r="A76" s="15"/>
      <x:c r="B76" s="28"/>
      <x:c r="C76" s="15"/>
      <x:c r="D76" s="15"/>
      <x:c r="E76" s="15"/>
      <x:c r="F76" s="15"/>
      <x:c r="G76" s="15"/>
      <x:c r="H76" s="138"/>
      <x:c r="I76" s="15"/>
      <x:c r="J76" s="15"/>
      <x:c r="K76" s="15"/>
      <x:c r="L76" s="70" t="str">
        <x:f>IF(F76="","",IFERROR(INDEX('08_Rate_Cards'!$D:$D,MATCH(F76,'08_Rate_Cards'!$A:$A,0)),"NO RATE"))</x:f>
      </x:c>
      <x:c r="M76" s="70" t="str">
        <x:f>IF(OR(H76="",NOT(ISNUMBER(L76))),"",H76*L76)</x:f>
      </x:c>
      <x:c r="N76" s="15" t="str">
        <x:f>IF(COUNTA(B76:K76)=0,"",TEXTJOIN("; ",TRUE,IF(B76="","Missing work date",""),IF(C76="","Missing project",""),IF(F76="","Missing production code",""),IF(H76="","Missing quantity",""),IF(I76="","Missing unit",""),IF(L76="NO RATE","Missing rate card","")))</x:f>
      </x:c>
    </x:row>
    <x:row r="77" ht="20" customHeight="1">
      <x:c r="A77" s="15"/>
      <x:c r="B77" s="28"/>
      <x:c r="C77" s="15"/>
      <x:c r="D77" s="15"/>
      <x:c r="E77" s="15"/>
      <x:c r="F77" s="15"/>
      <x:c r="G77" s="15"/>
      <x:c r="H77" s="138"/>
      <x:c r="I77" s="15"/>
      <x:c r="J77" s="15"/>
      <x:c r="K77" s="15"/>
      <x:c r="L77" s="70" t="str">
        <x:f>IF(F77="","",IFERROR(INDEX('08_Rate_Cards'!$D:$D,MATCH(F77,'08_Rate_Cards'!$A:$A,0)),"NO RATE"))</x:f>
      </x:c>
      <x:c r="M77" s="70" t="str">
        <x:f>IF(OR(H77="",NOT(ISNUMBER(L77))),"",H77*L77)</x:f>
      </x:c>
      <x:c r="N77" s="15" t="str">
        <x:f>IF(COUNTA(B77:K77)=0,"",TEXTJOIN("; ",TRUE,IF(B77="","Missing work date",""),IF(C77="","Missing project",""),IF(F77="","Missing production code",""),IF(H77="","Missing quantity",""),IF(I77="","Missing unit",""),IF(L77="NO RATE","Missing rate card","")))</x:f>
      </x:c>
    </x:row>
    <x:row r="78" ht="20" customHeight="1">
      <x:c r="A78" s="15"/>
      <x:c r="B78" s="28"/>
      <x:c r="C78" s="15"/>
      <x:c r="D78" s="15"/>
      <x:c r="E78" s="15"/>
      <x:c r="F78" s="15"/>
      <x:c r="G78" s="15"/>
      <x:c r="H78" s="138"/>
      <x:c r="I78" s="15"/>
      <x:c r="J78" s="15"/>
      <x:c r="K78" s="15"/>
      <x:c r="L78" s="70" t="str">
        <x:f>IF(F78="","",IFERROR(INDEX('08_Rate_Cards'!$D:$D,MATCH(F78,'08_Rate_Cards'!$A:$A,0)),"NO RATE"))</x:f>
      </x:c>
      <x:c r="M78" s="70" t="str">
        <x:f>IF(OR(H78="",NOT(ISNUMBER(L78))),"",H78*L78)</x:f>
      </x:c>
      <x:c r="N78" s="15" t="str">
        <x:f>IF(COUNTA(B78:K78)=0,"",TEXTJOIN("; ",TRUE,IF(B78="","Missing work date",""),IF(C78="","Missing project",""),IF(F78="","Missing production code",""),IF(H78="","Missing quantity",""),IF(I78="","Missing unit",""),IF(L78="NO RATE","Missing rate card","")))</x:f>
      </x:c>
    </x:row>
    <x:row r="79" ht="20" customHeight="1">
      <x:c r="A79" s="15"/>
      <x:c r="B79" s="28"/>
      <x:c r="C79" s="15"/>
      <x:c r="D79" s="15"/>
      <x:c r="E79" s="15"/>
      <x:c r="F79" s="15"/>
      <x:c r="G79" s="15"/>
      <x:c r="H79" s="138"/>
      <x:c r="I79" s="15"/>
      <x:c r="J79" s="15"/>
      <x:c r="K79" s="15"/>
      <x:c r="L79" s="70" t="str">
        <x:f>IF(F79="","",IFERROR(INDEX('08_Rate_Cards'!$D:$D,MATCH(F79,'08_Rate_Cards'!$A:$A,0)),"NO RATE"))</x:f>
      </x:c>
      <x:c r="M79" s="70" t="str">
        <x:f>IF(OR(H79="",NOT(ISNUMBER(L79))),"",H79*L79)</x:f>
      </x:c>
      <x:c r="N79" s="15" t="str">
        <x:f>IF(COUNTA(B79:K79)=0,"",TEXTJOIN("; ",TRUE,IF(B79="","Missing work date",""),IF(C79="","Missing project",""),IF(F79="","Missing production code",""),IF(H79="","Missing quantity",""),IF(I79="","Missing unit",""),IF(L79="NO RATE","Missing rate card","")))</x:f>
      </x:c>
    </x:row>
    <x:row r="80" ht="20" customHeight="1">
      <x:c r="A80" s="15"/>
      <x:c r="B80" s="28"/>
      <x:c r="C80" s="15"/>
      <x:c r="D80" s="15"/>
      <x:c r="E80" s="15"/>
      <x:c r="F80" s="15"/>
      <x:c r="G80" s="15"/>
      <x:c r="H80" s="138"/>
      <x:c r="I80" s="15"/>
      <x:c r="J80" s="15"/>
      <x:c r="K80" s="15"/>
      <x:c r="L80" s="70" t="str">
        <x:f>IF(F80="","",IFERROR(INDEX('08_Rate_Cards'!$D:$D,MATCH(F80,'08_Rate_Cards'!$A:$A,0)),"NO RATE"))</x:f>
      </x:c>
      <x:c r="M80" s="70" t="str">
        <x:f>IF(OR(H80="",NOT(ISNUMBER(L80))),"",H80*L80)</x:f>
      </x:c>
      <x:c r="N80" s="15" t="str">
        <x:f>IF(COUNTA(B80:K80)=0,"",TEXTJOIN("; ",TRUE,IF(B80="","Missing work date",""),IF(C80="","Missing project",""),IF(F80="","Missing production code",""),IF(H80="","Missing quantity",""),IF(I80="","Missing unit",""),IF(L80="NO RATE","Missing rate card","")))</x:f>
      </x:c>
    </x:row>
    <x:row r="81" ht="20" customHeight="1">
      <x:c r="A81" s="15"/>
      <x:c r="B81" s="28"/>
      <x:c r="C81" s="15"/>
      <x:c r="D81" s="15"/>
      <x:c r="E81" s="15"/>
      <x:c r="F81" s="15"/>
      <x:c r="G81" s="15"/>
      <x:c r="H81" s="138"/>
      <x:c r="I81" s="15"/>
      <x:c r="J81" s="15"/>
      <x:c r="K81" s="15"/>
      <x:c r="L81" s="70" t="str">
        <x:f>IF(F81="","",IFERROR(INDEX('08_Rate_Cards'!$D:$D,MATCH(F81,'08_Rate_Cards'!$A:$A,0)),"NO RATE"))</x:f>
      </x:c>
      <x:c r="M81" s="70" t="str">
        <x:f>IF(OR(H81="",NOT(ISNUMBER(L81))),"",H81*L81)</x:f>
      </x:c>
      <x:c r="N81" s="15" t="str">
        <x:f>IF(COUNTA(B81:K81)=0,"",TEXTJOIN("; ",TRUE,IF(B81="","Missing work date",""),IF(C81="","Missing project",""),IF(F81="","Missing production code",""),IF(H81="","Missing quantity",""),IF(I81="","Missing unit",""),IF(L81="NO RATE","Missing rate card","")))</x:f>
      </x:c>
    </x:row>
    <x:row r="82" ht="20" customHeight="1">
      <x:c r="A82" s="15"/>
      <x:c r="B82" s="28"/>
      <x:c r="C82" s="15"/>
      <x:c r="D82" s="15"/>
      <x:c r="E82" s="15"/>
      <x:c r="F82" s="15"/>
      <x:c r="G82" s="15"/>
      <x:c r="H82" s="138"/>
      <x:c r="I82" s="15"/>
      <x:c r="J82" s="15"/>
      <x:c r="K82" s="15"/>
      <x:c r="L82" s="70" t="str">
        <x:f>IF(F82="","",IFERROR(INDEX('08_Rate_Cards'!$D:$D,MATCH(F82,'08_Rate_Cards'!$A:$A,0)),"NO RATE"))</x:f>
      </x:c>
      <x:c r="M82" s="70" t="str">
        <x:f>IF(OR(H82="",NOT(ISNUMBER(L82))),"",H82*L82)</x:f>
      </x:c>
      <x:c r="N82" s="15" t="str">
        <x:f>IF(COUNTA(B82:K82)=0,"",TEXTJOIN("; ",TRUE,IF(B82="","Missing work date",""),IF(C82="","Missing project",""),IF(F82="","Missing production code",""),IF(H82="","Missing quantity",""),IF(I82="","Missing unit",""),IF(L82="NO RATE","Missing rate card","")))</x:f>
      </x:c>
    </x:row>
    <x:row r="83" ht="20" customHeight="1">
      <x:c r="A83" s="15"/>
      <x:c r="B83" s="28"/>
      <x:c r="C83" s="15"/>
      <x:c r="D83" s="15"/>
      <x:c r="E83" s="15"/>
      <x:c r="F83" s="15"/>
      <x:c r="G83" s="15"/>
      <x:c r="H83" s="138"/>
      <x:c r="I83" s="15"/>
      <x:c r="J83" s="15"/>
      <x:c r="K83" s="15"/>
      <x:c r="L83" s="70" t="str">
        <x:f>IF(F83="","",IFERROR(INDEX('08_Rate_Cards'!$D:$D,MATCH(F83,'08_Rate_Cards'!$A:$A,0)),"NO RATE"))</x:f>
      </x:c>
      <x:c r="M83" s="70" t="str">
        <x:f>IF(OR(H83="",NOT(ISNUMBER(L83))),"",H83*L83)</x:f>
      </x:c>
      <x:c r="N83" s="15" t="str">
        <x:f>IF(COUNTA(B83:K83)=0,"",TEXTJOIN("; ",TRUE,IF(B83="","Missing work date",""),IF(C83="","Missing project",""),IF(F83="","Missing production code",""),IF(H83="","Missing quantity",""),IF(I83="","Missing unit",""),IF(L83="NO RATE","Missing rate card","")))</x:f>
      </x:c>
    </x:row>
    <x:row r="84" ht="20" customHeight="1">
      <x:c r="A84" s="15"/>
      <x:c r="B84" s="28"/>
      <x:c r="C84" s="15"/>
      <x:c r="D84" s="15"/>
      <x:c r="E84" s="15"/>
      <x:c r="F84" s="15"/>
      <x:c r="G84" s="15"/>
      <x:c r="H84" s="138"/>
      <x:c r="I84" s="15"/>
      <x:c r="J84" s="15"/>
      <x:c r="K84" s="15"/>
      <x:c r="L84" s="70" t="str">
        <x:f>IF(F84="","",IFERROR(INDEX('08_Rate_Cards'!$D:$D,MATCH(F84,'08_Rate_Cards'!$A:$A,0)),"NO RATE"))</x:f>
      </x:c>
      <x:c r="M84" s="70" t="str">
        <x:f>IF(OR(H84="",NOT(ISNUMBER(L84))),"",H84*L84)</x:f>
      </x:c>
      <x:c r="N84" s="15" t="str">
        <x:f>IF(COUNTA(B84:K84)=0,"",TEXTJOIN("; ",TRUE,IF(B84="","Missing work date",""),IF(C84="","Missing project",""),IF(F84="","Missing production code",""),IF(H84="","Missing quantity",""),IF(I84="","Missing unit",""),IF(L84="NO RATE","Missing rate card","")))</x:f>
      </x:c>
    </x:row>
    <x:row r="85" ht="20" customHeight="1">
      <x:c r="A85" s="15"/>
      <x:c r="B85" s="28"/>
      <x:c r="C85" s="15"/>
      <x:c r="D85" s="15"/>
      <x:c r="E85" s="15"/>
      <x:c r="F85" s="15"/>
      <x:c r="G85" s="15"/>
      <x:c r="H85" s="138"/>
      <x:c r="I85" s="15"/>
      <x:c r="J85" s="15"/>
      <x:c r="K85" s="15"/>
      <x:c r="L85" s="70" t="str">
        <x:f>IF(F85="","",IFERROR(INDEX('08_Rate_Cards'!$D:$D,MATCH(F85,'08_Rate_Cards'!$A:$A,0)),"NO RATE"))</x:f>
      </x:c>
      <x:c r="M85" s="70" t="str">
        <x:f>IF(OR(H85="",NOT(ISNUMBER(L85))),"",H85*L85)</x:f>
      </x:c>
      <x:c r="N85" s="15" t="str">
        <x:f>IF(COUNTA(B85:K85)=0,"",TEXTJOIN("; ",TRUE,IF(B85="","Missing work date",""),IF(C85="","Missing project",""),IF(F85="","Missing production code",""),IF(H85="","Missing quantity",""),IF(I85="","Missing unit",""),IF(L85="NO RATE","Missing rate card","")))</x:f>
      </x:c>
    </x:row>
    <x:row r="86" ht="20" customHeight="1">
      <x:c r="A86" s="15"/>
      <x:c r="B86" s="28"/>
      <x:c r="C86" s="15"/>
      <x:c r="D86" s="15"/>
      <x:c r="E86" s="15"/>
      <x:c r="F86" s="15"/>
      <x:c r="G86" s="15"/>
      <x:c r="H86" s="138"/>
      <x:c r="I86" s="15"/>
      <x:c r="J86" s="15"/>
      <x:c r="K86" s="15"/>
      <x:c r="L86" s="70" t="str">
        <x:f>IF(F86="","",IFERROR(INDEX('08_Rate_Cards'!$D:$D,MATCH(F86,'08_Rate_Cards'!$A:$A,0)),"NO RATE"))</x:f>
      </x:c>
      <x:c r="M86" s="70" t="str">
        <x:f>IF(OR(H86="",NOT(ISNUMBER(L86))),"",H86*L86)</x:f>
      </x:c>
      <x:c r="N86" s="15" t="str">
        <x:f>IF(COUNTA(B86:K86)=0,"",TEXTJOIN("; ",TRUE,IF(B86="","Missing work date",""),IF(C86="","Missing project",""),IF(F86="","Missing production code",""),IF(H86="","Missing quantity",""),IF(I86="","Missing unit",""),IF(L86="NO RATE","Missing rate card","")))</x:f>
      </x:c>
    </x:row>
    <x:row r="87" ht="20" customHeight="1">
      <x:c r="A87" s="15"/>
      <x:c r="B87" s="28"/>
      <x:c r="C87" s="15"/>
      <x:c r="D87" s="15"/>
      <x:c r="E87" s="15"/>
      <x:c r="F87" s="15"/>
      <x:c r="G87" s="15"/>
      <x:c r="H87" s="138"/>
      <x:c r="I87" s="15"/>
      <x:c r="J87" s="15"/>
      <x:c r="K87" s="15"/>
      <x:c r="L87" s="70" t="str">
        <x:f>IF(F87="","",IFERROR(INDEX('08_Rate_Cards'!$D:$D,MATCH(F87,'08_Rate_Cards'!$A:$A,0)),"NO RATE"))</x:f>
      </x:c>
      <x:c r="M87" s="70" t="str">
        <x:f>IF(OR(H87="",NOT(ISNUMBER(L87))),"",H87*L87)</x:f>
      </x:c>
      <x:c r="N87" s="15" t="str">
        <x:f>IF(COUNTA(B87:K87)=0,"",TEXTJOIN("; ",TRUE,IF(B87="","Missing work date",""),IF(C87="","Missing project",""),IF(F87="","Missing production code",""),IF(H87="","Missing quantity",""),IF(I87="","Missing unit",""),IF(L87="NO RATE","Missing rate card","")))</x:f>
      </x:c>
    </x:row>
    <x:row r="88" ht="20" customHeight="1">
      <x:c r="A88" s="15"/>
      <x:c r="B88" s="28"/>
      <x:c r="C88" s="15"/>
      <x:c r="D88" s="15"/>
      <x:c r="E88" s="15"/>
      <x:c r="F88" s="15"/>
      <x:c r="G88" s="15"/>
      <x:c r="H88" s="138"/>
      <x:c r="I88" s="15"/>
      <x:c r="J88" s="15"/>
      <x:c r="K88" s="15"/>
      <x:c r="L88" s="70" t="str">
        <x:f>IF(F88="","",IFERROR(INDEX('08_Rate_Cards'!$D:$D,MATCH(F88,'08_Rate_Cards'!$A:$A,0)),"NO RATE"))</x:f>
      </x:c>
      <x:c r="M88" s="70" t="str">
        <x:f>IF(OR(H88="",NOT(ISNUMBER(L88))),"",H88*L88)</x:f>
      </x:c>
      <x:c r="N88" s="15" t="str">
        <x:f>IF(COUNTA(B88:K88)=0,"",TEXTJOIN("; ",TRUE,IF(B88="","Missing work date",""),IF(C88="","Missing project",""),IF(F88="","Missing production code",""),IF(H88="","Missing quantity",""),IF(I88="","Missing unit",""),IF(L88="NO RATE","Missing rate card","")))</x:f>
      </x:c>
    </x:row>
    <x:row r="89" ht="20" customHeight="1">
      <x:c r="A89" s="15"/>
      <x:c r="B89" s="28"/>
      <x:c r="C89" s="15"/>
      <x:c r="D89" s="15"/>
      <x:c r="E89" s="15"/>
      <x:c r="F89" s="15"/>
      <x:c r="G89" s="15"/>
      <x:c r="H89" s="138"/>
      <x:c r="I89" s="15"/>
      <x:c r="J89" s="15"/>
      <x:c r="K89" s="15"/>
      <x:c r="L89" s="70" t="str">
        <x:f>IF(F89="","",IFERROR(INDEX('08_Rate_Cards'!$D:$D,MATCH(F89,'08_Rate_Cards'!$A:$A,0)),"NO RATE"))</x:f>
      </x:c>
      <x:c r="M89" s="70" t="str">
        <x:f>IF(OR(H89="",NOT(ISNUMBER(L89))),"",H89*L89)</x:f>
      </x:c>
      <x:c r="N89" s="15" t="str">
        <x:f>IF(COUNTA(B89:K89)=0,"",TEXTJOIN("; ",TRUE,IF(B89="","Missing work date",""),IF(C89="","Missing project",""),IF(F89="","Missing production code",""),IF(H89="","Missing quantity",""),IF(I89="","Missing unit",""),IF(L89="NO RATE","Missing rate card","")))</x:f>
      </x:c>
    </x:row>
    <x:row r="90" ht="20" customHeight="1">
      <x:c r="A90" s="15"/>
      <x:c r="B90" s="28"/>
      <x:c r="C90" s="15"/>
      <x:c r="D90" s="15"/>
      <x:c r="E90" s="15"/>
      <x:c r="F90" s="15"/>
      <x:c r="G90" s="15"/>
      <x:c r="H90" s="138"/>
      <x:c r="I90" s="15"/>
      <x:c r="J90" s="15"/>
      <x:c r="K90" s="15"/>
      <x:c r="L90" s="70" t="str">
        <x:f>IF(F90="","",IFERROR(INDEX('08_Rate_Cards'!$D:$D,MATCH(F90,'08_Rate_Cards'!$A:$A,0)),"NO RATE"))</x:f>
      </x:c>
      <x:c r="M90" s="70" t="str">
        <x:f>IF(OR(H90="",NOT(ISNUMBER(L90))),"",H90*L90)</x:f>
      </x:c>
      <x:c r="N90" s="15" t="str">
        <x:f>IF(COUNTA(B90:K90)=0,"",TEXTJOIN("; ",TRUE,IF(B90="","Missing work date",""),IF(C90="","Missing project",""),IF(F90="","Missing production code",""),IF(H90="","Missing quantity",""),IF(I90="","Missing unit",""),IF(L90="NO RATE","Missing rate card","")))</x:f>
      </x:c>
    </x:row>
    <x:row r="91" ht="20" customHeight="1">
      <x:c r="A91" s="15"/>
      <x:c r="B91" s="28"/>
      <x:c r="C91" s="15"/>
      <x:c r="D91" s="15"/>
      <x:c r="E91" s="15"/>
      <x:c r="F91" s="15"/>
      <x:c r="G91" s="15"/>
      <x:c r="H91" s="138"/>
      <x:c r="I91" s="15"/>
      <x:c r="J91" s="15"/>
      <x:c r="K91" s="15"/>
      <x:c r="L91" s="70" t="str">
        <x:f>IF(F91="","",IFERROR(INDEX('08_Rate_Cards'!$D:$D,MATCH(F91,'08_Rate_Cards'!$A:$A,0)),"NO RATE"))</x:f>
      </x:c>
      <x:c r="M91" s="70" t="str">
        <x:f>IF(OR(H91="",NOT(ISNUMBER(L91))),"",H91*L91)</x:f>
      </x:c>
      <x:c r="N91" s="15" t="str">
        <x:f>IF(COUNTA(B91:K91)=0,"",TEXTJOIN("; ",TRUE,IF(B91="","Missing work date",""),IF(C91="","Missing project",""),IF(F91="","Missing production code",""),IF(H91="","Missing quantity",""),IF(I91="","Missing unit",""),IF(L91="NO RATE","Missing rate card","")))</x:f>
      </x:c>
    </x:row>
    <x:row r="92" ht="20" customHeight="1">
      <x:c r="A92" s="15"/>
      <x:c r="B92" s="28"/>
      <x:c r="C92" s="15"/>
      <x:c r="D92" s="15"/>
      <x:c r="E92" s="15"/>
      <x:c r="F92" s="15"/>
      <x:c r="G92" s="15"/>
      <x:c r="H92" s="138"/>
      <x:c r="I92" s="15"/>
      <x:c r="J92" s="15"/>
      <x:c r="K92" s="15"/>
      <x:c r="L92" s="70" t="str">
        <x:f>IF(F92="","",IFERROR(INDEX('08_Rate_Cards'!$D:$D,MATCH(F92,'08_Rate_Cards'!$A:$A,0)),"NO RATE"))</x:f>
      </x:c>
      <x:c r="M92" s="70" t="str">
        <x:f>IF(OR(H92="",NOT(ISNUMBER(L92))),"",H92*L92)</x:f>
      </x:c>
      <x:c r="N92" s="15" t="str">
        <x:f>IF(COUNTA(B92:K92)=0,"",TEXTJOIN("; ",TRUE,IF(B92="","Missing work date",""),IF(C92="","Missing project",""),IF(F92="","Missing production code",""),IF(H92="","Missing quantity",""),IF(I92="","Missing unit",""),IF(L92="NO RATE","Missing rate card","")))</x:f>
      </x:c>
    </x:row>
    <x:row r="93" ht="20" customHeight="1">
      <x:c r="A93" s="15"/>
      <x:c r="B93" s="28"/>
      <x:c r="C93" s="15"/>
      <x:c r="D93" s="15"/>
      <x:c r="E93" s="15"/>
      <x:c r="F93" s="15"/>
      <x:c r="G93" s="15"/>
      <x:c r="H93" s="138"/>
      <x:c r="I93" s="15"/>
      <x:c r="J93" s="15"/>
      <x:c r="K93" s="15"/>
      <x:c r="L93" s="70" t="str">
        <x:f>IF(F93="","",IFERROR(INDEX('08_Rate_Cards'!$D:$D,MATCH(F93,'08_Rate_Cards'!$A:$A,0)),"NO RATE"))</x:f>
      </x:c>
      <x:c r="M93" s="70" t="str">
        <x:f>IF(OR(H93="",NOT(ISNUMBER(L93))),"",H93*L93)</x:f>
      </x:c>
      <x:c r="N93" s="15" t="str">
        <x:f>IF(COUNTA(B93:K93)=0,"",TEXTJOIN("; ",TRUE,IF(B93="","Missing work date",""),IF(C93="","Missing project",""),IF(F93="","Missing production code",""),IF(H93="","Missing quantity",""),IF(I93="","Missing unit",""),IF(L93="NO RATE","Missing rate card","")))</x:f>
      </x:c>
    </x:row>
    <x:row r="94" ht="20" customHeight="1">
      <x:c r="A94" s="15"/>
      <x:c r="B94" s="28"/>
      <x:c r="C94" s="15"/>
      <x:c r="D94" s="15"/>
      <x:c r="E94" s="15"/>
      <x:c r="F94" s="15"/>
      <x:c r="G94" s="15"/>
      <x:c r="H94" s="138"/>
      <x:c r="I94" s="15"/>
      <x:c r="J94" s="15"/>
      <x:c r="K94" s="15"/>
      <x:c r="L94" s="70" t="str">
        <x:f>IF(F94="","",IFERROR(INDEX('08_Rate_Cards'!$D:$D,MATCH(F94,'08_Rate_Cards'!$A:$A,0)),"NO RATE"))</x:f>
      </x:c>
      <x:c r="M94" s="70" t="str">
        <x:f>IF(OR(H94="",NOT(ISNUMBER(L94))),"",H94*L94)</x:f>
      </x:c>
      <x:c r="N94" s="15" t="str">
        <x:f>IF(COUNTA(B94:K94)=0,"",TEXTJOIN("; ",TRUE,IF(B94="","Missing work date",""),IF(C94="","Missing project",""),IF(F94="","Missing production code",""),IF(H94="","Missing quantity",""),IF(I94="","Missing unit",""),IF(L94="NO RATE","Missing rate card","")))</x:f>
      </x:c>
    </x:row>
    <x:row r="95" ht="20" customHeight="1">
      <x:c r="A95" s="15"/>
      <x:c r="B95" s="28"/>
      <x:c r="C95" s="15"/>
      <x:c r="D95" s="15"/>
      <x:c r="E95" s="15"/>
      <x:c r="F95" s="15"/>
      <x:c r="G95" s="15"/>
      <x:c r="H95" s="138"/>
      <x:c r="I95" s="15"/>
      <x:c r="J95" s="15"/>
      <x:c r="K95" s="15"/>
      <x:c r="L95" s="70" t="str">
        <x:f>IF(F95="","",IFERROR(INDEX('08_Rate_Cards'!$D:$D,MATCH(F95,'08_Rate_Cards'!$A:$A,0)),"NO RATE"))</x:f>
      </x:c>
      <x:c r="M95" s="70" t="str">
        <x:f>IF(OR(H95="",NOT(ISNUMBER(L95))),"",H95*L95)</x:f>
      </x:c>
      <x:c r="N95" s="15" t="str">
        <x:f>IF(COUNTA(B95:K95)=0,"",TEXTJOIN("; ",TRUE,IF(B95="","Missing work date",""),IF(C95="","Missing project",""),IF(F95="","Missing production code",""),IF(H95="","Missing quantity",""),IF(I95="","Missing unit",""),IF(L95="NO RATE","Missing rate card","")))</x:f>
      </x:c>
    </x:row>
    <x:row r="96" ht="20" customHeight="1">
      <x:c r="A96" s="15"/>
      <x:c r="B96" s="28"/>
      <x:c r="C96" s="15"/>
      <x:c r="D96" s="15"/>
      <x:c r="E96" s="15"/>
      <x:c r="F96" s="15"/>
      <x:c r="G96" s="15"/>
      <x:c r="H96" s="138"/>
      <x:c r="I96" s="15"/>
      <x:c r="J96" s="15"/>
      <x:c r="K96" s="15"/>
      <x:c r="L96" s="70" t="str">
        <x:f>IF(F96="","",IFERROR(INDEX('08_Rate_Cards'!$D:$D,MATCH(F96,'08_Rate_Cards'!$A:$A,0)),"NO RATE"))</x:f>
      </x:c>
      <x:c r="M96" s="70" t="str">
        <x:f>IF(OR(H96="",NOT(ISNUMBER(L96))),"",H96*L96)</x:f>
      </x:c>
      <x:c r="N96" s="15" t="str">
        <x:f>IF(COUNTA(B96:K96)=0,"",TEXTJOIN("; ",TRUE,IF(B96="","Missing work date",""),IF(C96="","Missing project",""),IF(F96="","Missing production code",""),IF(H96="","Missing quantity",""),IF(I96="","Missing unit",""),IF(L96="NO RATE","Missing rate card","")))</x:f>
      </x:c>
    </x:row>
    <x:row r="97" ht="20" customHeight="1">
      <x:c r="A97" s="15"/>
      <x:c r="B97" s="28"/>
      <x:c r="C97" s="15"/>
      <x:c r="D97" s="15"/>
      <x:c r="E97" s="15"/>
      <x:c r="F97" s="15"/>
      <x:c r="G97" s="15"/>
      <x:c r="H97" s="138"/>
      <x:c r="I97" s="15"/>
      <x:c r="J97" s="15"/>
      <x:c r="K97" s="15"/>
      <x:c r="L97" s="70" t="str">
        <x:f>IF(F97="","",IFERROR(INDEX('08_Rate_Cards'!$D:$D,MATCH(F97,'08_Rate_Cards'!$A:$A,0)),"NO RATE"))</x:f>
      </x:c>
      <x:c r="M97" s="70" t="str">
        <x:f>IF(OR(H97="",NOT(ISNUMBER(L97))),"",H97*L97)</x:f>
      </x:c>
      <x:c r="N97" s="15" t="str">
        <x:f>IF(COUNTA(B97:K97)=0,"",TEXTJOIN("; ",TRUE,IF(B97="","Missing work date",""),IF(C97="","Missing project",""),IF(F97="","Missing production code",""),IF(H97="","Missing quantity",""),IF(I97="","Missing unit",""),IF(L97="NO RATE","Missing rate card","")))</x:f>
      </x:c>
    </x:row>
    <x:row r="98" ht="20" customHeight="1">
      <x:c r="A98" s="15"/>
      <x:c r="B98" s="28"/>
      <x:c r="C98" s="15"/>
      <x:c r="D98" s="15"/>
      <x:c r="E98" s="15"/>
      <x:c r="F98" s="15"/>
      <x:c r="G98" s="15"/>
      <x:c r="H98" s="138"/>
      <x:c r="I98" s="15"/>
      <x:c r="J98" s="15"/>
      <x:c r="K98" s="15"/>
      <x:c r="L98" s="70" t="str">
        <x:f>IF(F98="","",IFERROR(INDEX('08_Rate_Cards'!$D:$D,MATCH(F98,'08_Rate_Cards'!$A:$A,0)),"NO RATE"))</x:f>
      </x:c>
      <x:c r="M98" s="70" t="str">
        <x:f>IF(OR(H98="",NOT(ISNUMBER(L98))),"",H98*L98)</x:f>
      </x:c>
      <x:c r="N98" s="15" t="str">
        <x:f>IF(COUNTA(B98:K98)=0,"",TEXTJOIN("; ",TRUE,IF(B98="","Missing work date",""),IF(C98="","Missing project",""),IF(F98="","Missing production code",""),IF(H98="","Missing quantity",""),IF(I98="","Missing unit",""),IF(L98="NO RATE","Missing rate card","")))</x:f>
      </x:c>
    </x:row>
    <x:row r="99" ht="20" customHeight="1">
      <x:c r="A99" s="15"/>
      <x:c r="B99" s="28"/>
      <x:c r="C99" s="15"/>
      <x:c r="D99" s="15"/>
      <x:c r="E99" s="15"/>
      <x:c r="F99" s="15"/>
      <x:c r="G99" s="15"/>
      <x:c r="H99" s="138"/>
      <x:c r="I99" s="15"/>
      <x:c r="J99" s="15"/>
      <x:c r="K99" s="15"/>
      <x:c r="L99" s="70" t="str">
        <x:f>IF(F99="","",IFERROR(INDEX('08_Rate_Cards'!$D:$D,MATCH(F99,'08_Rate_Cards'!$A:$A,0)),"NO RATE"))</x:f>
      </x:c>
      <x:c r="M99" s="70" t="str">
        <x:f>IF(OR(H99="",NOT(ISNUMBER(L99))),"",H99*L99)</x:f>
      </x:c>
      <x:c r="N99" s="15" t="str">
        <x:f>IF(COUNTA(B99:K99)=0,"",TEXTJOIN("; ",TRUE,IF(B99="","Missing work date",""),IF(C99="","Missing project",""),IF(F99="","Missing production code",""),IF(H99="","Missing quantity",""),IF(I99="","Missing unit",""),IF(L99="NO RATE","Missing rate card","")))</x:f>
      </x:c>
    </x:row>
    <x:row r="100" ht="20" customHeight="1">
      <x:c r="A100" s="15"/>
      <x:c r="B100" s="28"/>
      <x:c r="C100" s="15"/>
      <x:c r="D100" s="15"/>
      <x:c r="E100" s="15"/>
      <x:c r="F100" s="15"/>
      <x:c r="G100" s="15"/>
      <x:c r="H100" s="138"/>
      <x:c r="I100" s="15"/>
      <x:c r="J100" s="15"/>
      <x:c r="K100" s="15"/>
      <x:c r="L100" s="70" t="str">
        <x:f>IF(F100="","",IFERROR(INDEX('08_Rate_Cards'!$D:$D,MATCH(F100,'08_Rate_Cards'!$A:$A,0)),"NO RATE"))</x:f>
      </x:c>
      <x:c r="M100" s="70" t="str">
        <x:f>IF(OR(H100="",NOT(ISNUMBER(L100))),"",H100*L100)</x:f>
      </x:c>
      <x:c r="N100" s="15" t="str">
        <x:f>IF(COUNTA(B100:K100)=0,"",TEXTJOIN("; ",TRUE,IF(B100="","Missing work date",""),IF(C100="","Missing project",""),IF(F100="","Missing production code",""),IF(H100="","Missing quantity",""),IF(I100="","Missing unit",""),IF(L100="NO RATE","Missing rate card","")))</x:f>
      </x:c>
    </x:row>
    <x:row r="101" ht="20" customHeight="1">
      <x:c r="A101" s="15"/>
      <x:c r="B101" s="28"/>
      <x:c r="C101" s="15"/>
      <x:c r="D101" s="15"/>
      <x:c r="E101" s="15"/>
      <x:c r="F101" s="15"/>
      <x:c r="G101" s="15"/>
      <x:c r="H101" s="138"/>
      <x:c r="I101" s="15"/>
      <x:c r="J101" s="15"/>
      <x:c r="K101" s="15"/>
      <x:c r="L101" s="70" t="str">
        <x:f>IF(F101="","",IFERROR(INDEX('08_Rate_Cards'!$D:$D,MATCH(F101,'08_Rate_Cards'!$A:$A,0)),"NO RATE"))</x:f>
      </x:c>
      <x:c r="M101" s="70" t="str">
        <x:f>IF(OR(H101="",NOT(ISNUMBER(L101))),"",H101*L101)</x:f>
      </x:c>
      <x:c r="N101" s="15" t="str">
        <x:f>IF(COUNTA(B101:K101)=0,"",TEXTJOIN("; ",TRUE,IF(B101="","Missing work date",""),IF(C101="","Missing project",""),IF(F101="","Missing production code",""),IF(H101="","Missing quantity",""),IF(I101="","Missing unit",""),IF(L101="NO RATE","Missing rate card","")))</x:f>
      </x:c>
    </x:row>
    <x:row r="102" ht="20" customHeight="1">
      <x:c r="A102" s="15"/>
      <x:c r="B102" s="28"/>
      <x:c r="C102" s="15"/>
      <x:c r="D102" s="15"/>
      <x:c r="E102" s="15"/>
      <x:c r="F102" s="15"/>
      <x:c r="G102" s="15"/>
      <x:c r="H102" s="138"/>
      <x:c r="I102" s="15"/>
      <x:c r="J102" s="15"/>
      <x:c r="K102" s="15"/>
      <x:c r="L102" s="70" t="str">
        <x:f>IF(F102="","",IFERROR(INDEX('08_Rate_Cards'!$D:$D,MATCH(F102,'08_Rate_Cards'!$A:$A,0)),"NO RATE"))</x:f>
      </x:c>
      <x:c r="M102" s="70" t="str">
        <x:f>IF(OR(H102="",NOT(ISNUMBER(L102))),"",H102*L102)</x:f>
      </x:c>
      <x:c r="N102" s="15" t="str">
        <x:f>IF(COUNTA(B102:K102)=0,"",TEXTJOIN("; ",TRUE,IF(B102="","Missing work date",""),IF(C102="","Missing project",""),IF(F102="","Missing production code",""),IF(H102="","Missing quantity",""),IF(I102="","Missing unit",""),IF(L102="NO RATE","Missing rate card","")))</x:f>
      </x:c>
    </x:row>
    <x:row r="103" ht="20" customHeight="1">
      <x:c r="A103" s="15"/>
      <x:c r="B103" s="28"/>
      <x:c r="C103" s="15"/>
      <x:c r="D103" s="15"/>
      <x:c r="E103" s="15"/>
      <x:c r="F103" s="15"/>
      <x:c r="G103" s="15"/>
      <x:c r="H103" s="138"/>
      <x:c r="I103" s="15"/>
      <x:c r="J103" s="15"/>
      <x:c r="K103" s="15"/>
      <x:c r="L103" s="70" t="str">
        <x:f>IF(F103="","",IFERROR(INDEX('08_Rate_Cards'!$D:$D,MATCH(F103,'08_Rate_Cards'!$A:$A,0)),"NO RATE"))</x:f>
      </x:c>
      <x:c r="M103" s="70" t="str">
        <x:f>IF(OR(H103="",NOT(ISNUMBER(L103))),"",H103*L103)</x:f>
      </x:c>
      <x:c r="N103" s="15" t="str">
        <x:f>IF(COUNTA(B103:K103)=0,"",TEXTJOIN("; ",TRUE,IF(B103="","Missing work date",""),IF(C103="","Missing project",""),IF(F103="","Missing production code",""),IF(H103="","Missing quantity",""),IF(I103="","Missing unit",""),IF(L103="NO RATE","Missing rate card","")))</x:f>
      </x:c>
    </x:row>
    <x:row r="104" ht="20" customHeight="1">
      <x:c r="A104" s="15"/>
      <x:c r="B104" s="28"/>
      <x:c r="C104" s="15"/>
      <x:c r="D104" s="15"/>
      <x:c r="E104" s="15"/>
      <x:c r="F104" s="15"/>
      <x:c r="G104" s="15"/>
      <x:c r="H104" s="138"/>
      <x:c r="I104" s="15"/>
      <x:c r="J104" s="15"/>
      <x:c r="K104" s="15"/>
      <x:c r="L104" s="70" t="str">
        <x:f>IF(F104="","",IFERROR(INDEX('08_Rate_Cards'!$D:$D,MATCH(F104,'08_Rate_Cards'!$A:$A,0)),"NO RATE"))</x:f>
      </x:c>
      <x:c r="M104" s="70" t="str">
        <x:f>IF(OR(H104="",NOT(ISNUMBER(L104))),"",H104*L104)</x:f>
      </x:c>
      <x:c r="N104" s="15" t="str">
        <x:f>IF(COUNTA(B104:K104)=0,"",TEXTJOIN("; ",TRUE,IF(B104="","Missing work date",""),IF(C104="","Missing project",""),IF(F104="","Missing production code",""),IF(H104="","Missing quantity",""),IF(I104="","Missing unit",""),IF(L104="NO RATE","Missing rate card","")))</x:f>
      </x:c>
    </x:row>
    <x:row r="105" ht="20" customHeight="1">
      <x:c r="A105" s="15"/>
      <x:c r="B105" s="28"/>
      <x:c r="C105" s="15"/>
      <x:c r="D105" s="15"/>
      <x:c r="E105" s="15"/>
      <x:c r="F105" s="15"/>
      <x:c r="G105" s="15"/>
      <x:c r="H105" s="138"/>
      <x:c r="I105" s="15"/>
      <x:c r="J105" s="15"/>
      <x:c r="K105" s="15"/>
      <x:c r="L105" s="70" t="str">
        <x:f>IF(F105="","",IFERROR(INDEX('08_Rate_Cards'!$D:$D,MATCH(F105,'08_Rate_Cards'!$A:$A,0)),"NO RATE"))</x:f>
      </x:c>
      <x:c r="M105" s="70" t="str">
        <x:f>IF(OR(H105="",NOT(ISNUMBER(L105))),"",H105*L105)</x:f>
      </x:c>
      <x:c r="N105" s="15" t="str">
        <x:f>IF(COUNTA(B105:K105)=0,"",TEXTJOIN("; ",TRUE,IF(B105="","Missing work date",""),IF(C105="","Missing project",""),IF(F105="","Missing production code",""),IF(H105="","Missing quantity",""),IF(I105="","Missing unit",""),IF(L105="NO RATE","Missing rate card","")))</x:f>
      </x:c>
    </x:row>
    <x:row r="106" ht="20" customHeight="1">
      <x:c r="A106" s="15"/>
      <x:c r="B106" s="28"/>
      <x:c r="C106" s="15"/>
      <x:c r="D106" s="15"/>
      <x:c r="E106" s="15"/>
      <x:c r="F106" s="15"/>
      <x:c r="G106" s="15"/>
      <x:c r="H106" s="138"/>
      <x:c r="I106" s="15"/>
      <x:c r="J106" s="15"/>
      <x:c r="K106" s="15"/>
      <x:c r="L106" s="70" t="str">
        <x:f>IF(F106="","",IFERROR(INDEX('08_Rate_Cards'!$D:$D,MATCH(F106,'08_Rate_Cards'!$A:$A,0)),"NO RATE"))</x:f>
      </x:c>
      <x:c r="M106" s="70" t="str">
        <x:f>IF(OR(H106="",NOT(ISNUMBER(L106))),"",H106*L106)</x:f>
      </x:c>
      <x:c r="N106" s="15" t="str">
        <x:f>IF(COUNTA(B106:K106)=0,"",TEXTJOIN("; ",TRUE,IF(B106="","Missing work date",""),IF(C106="","Missing project",""),IF(F106="","Missing production code",""),IF(H106="","Missing quantity",""),IF(I106="","Missing unit",""),IF(L106="NO RATE","Missing rate card","")))</x:f>
      </x:c>
    </x:row>
    <x:row r="107" ht="20" customHeight="1">
      <x:c r="A107" s="15"/>
      <x:c r="B107" s="28"/>
      <x:c r="C107" s="15"/>
      <x:c r="D107" s="15"/>
      <x:c r="E107" s="15"/>
      <x:c r="F107" s="15"/>
      <x:c r="G107" s="15"/>
      <x:c r="H107" s="138"/>
      <x:c r="I107" s="15"/>
      <x:c r="J107" s="15"/>
      <x:c r="K107" s="15"/>
      <x:c r="L107" s="70" t="str">
        <x:f>IF(F107="","",IFERROR(INDEX('08_Rate_Cards'!$D:$D,MATCH(F107,'08_Rate_Cards'!$A:$A,0)),"NO RATE"))</x:f>
      </x:c>
      <x:c r="M107" s="70" t="str">
        <x:f>IF(OR(H107="",NOT(ISNUMBER(L107))),"",H107*L107)</x:f>
      </x:c>
      <x:c r="N107" s="15" t="str">
        <x:f>IF(COUNTA(B107:K107)=0,"",TEXTJOIN("; ",TRUE,IF(B107="","Missing work date",""),IF(C107="","Missing project",""),IF(F107="","Missing production code",""),IF(H107="","Missing quantity",""),IF(I107="","Missing unit",""),IF(L107="NO RATE","Missing rate card","")))</x:f>
      </x:c>
    </x:row>
    <x:row r="108" ht="20" customHeight="1">
      <x:c r="A108" s="15"/>
      <x:c r="B108" s="28"/>
      <x:c r="C108" s="15"/>
      <x:c r="D108" s="15"/>
      <x:c r="E108" s="15"/>
      <x:c r="F108" s="15"/>
      <x:c r="G108" s="15"/>
      <x:c r="H108" s="138"/>
      <x:c r="I108" s="15"/>
      <x:c r="J108" s="15"/>
      <x:c r="K108" s="15"/>
      <x:c r="L108" s="70" t="str">
        <x:f>IF(F108="","",IFERROR(INDEX('08_Rate_Cards'!$D:$D,MATCH(F108,'08_Rate_Cards'!$A:$A,0)),"NO RATE"))</x:f>
      </x:c>
      <x:c r="M108" s="70" t="str">
        <x:f>IF(OR(H108="",NOT(ISNUMBER(L108))),"",H108*L108)</x:f>
      </x:c>
      <x:c r="N108" s="15" t="str">
        <x:f>IF(COUNTA(B108:K108)=0,"",TEXTJOIN("; ",TRUE,IF(B108="","Missing work date",""),IF(C108="","Missing project",""),IF(F108="","Missing production code",""),IF(H108="","Missing quantity",""),IF(I108="","Missing unit",""),IF(L108="NO RATE","Missing rate card","")))</x:f>
      </x:c>
    </x:row>
    <x:row r="109" ht="20" customHeight="1">
      <x:c r="A109" s="15"/>
      <x:c r="B109" s="28"/>
      <x:c r="C109" s="15"/>
      <x:c r="D109" s="15"/>
      <x:c r="E109" s="15"/>
      <x:c r="F109" s="15"/>
      <x:c r="G109" s="15"/>
      <x:c r="H109" s="138"/>
      <x:c r="I109" s="15"/>
      <x:c r="J109" s="15"/>
      <x:c r="K109" s="15"/>
      <x:c r="L109" s="70" t="str">
        <x:f>IF(F109="","",IFERROR(INDEX('08_Rate_Cards'!$D:$D,MATCH(F109,'08_Rate_Cards'!$A:$A,0)),"NO RATE"))</x:f>
      </x:c>
      <x:c r="M109" s="70" t="str">
        <x:f>IF(OR(H109="",NOT(ISNUMBER(L109))),"",H109*L109)</x:f>
      </x:c>
      <x:c r="N109" s="15" t="str">
        <x:f>IF(COUNTA(B109:K109)=0,"",TEXTJOIN("; ",TRUE,IF(B109="","Missing work date",""),IF(C109="","Missing project",""),IF(F109="","Missing production code",""),IF(H109="","Missing quantity",""),IF(I109="","Missing unit",""),IF(L109="NO RATE","Missing rate card","")))</x:f>
      </x:c>
    </x:row>
    <x:row r="110" ht="20" customHeight="1">
      <x:c r="A110" s="15"/>
      <x:c r="B110" s="28"/>
      <x:c r="C110" s="15"/>
      <x:c r="D110" s="15"/>
      <x:c r="E110" s="15"/>
      <x:c r="F110" s="15"/>
      <x:c r="G110" s="15"/>
      <x:c r="H110" s="138"/>
      <x:c r="I110" s="15"/>
      <x:c r="J110" s="15"/>
      <x:c r="K110" s="15"/>
      <x:c r="L110" s="70" t="str">
        <x:f>IF(F110="","",IFERROR(INDEX('08_Rate_Cards'!$D:$D,MATCH(F110,'08_Rate_Cards'!$A:$A,0)),"NO RATE"))</x:f>
      </x:c>
      <x:c r="M110" s="70" t="str">
        <x:f>IF(OR(H110="",NOT(ISNUMBER(L110))),"",H110*L110)</x:f>
      </x:c>
      <x:c r="N110" s="15" t="str">
        <x:f>IF(COUNTA(B110:K110)=0,"",TEXTJOIN("; ",TRUE,IF(B110="","Missing work date",""),IF(C110="","Missing project",""),IF(F110="","Missing production code",""),IF(H110="","Missing quantity",""),IF(I110="","Missing unit",""),IF(L110="NO RATE","Missing rate card","")))</x:f>
      </x:c>
    </x:row>
    <x:row r="111" ht="20" customHeight="1">
      <x:c r="A111" s="15"/>
      <x:c r="B111" s="28"/>
      <x:c r="C111" s="15"/>
      <x:c r="D111" s="15"/>
      <x:c r="E111" s="15"/>
      <x:c r="F111" s="15"/>
      <x:c r="G111" s="15"/>
      <x:c r="H111" s="138"/>
      <x:c r="I111" s="15"/>
      <x:c r="J111" s="15"/>
      <x:c r="K111" s="15"/>
      <x:c r="L111" s="70" t="str">
        <x:f>IF(F111="","",IFERROR(INDEX('08_Rate_Cards'!$D:$D,MATCH(F111,'08_Rate_Cards'!$A:$A,0)),"NO RATE"))</x:f>
      </x:c>
      <x:c r="M111" s="70" t="str">
        <x:f>IF(OR(H111="",NOT(ISNUMBER(L111))),"",H111*L111)</x:f>
      </x:c>
      <x:c r="N111" s="15" t="str">
        <x:f>IF(COUNTA(B111:K111)=0,"",TEXTJOIN("; ",TRUE,IF(B111="","Missing work date",""),IF(C111="","Missing project",""),IF(F111="","Missing production code",""),IF(H111="","Missing quantity",""),IF(I111="","Missing unit",""),IF(L111="NO RATE","Missing rate card","")))</x:f>
      </x:c>
    </x:row>
    <x:row r="112" ht="20" customHeight="1">
      <x:c r="A112" s="15"/>
      <x:c r="B112" s="28"/>
      <x:c r="C112" s="15"/>
      <x:c r="D112" s="15"/>
      <x:c r="E112" s="15"/>
      <x:c r="F112" s="15"/>
      <x:c r="G112" s="15"/>
      <x:c r="H112" s="138"/>
      <x:c r="I112" s="15"/>
      <x:c r="J112" s="15"/>
      <x:c r="K112" s="15"/>
      <x:c r="L112" s="70" t="str">
        <x:f>IF(F112="","",IFERROR(INDEX('08_Rate_Cards'!$D:$D,MATCH(F112,'08_Rate_Cards'!$A:$A,0)),"NO RATE"))</x:f>
      </x:c>
      <x:c r="M112" s="70" t="str">
        <x:f>IF(OR(H112="",NOT(ISNUMBER(L112))),"",H112*L112)</x:f>
      </x:c>
      <x:c r="N112" s="15" t="str">
        <x:f>IF(COUNTA(B112:K112)=0,"",TEXTJOIN("; ",TRUE,IF(B112="","Missing work date",""),IF(C112="","Missing project",""),IF(F112="","Missing production code",""),IF(H112="","Missing quantity",""),IF(I112="","Missing unit",""),IF(L112="NO RATE","Missing rate card","")))</x:f>
      </x:c>
    </x:row>
    <x:row r="113" ht="20" customHeight="1">
      <x:c r="A113" s="15"/>
      <x:c r="B113" s="28"/>
      <x:c r="C113" s="15"/>
      <x:c r="D113" s="15"/>
      <x:c r="E113" s="15"/>
      <x:c r="F113" s="15"/>
      <x:c r="G113" s="15"/>
      <x:c r="H113" s="138"/>
      <x:c r="I113" s="15"/>
      <x:c r="J113" s="15"/>
      <x:c r="K113" s="15"/>
      <x:c r="L113" s="70" t="str">
        <x:f>IF(F113="","",IFERROR(INDEX('08_Rate_Cards'!$D:$D,MATCH(F113,'08_Rate_Cards'!$A:$A,0)),"NO RATE"))</x:f>
      </x:c>
      <x:c r="M113" s="70" t="str">
        <x:f>IF(OR(H113="",NOT(ISNUMBER(L113))),"",H113*L113)</x:f>
      </x:c>
      <x:c r="N113" s="15" t="str">
        <x:f>IF(COUNTA(B113:K113)=0,"",TEXTJOIN("; ",TRUE,IF(B113="","Missing work date",""),IF(C113="","Missing project",""),IF(F113="","Missing production code",""),IF(H113="","Missing quantity",""),IF(I113="","Missing unit",""),IF(L113="NO RATE","Missing rate card","")))</x:f>
      </x:c>
    </x:row>
    <x:row r="114" ht="20" customHeight="1">
      <x:c r="A114" s="15"/>
      <x:c r="B114" s="28"/>
      <x:c r="C114" s="15"/>
      <x:c r="D114" s="15"/>
      <x:c r="E114" s="15"/>
      <x:c r="F114" s="15"/>
      <x:c r="G114" s="15"/>
      <x:c r="H114" s="138"/>
      <x:c r="I114" s="15"/>
      <x:c r="J114" s="15"/>
      <x:c r="K114" s="15"/>
      <x:c r="L114" s="70" t="str">
        <x:f>IF(F114="","",IFERROR(INDEX('08_Rate_Cards'!$D:$D,MATCH(F114,'08_Rate_Cards'!$A:$A,0)),"NO RATE"))</x:f>
      </x:c>
      <x:c r="M114" s="70" t="str">
        <x:f>IF(OR(H114="",NOT(ISNUMBER(L114))),"",H114*L114)</x:f>
      </x:c>
      <x:c r="N114" s="15" t="str">
        <x:f>IF(COUNTA(B114:K114)=0,"",TEXTJOIN("; ",TRUE,IF(B114="","Missing work date",""),IF(C114="","Missing project",""),IF(F114="","Missing production code",""),IF(H114="","Missing quantity",""),IF(I114="","Missing unit",""),IF(L114="NO RATE","Missing rate card","")))</x:f>
      </x:c>
    </x:row>
    <x:row r="115" ht="20" customHeight="1">
      <x:c r="A115" s="15"/>
      <x:c r="B115" s="28"/>
      <x:c r="C115" s="15"/>
      <x:c r="D115" s="15"/>
      <x:c r="E115" s="15"/>
      <x:c r="F115" s="15"/>
      <x:c r="G115" s="15"/>
      <x:c r="H115" s="138"/>
      <x:c r="I115" s="15"/>
      <x:c r="J115" s="15"/>
      <x:c r="K115" s="15"/>
      <x:c r="L115" s="70" t="str">
        <x:f>IF(F115="","",IFERROR(INDEX('08_Rate_Cards'!$D:$D,MATCH(F115,'08_Rate_Cards'!$A:$A,0)),"NO RATE"))</x:f>
      </x:c>
      <x:c r="M115" s="70" t="str">
        <x:f>IF(OR(H115="",NOT(ISNUMBER(L115))),"",H115*L115)</x:f>
      </x:c>
      <x:c r="N115" s="15" t="str">
        <x:f>IF(COUNTA(B115:K115)=0,"",TEXTJOIN("; ",TRUE,IF(B115="","Missing work date",""),IF(C115="","Missing project",""),IF(F115="","Missing production code",""),IF(H115="","Missing quantity",""),IF(I115="","Missing unit",""),IF(L115="NO RATE","Missing rate card","")))</x:f>
      </x:c>
    </x:row>
    <x:row r="116" ht="20" customHeight="1">
      <x:c r="A116" s="15"/>
      <x:c r="B116" s="28"/>
      <x:c r="C116" s="15"/>
      <x:c r="D116" s="15"/>
      <x:c r="E116" s="15"/>
      <x:c r="F116" s="15"/>
      <x:c r="G116" s="15"/>
      <x:c r="H116" s="138"/>
      <x:c r="I116" s="15"/>
      <x:c r="J116" s="15"/>
      <x:c r="K116" s="15"/>
      <x:c r="L116" s="70" t="str">
        <x:f>IF(F116="","",IFERROR(INDEX('08_Rate_Cards'!$D:$D,MATCH(F116,'08_Rate_Cards'!$A:$A,0)),"NO RATE"))</x:f>
      </x:c>
      <x:c r="M116" s="70" t="str">
        <x:f>IF(OR(H116="",NOT(ISNUMBER(L116))),"",H116*L116)</x:f>
      </x:c>
      <x:c r="N116" s="15" t="str">
        <x:f>IF(COUNTA(B116:K116)=0,"",TEXTJOIN("; ",TRUE,IF(B116="","Missing work date",""),IF(C116="","Missing project",""),IF(F116="","Missing production code",""),IF(H116="","Missing quantity",""),IF(I116="","Missing unit",""),IF(L116="NO RATE","Missing rate card","")))</x:f>
      </x:c>
    </x:row>
    <x:row r="117" ht="20" customHeight="1">
      <x:c r="A117" s="15"/>
      <x:c r="B117" s="28"/>
      <x:c r="C117" s="15"/>
      <x:c r="D117" s="15"/>
      <x:c r="E117" s="15"/>
      <x:c r="F117" s="15"/>
      <x:c r="G117" s="15"/>
      <x:c r="H117" s="138"/>
      <x:c r="I117" s="15"/>
      <x:c r="J117" s="15"/>
      <x:c r="K117" s="15"/>
      <x:c r="L117" s="70" t="str">
        <x:f>IF(F117="","",IFERROR(INDEX('08_Rate_Cards'!$D:$D,MATCH(F117,'08_Rate_Cards'!$A:$A,0)),"NO RATE"))</x:f>
      </x:c>
      <x:c r="M117" s="70" t="str">
        <x:f>IF(OR(H117="",NOT(ISNUMBER(L117))),"",H117*L117)</x:f>
      </x:c>
      <x:c r="N117" s="15" t="str">
        <x:f>IF(COUNTA(B117:K117)=0,"",TEXTJOIN("; ",TRUE,IF(B117="","Missing work date",""),IF(C117="","Missing project",""),IF(F117="","Missing production code",""),IF(H117="","Missing quantity",""),IF(I117="","Missing unit",""),IF(L117="NO RATE","Missing rate card","")))</x:f>
      </x:c>
    </x:row>
    <x:row r="118" ht="20" customHeight="1">
      <x:c r="A118" s="15"/>
      <x:c r="B118" s="28"/>
      <x:c r="C118" s="15"/>
      <x:c r="D118" s="15"/>
      <x:c r="E118" s="15"/>
      <x:c r="F118" s="15"/>
      <x:c r="G118" s="15"/>
      <x:c r="H118" s="138"/>
      <x:c r="I118" s="15"/>
      <x:c r="J118" s="15"/>
      <x:c r="K118" s="15"/>
      <x:c r="L118" s="70" t="str">
        <x:f>IF(F118="","",IFERROR(INDEX('08_Rate_Cards'!$D:$D,MATCH(F118,'08_Rate_Cards'!$A:$A,0)),"NO RATE"))</x:f>
      </x:c>
      <x:c r="M118" s="70" t="str">
        <x:f>IF(OR(H118="",NOT(ISNUMBER(L118))),"",H118*L118)</x:f>
      </x:c>
      <x:c r="N118" s="15" t="str">
        <x:f>IF(COUNTA(B118:K118)=0,"",TEXTJOIN("; ",TRUE,IF(B118="","Missing work date",""),IF(C118="","Missing project",""),IF(F118="","Missing production code",""),IF(H118="","Missing quantity",""),IF(I118="","Missing unit",""),IF(L118="NO RATE","Missing rate card","")))</x:f>
      </x:c>
    </x:row>
    <x:row r="119" ht="20" customHeight="1">
      <x:c r="A119" s="15"/>
      <x:c r="B119" s="28"/>
      <x:c r="C119" s="15"/>
      <x:c r="D119" s="15"/>
      <x:c r="E119" s="15"/>
      <x:c r="F119" s="15"/>
      <x:c r="G119" s="15"/>
      <x:c r="H119" s="138"/>
      <x:c r="I119" s="15"/>
      <x:c r="J119" s="15"/>
      <x:c r="K119" s="15"/>
      <x:c r="L119" s="70" t="str">
        <x:f>IF(F119="","",IFERROR(INDEX('08_Rate_Cards'!$D:$D,MATCH(F119,'08_Rate_Cards'!$A:$A,0)),"NO RATE"))</x:f>
      </x:c>
      <x:c r="M119" s="70" t="str">
        <x:f>IF(OR(H119="",NOT(ISNUMBER(L119))),"",H119*L119)</x:f>
      </x:c>
      <x:c r="N119" s="15" t="str">
        <x:f>IF(COUNTA(B119:K119)=0,"",TEXTJOIN("; ",TRUE,IF(B119="","Missing work date",""),IF(C119="","Missing project",""),IF(F119="","Missing production code",""),IF(H119="","Missing quantity",""),IF(I119="","Missing unit",""),IF(L119="NO RATE","Missing rate card","")))</x:f>
      </x:c>
    </x:row>
    <x:row r="120" ht="20" customHeight="1">
      <x:c r="A120" s="15"/>
      <x:c r="B120" s="28"/>
      <x:c r="C120" s="15"/>
      <x:c r="D120" s="15"/>
      <x:c r="E120" s="15"/>
      <x:c r="F120" s="15"/>
      <x:c r="G120" s="15"/>
      <x:c r="H120" s="138"/>
      <x:c r="I120" s="15"/>
      <x:c r="J120" s="15"/>
      <x:c r="K120" s="15"/>
      <x:c r="L120" s="70" t="str">
        <x:f>IF(F120="","",IFERROR(INDEX('08_Rate_Cards'!$D:$D,MATCH(F120,'08_Rate_Cards'!$A:$A,0)),"NO RATE"))</x:f>
      </x:c>
      <x:c r="M120" s="70" t="str">
        <x:f>IF(OR(H120="",NOT(ISNUMBER(L120))),"",H120*L120)</x:f>
      </x:c>
      <x:c r="N120" s="15" t="str">
        <x:f>IF(COUNTA(B120:K120)=0,"",TEXTJOIN("; ",TRUE,IF(B120="","Missing work date",""),IF(C120="","Missing project",""),IF(F120="","Missing production code",""),IF(H120="","Missing quantity",""),IF(I120="","Missing unit",""),IF(L120="NO RATE","Missing rate card","")))</x:f>
      </x:c>
    </x:row>
    <x:row r="121" ht="20" customHeight="1">
      <x:c r="A121" s="15"/>
      <x:c r="B121" s="28"/>
      <x:c r="C121" s="15"/>
      <x:c r="D121" s="15"/>
      <x:c r="E121" s="15"/>
      <x:c r="F121" s="15"/>
      <x:c r="G121" s="15"/>
      <x:c r="H121" s="138"/>
      <x:c r="I121" s="15"/>
      <x:c r="J121" s="15"/>
      <x:c r="K121" s="15"/>
      <x:c r="L121" s="70" t="str">
        <x:f>IF(F121="","",IFERROR(INDEX('08_Rate_Cards'!$D:$D,MATCH(F121,'08_Rate_Cards'!$A:$A,0)),"NO RATE"))</x:f>
      </x:c>
      <x:c r="M121" s="70" t="str">
        <x:f>IF(OR(H121="",NOT(ISNUMBER(L121))),"",H121*L121)</x:f>
      </x:c>
      <x:c r="N121" s="15" t="str">
        <x:f>IF(COUNTA(B121:K121)=0,"",TEXTJOIN("; ",TRUE,IF(B121="","Missing work date",""),IF(C121="","Missing project",""),IF(F121="","Missing production code",""),IF(H121="","Missing quantity",""),IF(I121="","Missing unit",""),IF(L121="NO RATE","Missing rate card","")))</x:f>
      </x:c>
    </x:row>
    <x:row r="122" ht="20" customHeight="1">
      <x:c r="A122" s="15"/>
      <x:c r="B122" s="28"/>
      <x:c r="C122" s="15"/>
      <x:c r="D122" s="15"/>
      <x:c r="E122" s="15"/>
      <x:c r="F122" s="15"/>
      <x:c r="G122" s="15"/>
      <x:c r="H122" s="138"/>
      <x:c r="I122" s="15"/>
      <x:c r="J122" s="15"/>
      <x:c r="K122" s="15"/>
      <x:c r="L122" s="70" t="str">
        <x:f>IF(F122="","",IFERROR(INDEX('08_Rate_Cards'!$D:$D,MATCH(F122,'08_Rate_Cards'!$A:$A,0)),"NO RATE"))</x:f>
      </x:c>
      <x:c r="M122" s="70" t="str">
        <x:f>IF(OR(H122="",NOT(ISNUMBER(L122))),"",H122*L122)</x:f>
      </x:c>
      <x:c r="N122" s="15" t="str">
        <x:f>IF(COUNTA(B122:K122)=0,"",TEXTJOIN("; ",TRUE,IF(B122="","Missing work date",""),IF(C122="","Missing project",""),IF(F122="","Missing production code",""),IF(H122="","Missing quantity",""),IF(I122="","Missing unit",""),IF(L122="NO RATE","Missing rate card","")))</x:f>
      </x:c>
    </x:row>
    <x:row r="123" ht="20" customHeight="1">
      <x:c r="A123" s="15"/>
      <x:c r="B123" s="28"/>
      <x:c r="C123" s="15"/>
      <x:c r="D123" s="15"/>
      <x:c r="E123" s="15"/>
      <x:c r="F123" s="15"/>
      <x:c r="G123" s="15"/>
      <x:c r="H123" s="138"/>
      <x:c r="I123" s="15"/>
      <x:c r="J123" s="15"/>
      <x:c r="K123" s="15"/>
      <x:c r="L123" s="70" t="str">
        <x:f>IF(F123="","",IFERROR(INDEX('08_Rate_Cards'!$D:$D,MATCH(F123,'08_Rate_Cards'!$A:$A,0)),"NO RATE"))</x:f>
      </x:c>
      <x:c r="M123" s="70" t="str">
        <x:f>IF(OR(H123="",NOT(ISNUMBER(L123))),"",H123*L123)</x:f>
      </x:c>
      <x:c r="N123" s="15" t="str">
        <x:f>IF(COUNTA(B123:K123)=0,"",TEXTJOIN("; ",TRUE,IF(B123="","Missing work date",""),IF(C123="","Missing project",""),IF(F123="","Missing production code",""),IF(H123="","Missing quantity",""),IF(I123="","Missing unit",""),IF(L123="NO RATE","Missing rate card","")))</x:f>
      </x:c>
    </x:row>
    <x:row r="124" ht="20" customHeight="1">
      <x:c r="A124" s="15"/>
      <x:c r="B124" s="28"/>
      <x:c r="C124" s="15"/>
      <x:c r="D124" s="15"/>
      <x:c r="E124" s="15"/>
      <x:c r="F124" s="15"/>
      <x:c r="G124" s="15"/>
      <x:c r="H124" s="138"/>
      <x:c r="I124" s="15"/>
      <x:c r="J124" s="15"/>
      <x:c r="K124" s="15"/>
      <x:c r="L124" s="70" t="str">
        <x:f>IF(F124="","",IFERROR(INDEX('08_Rate_Cards'!$D:$D,MATCH(F124,'08_Rate_Cards'!$A:$A,0)),"NO RATE"))</x:f>
      </x:c>
      <x:c r="M124" s="70" t="str">
        <x:f>IF(OR(H124="",NOT(ISNUMBER(L124))),"",H124*L124)</x:f>
      </x:c>
      <x:c r="N124" s="15" t="str">
        <x:f>IF(COUNTA(B124:K124)=0,"",TEXTJOIN("; ",TRUE,IF(B124="","Missing work date",""),IF(C124="","Missing project",""),IF(F124="","Missing production code",""),IF(H124="","Missing quantity",""),IF(I124="","Missing unit",""),IF(L124="NO RATE","Missing rate card","")))</x:f>
      </x:c>
    </x:row>
    <x:row r="125" ht="20" customHeight="1">
      <x:c r="A125" s="15"/>
      <x:c r="B125" s="28"/>
      <x:c r="C125" s="15"/>
      <x:c r="D125" s="15"/>
      <x:c r="E125" s="15"/>
      <x:c r="F125" s="15"/>
      <x:c r="G125" s="15"/>
      <x:c r="H125" s="138"/>
      <x:c r="I125" s="15"/>
      <x:c r="J125" s="15"/>
      <x:c r="K125" s="15"/>
      <x:c r="L125" s="70" t="str">
        <x:f>IF(F125="","",IFERROR(INDEX('08_Rate_Cards'!$D:$D,MATCH(F125,'08_Rate_Cards'!$A:$A,0)),"NO RATE"))</x:f>
      </x:c>
      <x:c r="M125" s="70" t="str">
        <x:f>IF(OR(H125="",NOT(ISNUMBER(L125))),"",H125*L125)</x:f>
      </x:c>
      <x:c r="N125" s="15" t="str">
        <x:f>IF(COUNTA(B125:K125)=0,"",TEXTJOIN("; ",TRUE,IF(B125="","Missing work date",""),IF(C125="","Missing project",""),IF(F125="","Missing production code",""),IF(H125="","Missing quantity",""),IF(I125="","Missing unit",""),IF(L125="NO RATE","Missing rate card","")))</x:f>
      </x:c>
    </x:row>
    <x:row r="126" ht="20" customHeight="1">
      <x:c r="A126" s="15"/>
      <x:c r="B126" s="28"/>
      <x:c r="C126" s="15"/>
      <x:c r="D126" s="15"/>
      <x:c r="E126" s="15"/>
      <x:c r="F126" s="15"/>
      <x:c r="G126" s="15"/>
      <x:c r="H126" s="138"/>
      <x:c r="I126" s="15"/>
      <x:c r="J126" s="15"/>
      <x:c r="K126" s="15"/>
      <x:c r="L126" s="70" t="str">
        <x:f>IF(F126="","",IFERROR(INDEX('08_Rate_Cards'!$D:$D,MATCH(F126,'08_Rate_Cards'!$A:$A,0)),"NO RATE"))</x:f>
      </x:c>
      <x:c r="M126" s="70" t="str">
        <x:f>IF(OR(H126="",NOT(ISNUMBER(L126))),"",H126*L126)</x:f>
      </x:c>
      <x:c r="N126" s="15" t="str">
        <x:f>IF(COUNTA(B126:K126)=0,"",TEXTJOIN("; ",TRUE,IF(B126="","Missing work date",""),IF(C126="","Missing project",""),IF(F126="","Missing production code",""),IF(H126="","Missing quantity",""),IF(I126="","Missing unit",""),IF(L126="NO RATE","Missing rate card","")))</x:f>
      </x:c>
    </x:row>
    <x:row r="127" ht="20" customHeight="1">
      <x:c r="A127" s="15"/>
      <x:c r="B127" s="28"/>
      <x:c r="C127" s="15"/>
      <x:c r="D127" s="15"/>
      <x:c r="E127" s="15"/>
      <x:c r="F127" s="15"/>
      <x:c r="G127" s="15"/>
      <x:c r="H127" s="138"/>
      <x:c r="I127" s="15"/>
      <x:c r="J127" s="15"/>
      <x:c r="K127" s="15"/>
      <x:c r="L127" s="70" t="str">
        <x:f>IF(F127="","",IFERROR(INDEX('08_Rate_Cards'!$D:$D,MATCH(F127,'08_Rate_Cards'!$A:$A,0)),"NO RATE"))</x:f>
      </x:c>
      <x:c r="M127" s="70" t="str">
        <x:f>IF(OR(H127="",NOT(ISNUMBER(L127))),"",H127*L127)</x:f>
      </x:c>
      <x:c r="N127" s="15" t="str">
        <x:f>IF(COUNTA(B127:K127)=0,"",TEXTJOIN("; ",TRUE,IF(B127="","Missing work date",""),IF(C127="","Missing project",""),IF(F127="","Missing production code",""),IF(H127="","Missing quantity",""),IF(I127="","Missing unit",""),IF(L127="NO RATE","Missing rate card","")))</x:f>
      </x:c>
    </x:row>
    <x:row r="128" ht="20" customHeight="1">
      <x:c r="A128" s="15"/>
      <x:c r="B128" s="28"/>
      <x:c r="C128" s="15"/>
      <x:c r="D128" s="15"/>
      <x:c r="E128" s="15"/>
      <x:c r="F128" s="15"/>
      <x:c r="G128" s="15"/>
      <x:c r="H128" s="138"/>
      <x:c r="I128" s="15"/>
      <x:c r="J128" s="15"/>
      <x:c r="K128" s="15"/>
      <x:c r="L128" s="70" t="str">
        <x:f>IF(F128="","",IFERROR(INDEX('08_Rate_Cards'!$D:$D,MATCH(F128,'08_Rate_Cards'!$A:$A,0)),"NO RATE"))</x:f>
      </x:c>
      <x:c r="M128" s="70" t="str">
        <x:f>IF(OR(H128="",NOT(ISNUMBER(L128))),"",H128*L128)</x:f>
      </x:c>
      <x:c r="N128" s="15" t="str">
        <x:f>IF(COUNTA(B128:K128)=0,"",TEXTJOIN("; ",TRUE,IF(B128="","Missing work date",""),IF(C128="","Missing project",""),IF(F128="","Missing production code",""),IF(H128="","Missing quantity",""),IF(I128="","Missing unit",""),IF(L128="NO RATE","Missing rate card","")))</x:f>
      </x:c>
    </x:row>
    <x:row r="129" ht="20" customHeight="1">
      <x:c r="A129" s="15"/>
      <x:c r="B129" s="28"/>
      <x:c r="C129" s="15"/>
      <x:c r="D129" s="15"/>
      <x:c r="E129" s="15"/>
      <x:c r="F129" s="15"/>
      <x:c r="G129" s="15"/>
      <x:c r="H129" s="138"/>
      <x:c r="I129" s="15"/>
      <x:c r="J129" s="15"/>
      <x:c r="K129" s="15"/>
      <x:c r="L129" s="70" t="str">
        <x:f>IF(F129="","",IFERROR(INDEX('08_Rate_Cards'!$D:$D,MATCH(F129,'08_Rate_Cards'!$A:$A,0)),"NO RATE"))</x:f>
      </x:c>
      <x:c r="M129" s="70" t="str">
        <x:f>IF(OR(H129="",NOT(ISNUMBER(L129))),"",H129*L129)</x:f>
      </x:c>
      <x:c r="N129" s="15" t="str">
        <x:f>IF(COUNTA(B129:K129)=0,"",TEXTJOIN("; ",TRUE,IF(B129="","Missing work date",""),IF(C129="","Missing project",""),IF(F129="","Missing production code",""),IF(H129="","Missing quantity",""),IF(I129="","Missing unit",""),IF(L129="NO RATE","Missing rate card","")))</x:f>
      </x:c>
    </x:row>
    <x:row r="130" ht="20" customHeight="1">
      <x:c r="A130" s="15"/>
      <x:c r="B130" s="28"/>
      <x:c r="C130" s="15"/>
      <x:c r="D130" s="15"/>
      <x:c r="E130" s="15"/>
      <x:c r="F130" s="15"/>
      <x:c r="G130" s="15"/>
      <x:c r="H130" s="138"/>
      <x:c r="I130" s="15"/>
      <x:c r="J130" s="15"/>
      <x:c r="K130" s="15"/>
      <x:c r="L130" s="70" t="str">
        <x:f>IF(F130="","",IFERROR(INDEX('08_Rate_Cards'!$D:$D,MATCH(F130,'08_Rate_Cards'!$A:$A,0)),"NO RATE"))</x:f>
      </x:c>
      <x:c r="M130" s="70" t="str">
        <x:f>IF(OR(H130="",NOT(ISNUMBER(L130))),"",H130*L130)</x:f>
      </x:c>
      <x:c r="N130" s="15" t="str">
        <x:f>IF(COUNTA(B130:K130)=0,"",TEXTJOIN("; ",TRUE,IF(B130="","Missing work date",""),IF(C130="","Missing project",""),IF(F130="","Missing production code",""),IF(H130="","Missing quantity",""),IF(I130="","Missing unit",""),IF(L130="NO RATE","Missing rate card","")))</x:f>
      </x:c>
    </x:row>
    <x:row r="131" ht="20" customHeight="1">
      <x:c r="A131" s="15"/>
      <x:c r="B131" s="28"/>
      <x:c r="C131" s="15"/>
      <x:c r="D131" s="15"/>
      <x:c r="E131" s="15"/>
      <x:c r="F131" s="15"/>
      <x:c r="G131" s="15"/>
      <x:c r="H131" s="138"/>
      <x:c r="I131" s="15"/>
      <x:c r="J131" s="15"/>
      <x:c r="K131" s="15"/>
      <x:c r="L131" s="70" t="str">
        <x:f>IF(F131="","",IFERROR(INDEX('08_Rate_Cards'!$D:$D,MATCH(F131,'08_Rate_Cards'!$A:$A,0)),"NO RATE"))</x:f>
      </x:c>
      <x:c r="M131" s="70" t="str">
        <x:f>IF(OR(H131="",NOT(ISNUMBER(L131))),"",H131*L131)</x:f>
      </x:c>
      <x:c r="N131" s="15" t="str">
        <x:f>IF(COUNTA(B131:K131)=0,"",TEXTJOIN("; ",TRUE,IF(B131="","Missing work date",""),IF(C131="","Missing project",""),IF(F131="","Missing production code",""),IF(H131="","Missing quantity",""),IF(I131="","Missing unit",""),IF(L131="NO RATE","Missing rate card","")))</x:f>
      </x:c>
    </x:row>
    <x:row r="132" ht="20" customHeight="1">
      <x:c r="A132" s="15"/>
      <x:c r="B132" s="28"/>
      <x:c r="C132" s="15"/>
      <x:c r="D132" s="15"/>
      <x:c r="E132" s="15"/>
      <x:c r="F132" s="15"/>
      <x:c r="G132" s="15"/>
      <x:c r="H132" s="138"/>
      <x:c r="I132" s="15"/>
      <x:c r="J132" s="15"/>
      <x:c r="K132" s="15"/>
      <x:c r="L132" s="70" t="str">
        <x:f>IF(F132="","",IFERROR(INDEX('08_Rate_Cards'!$D:$D,MATCH(F132,'08_Rate_Cards'!$A:$A,0)),"NO RATE"))</x:f>
      </x:c>
      <x:c r="M132" s="70" t="str">
        <x:f>IF(OR(H132="",NOT(ISNUMBER(L132))),"",H132*L132)</x:f>
      </x:c>
      <x:c r="N132" s="15" t="str">
        <x:f>IF(COUNTA(B132:K132)=0,"",TEXTJOIN("; ",TRUE,IF(B132="","Missing work date",""),IF(C132="","Missing project",""),IF(F132="","Missing production code",""),IF(H132="","Missing quantity",""),IF(I132="","Missing unit",""),IF(L132="NO RATE","Missing rate card","")))</x:f>
      </x:c>
    </x:row>
    <x:row r="133" ht="20" customHeight="1">
      <x:c r="A133" s="15"/>
      <x:c r="B133" s="28"/>
      <x:c r="C133" s="15"/>
      <x:c r="D133" s="15"/>
      <x:c r="E133" s="15"/>
      <x:c r="F133" s="15"/>
      <x:c r="G133" s="15"/>
      <x:c r="H133" s="138"/>
      <x:c r="I133" s="15"/>
      <x:c r="J133" s="15"/>
      <x:c r="K133" s="15"/>
      <x:c r="L133" s="70" t="str">
        <x:f>IF(F133="","",IFERROR(INDEX('08_Rate_Cards'!$D:$D,MATCH(F133,'08_Rate_Cards'!$A:$A,0)),"NO RATE"))</x:f>
      </x:c>
      <x:c r="M133" s="70" t="str">
        <x:f>IF(OR(H133="",NOT(ISNUMBER(L133))),"",H133*L133)</x:f>
      </x:c>
      <x:c r="N133" s="15" t="str">
        <x:f>IF(COUNTA(B133:K133)=0,"",TEXTJOIN("; ",TRUE,IF(B133="","Missing work date",""),IF(C133="","Missing project",""),IF(F133="","Missing production code",""),IF(H133="","Missing quantity",""),IF(I133="","Missing unit",""),IF(L133="NO RATE","Missing rate card","")))</x:f>
      </x:c>
    </x:row>
    <x:row r="134" ht="20" customHeight="1">
      <x:c r="A134" s="15"/>
      <x:c r="B134" s="28"/>
      <x:c r="C134" s="15"/>
      <x:c r="D134" s="15"/>
      <x:c r="E134" s="15"/>
      <x:c r="F134" s="15"/>
      <x:c r="G134" s="15"/>
      <x:c r="H134" s="138"/>
      <x:c r="I134" s="15"/>
      <x:c r="J134" s="15"/>
      <x:c r="K134" s="15"/>
      <x:c r="L134" s="70" t="str">
        <x:f>IF(F134="","",IFERROR(INDEX('08_Rate_Cards'!$D:$D,MATCH(F134,'08_Rate_Cards'!$A:$A,0)),"NO RATE"))</x:f>
      </x:c>
      <x:c r="M134" s="70" t="str">
        <x:f>IF(OR(H134="",NOT(ISNUMBER(L134))),"",H134*L134)</x:f>
      </x:c>
      <x:c r="N134" s="15" t="str">
        <x:f>IF(COUNTA(B134:K134)=0,"",TEXTJOIN("; ",TRUE,IF(B134="","Missing work date",""),IF(C134="","Missing project",""),IF(F134="","Missing production code",""),IF(H134="","Missing quantity",""),IF(I134="","Missing unit",""),IF(L134="NO RATE","Missing rate card","")))</x:f>
      </x:c>
    </x:row>
    <x:row r="135" ht="20" customHeight="1">
      <x:c r="A135" s="15"/>
      <x:c r="B135" s="28"/>
      <x:c r="C135" s="15"/>
      <x:c r="D135" s="15"/>
      <x:c r="E135" s="15"/>
      <x:c r="F135" s="15"/>
      <x:c r="G135" s="15"/>
      <x:c r="H135" s="138"/>
      <x:c r="I135" s="15"/>
      <x:c r="J135" s="15"/>
      <x:c r="K135" s="15"/>
      <x:c r="L135" s="70" t="str">
        <x:f>IF(F135="","",IFERROR(INDEX('08_Rate_Cards'!$D:$D,MATCH(F135,'08_Rate_Cards'!$A:$A,0)),"NO RATE"))</x:f>
      </x:c>
      <x:c r="M135" s="70" t="str">
        <x:f>IF(OR(H135="",NOT(ISNUMBER(L135))),"",H135*L135)</x:f>
      </x:c>
      <x:c r="N135" s="15" t="str">
        <x:f>IF(COUNTA(B135:K135)=0,"",TEXTJOIN("; ",TRUE,IF(B135="","Missing work date",""),IF(C135="","Missing project",""),IF(F135="","Missing production code",""),IF(H135="","Missing quantity",""),IF(I135="","Missing unit",""),IF(L135="NO RATE","Missing rate card","")))</x:f>
      </x:c>
    </x:row>
    <x:row r="136" ht="20" customHeight="1">
      <x:c r="A136" s="15"/>
      <x:c r="B136" s="28"/>
      <x:c r="C136" s="15"/>
      <x:c r="D136" s="15"/>
      <x:c r="E136" s="15"/>
      <x:c r="F136" s="15"/>
      <x:c r="G136" s="15"/>
      <x:c r="H136" s="138"/>
      <x:c r="I136" s="15"/>
      <x:c r="J136" s="15"/>
      <x:c r="K136" s="15"/>
      <x:c r="L136" s="70" t="str">
        <x:f>IF(F136="","",IFERROR(INDEX('08_Rate_Cards'!$D:$D,MATCH(F136,'08_Rate_Cards'!$A:$A,0)),"NO RATE"))</x:f>
      </x:c>
      <x:c r="M136" s="70" t="str">
        <x:f>IF(OR(H136="",NOT(ISNUMBER(L136))),"",H136*L136)</x:f>
      </x:c>
      <x:c r="N136" s="15" t="str">
        <x:f>IF(COUNTA(B136:K136)=0,"",TEXTJOIN("; ",TRUE,IF(B136="","Missing work date",""),IF(C136="","Missing project",""),IF(F136="","Missing production code",""),IF(H136="","Missing quantity",""),IF(I136="","Missing unit",""),IF(L136="NO RATE","Missing rate card","")))</x:f>
      </x:c>
    </x:row>
    <x:row r="137" ht="20" customHeight="1">
      <x:c r="A137" s="15"/>
      <x:c r="B137" s="28"/>
      <x:c r="C137" s="15"/>
      <x:c r="D137" s="15"/>
      <x:c r="E137" s="15"/>
      <x:c r="F137" s="15"/>
      <x:c r="G137" s="15"/>
      <x:c r="H137" s="138"/>
      <x:c r="I137" s="15"/>
      <x:c r="J137" s="15"/>
      <x:c r="K137" s="15"/>
      <x:c r="L137" s="70" t="str">
        <x:f>IF(F137="","",IFERROR(INDEX('08_Rate_Cards'!$D:$D,MATCH(F137,'08_Rate_Cards'!$A:$A,0)),"NO RATE"))</x:f>
      </x:c>
      <x:c r="M137" s="70" t="str">
        <x:f>IF(OR(H137="",NOT(ISNUMBER(L137))),"",H137*L137)</x:f>
      </x:c>
      <x:c r="N137" s="15" t="str">
        <x:f>IF(COUNTA(B137:K137)=0,"",TEXTJOIN("; ",TRUE,IF(B137="","Missing work date",""),IF(C137="","Missing project",""),IF(F137="","Missing production code",""),IF(H137="","Missing quantity",""),IF(I137="","Missing unit",""),IF(L137="NO RATE","Missing rate card","")))</x:f>
      </x:c>
    </x:row>
    <x:row r="138" ht="20" customHeight="1">
      <x:c r="A138" s="15"/>
      <x:c r="B138" s="28"/>
      <x:c r="C138" s="15"/>
      <x:c r="D138" s="15"/>
      <x:c r="E138" s="15"/>
      <x:c r="F138" s="15"/>
      <x:c r="G138" s="15"/>
      <x:c r="H138" s="138"/>
      <x:c r="I138" s="15"/>
      <x:c r="J138" s="15"/>
      <x:c r="K138" s="15"/>
      <x:c r="L138" s="70" t="str">
        <x:f>IF(F138="","",IFERROR(INDEX('08_Rate_Cards'!$D:$D,MATCH(F138,'08_Rate_Cards'!$A:$A,0)),"NO RATE"))</x:f>
      </x:c>
      <x:c r="M138" s="70" t="str">
        <x:f>IF(OR(H138="",NOT(ISNUMBER(L138))),"",H138*L138)</x:f>
      </x:c>
      <x:c r="N138" s="15" t="str">
        <x:f>IF(COUNTA(B138:K138)=0,"",TEXTJOIN("; ",TRUE,IF(B138="","Missing work date",""),IF(C138="","Missing project",""),IF(F138="","Missing production code",""),IF(H138="","Missing quantity",""),IF(I138="","Missing unit",""),IF(L138="NO RATE","Missing rate card","")))</x:f>
      </x:c>
    </x:row>
    <x:row r="139" ht="20" customHeight="1">
      <x:c r="A139" s="15"/>
      <x:c r="B139" s="28"/>
      <x:c r="C139" s="15"/>
      <x:c r="D139" s="15"/>
      <x:c r="E139" s="15"/>
      <x:c r="F139" s="15"/>
      <x:c r="G139" s="15"/>
      <x:c r="H139" s="138"/>
      <x:c r="I139" s="15"/>
      <x:c r="J139" s="15"/>
      <x:c r="K139" s="15"/>
      <x:c r="L139" s="70" t="str">
        <x:f>IF(F139="","",IFERROR(INDEX('08_Rate_Cards'!$D:$D,MATCH(F139,'08_Rate_Cards'!$A:$A,0)),"NO RATE"))</x:f>
      </x:c>
      <x:c r="M139" s="70" t="str">
        <x:f>IF(OR(H139="",NOT(ISNUMBER(L139))),"",H139*L139)</x:f>
      </x:c>
      <x:c r="N139" s="15" t="str">
        <x:f>IF(COUNTA(B139:K139)=0,"",TEXTJOIN("; ",TRUE,IF(B139="","Missing work date",""),IF(C139="","Missing project",""),IF(F139="","Missing production code",""),IF(H139="","Missing quantity",""),IF(I139="","Missing unit",""),IF(L139="NO RATE","Missing rate card","")))</x:f>
      </x:c>
    </x:row>
    <x:row r="140" ht="20" customHeight="1">
      <x:c r="A140" s="15"/>
      <x:c r="B140" s="28"/>
      <x:c r="C140" s="15"/>
      <x:c r="D140" s="15"/>
      <x:c r="E140" s="15"/>
      <x:c r="F140" s="15"/>
      <x:c r="G140" s="15"/>
      <x:c r="H140" s="138"/>
      <x:c r="I140" s="15"/>
      <x:c r="J140" s="15"/>
      <x:c r="K140" s="15"/>
      <x:c r="L140" s="70" t="str">
        <x:f>IF(F140="","",IFERROR(INDEX('08_Rate_Cards'!$D:$D,MATCH(F140,'08_Rate_Cards'!$A:$A,0)),"NO RATE"))</x:f>
      </x:c>
      <x:c r="M140" s="70" t="str">
        <x:f>IF(OR(H140="",NOT(ISNUMBER(L140))),"",H140*L140)</x:f>
      </x:c>
      <x:c r="N140" s="15" t="str">
        <x:f>IF(COUNTA(B140:K140)=0,"",TEXTJOIN("; ",TRUE,IF(B140="","Missing work date",""),IF(C140="","Missing project",""),IF(F140="","Missing production code",""),IF(H140="","Missing quantity",""),IF(I140="","Missing unit",""),IF(L140="NO RATE","Missing rate card","")))</x:f>
      </x:c>
    </x:row>
    <x:row r="141" ht="20" customHeight="1">
      <x:c r="A141" s="15"/>
      <x:c r="B141" s="28"/>
      <x:c r="C141" s="15"/>
      <x:c r="D141" s="15"/>
      <x:c r="E141" s="15"/>
      <x:c r="F141" s="15"/>
      <x:c r="G141" s="15"/>
      <x:c r="H141" s="138"/>
      <x:c r="I141" s="15"/>
      <x:c r="J141" s="15"/>
      <x:c r="K141" s="15"/>
      <x:c r="L141" s="70" t="str">
        <x:f>IF(F141="","",IFERROR(INDEX('08_Rate_Cards'!$D:$D,MATCH(F141,'08_Rate_Cards'!$A:$A,0)),"NO RATE"))</x:f>
      </x:c>
      <x:c r="M141" s="70" t="str">
        <x:f>IF(OR(H141="",NOT(ISNUMBER(L141))),"",H141*L141)</x:f>
      </x:c>
      <x:c r="N141" s="15" t="str">
        <x:f>IF(COUNTA(B141:K141)=0,"",TEXTJOIN("; ",TRUE,IF(B141="","Missing work date",""),IF(C141="","Missing project",""),IF(F141="","Missing production code",""),IF(H141="","Missing quantity",""),IF(I141="","Missing unit",""),IF(L141="NO RATE","Missing rate card","")))</x:f>
      </x:c>
    </x:row>
    <x:row r="142" ht="20" customHeight="1">
      <x:c r="A142" s="15"/>
      <x:c r="B142" s="28"/>
      <x:c r="C142" s="15"/>
      <x:c r="D142" s="15"/>
      <x:c r="E142" s="15"/>
      <x:c r="F142" s="15"/>
      <x:c r="G142" s="15"/>
      <x:c r="H142" s="138"/>
      <x:c r="I142" s="15"/>
      <x:c r="J142" s="15"/>
      <x:c r="K142" s="15"/>
      <x:c r="L142" s="70" t="str">
        <x:f>IF(F142="","",IFERROR(INDEX('08_Rate_Cards'!$D:$D,MATCH(F142,'08_Rate_Cards'!$A:$A,0)),"NO RATE"))</x:f>
      </x:c>
      <x:c r="M142" s="70" t="str">
        <x:f>IF(OR(H142="",NOT(ISNUMBER(L142))),"",H142*L142)</x:f>
      </x:c>
      <x:c r="N142" s="15" t="str">
        <x:f>IF(COUNTA(B142:K142)=0,"",TEXTJOIN("; ",TRUE,IF(B142="","Missing work date",""),IF(C142="","Missing project",""),IF(F142="","Missing production code",""),IF(H142="","Missing quantity",""),IF(I142="","Missing unit",""),IF(L142="NO RATE","Missing rate card","")))</x:f>
      </x:c>
    </x:row>
    <x:row r="143" ht="20" customHeight="1">
      <x:c r="A143" s="15"/>
      <x:c r="B143" s="28"/>
      <x:c r="C143" s="15"/>
      <x:c r="D143" s="15"/>
      <x:c r="E143" s="15"/>
      <x:c r="F143" s="15"/>
      <x:c r="G143" s="15"/>
      <x:c r="H143" s="138"/>
      <x:c r="I143" s="15"/>
      <x:c r="J143" s="15"/>
      <x:c r="K143" s="15"/>
      <x:c r="L143" s="70" t="str">
        <x:f>IF(F143="","",IFERROR(INDEX('08_Rate_Cards'!$D:$D,MATCH(F143,'08_Rate_Cards'!$A:$A,0)),"NO RATE"))</x:f>
      </x:c>
      <x:c r="M143" s="70" t="str">
        <x:f>IF(OR(H143="",NOT(ISNUMBER(L143))),"",H143*L143)</x:f>
      </x:c>
      <x:c r="N143" s="15" t="str">
        <x:f>IF(COUNTA(B143:K143)=0,"",TEXTJOIN("; ",TRUE,IF(B143="","Missing work date",""),IF(C143="","Missing project",""),IF(F143="","Missing production code",""),IF(H143="","Missing quantity",""),IF(I143="","Missing unit",""),IF(L143="NO RATE","Missing rate card","")))</x:f>
      </x:c>
    </x:row>
    <x:row r="144" ht="20" customHeight="1">
      <x:c r="A144" s="15"/>
      <x:c r="B144" s="28"/>
      <x:c r="C144" s="15"/>
      <x:c r="D144" s="15"/>
      <x:c r="E144" s="15"/>
      <x:c r="F144" s="15"/>
      <x:c r="G144" s="15"/>
      <x:c r="H144" s="138"/>
      <x:c r="I144" s="15"/>
      <x:c r="J144" s="15"/>
      <x:c r="K144" s="15"/>
      <x:c r="L144" s="70" t="str">
        <x:f>IF(F144="","",IFERROR(INDEX('08_Rate_Cards'!$D:$D,MATCH(F144,'08_Rate_Cards'!$A:$A,0)),"NO RATE"))</x:f>
      </x:c>
      <x:c r="M144" s="70" t="str">
        <x:f>IF(OR(H144="",NOT(ISNUMBER(L144))),"",H144*L144)</x:f>
      </x:c>
      <x:c r="N144" s="15" t="str">
        <x:f>IF(COUNTA(B144:K144)=0,"",TEXTJOIN("; ",TRUE,IF(B144="","Missing work date",""),IF(C144="","Missing project",""),IF(F144="","Missing production code",""),IF(H144="","Missing quantity",""),IF(I144="","Missing unit",""),IF(L144="NO RATE","Missing rate card","")))</x:f>
      </x:c>
    </x:row>
    <x:row r="145" ht="20" customHeight="1">
      <x:c r="A145" s="15"/>
      <x:c r="B145" s="28"/>
      <x:c r="C145" s="15"/>
      <x:c r="D145" s="15"/>
      <x:c r="E145" s="15"/>
      <x:c r="F145" s="15"/>
      <x:c r="G145" s="15"/>
      <x:c r="H145" s="138"/>
      <x:c r="I145" s="15"/>
      <x:c r="J145" s="15"/>
      <x:c r="K145" s="15"/>
      <x:c r="L145" s="70" t="str">
        <x:f>IF(F145="","",IFERROR(INDEX('08_Rate_Cards'!$D:$D,MATCH(F145,'08_Rate_Cards'!$A:$A,0)),"NO RATE"))</x:f>
      </x:c>
      <x:c r="M145" s="70" t="str">
        <x:f>IF(OR(H145="",NOT(ISNUMBER(L145))),"",H145*L145)</x:f>
      </x:c>
      <x:c r="N145" s="15" t="str">
        <x:f>IF(COUNTA(B145:K145)=0,"",TEXTJOIN("; ",TRUE,IF(B145="","Missing work date",""),IF(C145="","Missing project",""),IF(F145="","Missing production code",""),IF(H145="","Missing quantity",""),IF(I145="","Missing unit",""),IF(L145="NO RATE","Missing rate card","")))</x:f>
      </x:c>
    </x:row>
    <x:row r="146" ht="20" customHeight="1">
      <x:c r="A146" s="15"/>
      <x:c r="B146" s="28"/>
      <x:c r="C146" s="15"/>
      <x:c r="D146" s="15"/>
      <x:c r="E146" s="15"/>
      <x:c r="F146" s="15"/>
      <x:c r="G146" s="15"/>
      <x:c r="H146" s="138"/>
      <x:c r="I146" s="15"/>
      <x:c r="J146" s="15"/>
      <x:c r="K146" s="15"/>
      <x:c r="L146" s="70" t="str">
        <x:f>IF(F146="","",IFERROR(INDEX('08_Rate_Cards'!$D:$D,MATCH(F146,'08_Rate_Cards'!$A:$A,0)),"NO RATE"))</x:f>
      </x:c>
      <x:c r="M146" s="70" t="str">
        <x:f>IF(OR(H146="",NOT(ISNUMBER(L146))),"",H146*L146)</x:f>
      </x:c>
      <x:c r="N146" s="15" t="str">
        <x:f>IF(COUNTA(B146:K146)=0,"",TEXTJOIN("; ",TRUE,IF(B146="","Missing work date",""),IF(C146="","Missing project",""),IF(F146="","Missing production code",""),IF(H146="","Missing quantity",""),IF(I146="","Missing unit",""),IF(L146="NO RATE","Missing rate card","")))</x:f>
      </x:c>
    </x:row>
    <x:row r="147" ht="20" customHeight="1">
      <x:c r="A147" s="15"/>
      <x:c r="B147" s="28"/>
      <x:c r="C147" s="15"/>
      <x:c r="D147" s="15"/>
      <x:c r="E147" s="15"/>
      <x:c r="F147" s="15"/>
      <x:c r="G147" s="15"/>
      <x:c r="H147" s="138"/>
      <x:c r="I147" s="15"/>
      <x:c r="J147" s="15"/>
      <x:c r="K147" s="15"/>
      <x:c r="L147" s="70" t="str">
        <x:f>IF(F147="","",IFERROR(INDEX('08_Rate_Cards'!$D:$D,MATCH(F147,'08_Rate_Cards'!$A:$A,0)),"NO RATE"))</x:f>
      </x:c>
      <x:c r="M147" s="70" t="str">
        <x:f>IF(OR(H147="",NOT(ISNUMBER(L147))),"",H147*L147)</x:f>
      </x:c>
      <x:c r="N147" s="15" t="str">
        <x:f>IF(COUNTA(B147:K147)=0,"",TEXTJOIN("; ",TRUE,IF(B147="","Missing work date",""),IF(C147="","Missing project",""),IF(F147="","Missing production code",""),IF(H147="","Missing quantity",""),IF(I147="","Missing unit",""),IF(L147="NO RATE","Missing rate card","")))</x:f>
      </x:c>
    </x:row>
    <x:row r="148" ht="20" customHeight="1">
      <x:c r="A148" s="15"/>
      <x:c r="B148" s="28"/>
      <x:c r="C148" s="15"/>
      <x:c r="D148" s="15"/>
      <x:c r="E148" s="15"/>
      <x:c r="F148" s="15"/>
      <x:c r="G148" s="15"/>
      <x:c r="H148" s="138"/>
      <x:c r="I148" s="15"/>
      <x:c r="J148" s="15"/>
      <x:c r="K148" s="15"/>
      <x:c r="L148" s="70" t="str">
        <x:f>IF(F148="","",IFERROR(INDEX('08_Rate_Cards'!$D:$D,MATCH(F148,'08_Rate_Cards'!$A:$A,0)),"NO RATE"))</x:f>
      </x:c>
      <x:c r="M148" s="70" t="str">
        <x:f>IF(OR(H148="",NOT(ISNUMBER(L148))),"",H148*L148)</x:f>
      </x:c>
      <x:c r="N148" s="15" t="str">
        <x:f>IF(COUNTA(B148:K148)=0,"",TEXTJOIN("; ",TRUE,IF(B148="","Missing work date",""),IF(C148="","Missing project",""),IF(F148="","Missing production code",""),IF(H148="","Missing quantity",""),IF(I148="","Missing unit",""),IF(L148="NO RATE","Missing rate card","")))</x:f>
      </x:c>
    </x:row>
    <x:row r="149" ht="20" customHeight="1">
      <x:c r="A149" s="15"/>
      <x:c r="B149" s="28"/>
      <x:c r="C149" s="15"/>
      <x:c r="D149" s="15"/>
      <x:c r="E149" s="15"/>
      <x:c r="F149" s="15"/>
      <x:c r="G149" s="15"/>
      <x:c r="H149" s="138"/>
      <x:c r="I149" s="15"/>
      <x:c r="J149" s="15"/>
      <x:c r="K149" s="15"/>
      <x:c r="L149" s="70" t="str">
        <x:f>IF(F149="","",IFERROR(INDEX('08_Rate_Cards'!$D:$D,MATCH(F149,'08_Rate_Cards'!$A:$A,0)),"NO RATE"))</x:f>
      </x:c>
      <x:c r="M149" s="70" t="str">
        <x:f>IF(OR(H149="",NOT(ISNUMBER(L149))),"",H149*L149)</x:f>
      </x:c>
      <x:c r="N149" s="15" t="str">
        <x:f>IF(COUNTA(B149:K149)=0,"",TEXTJOIN("; ",TRUE,IF(B149="","Missing work date",""),IF(C149="","Missing project",""),IF(F149="","Missing production code",""),IF(H149="","Missing quantity",""),IF(I149="","Missing unit",""),IF(L149="NO RATE","Missing rate card","")))</x:f>
      </x:c>
    </x:row>
    <x:row r="150" ht="20" customHeight="1">
      <x:c r="A150" s="15"/>
      <x:c r="B150" s="28"/>
      <x:c r="C150" s="15"/>
      <x:c r="D150" s="15"/>
      <x:c r="E150" s="15"/>
      <x:c r="F150" s="15"/>
      <x:c r="G150" s="15"/>
      <x:c r="H150" s="138"/>
      <x:c r="I150" s="15"/>
      <x:c r="J150" s="15"/>
      <x:c r="K150" s="15"/>
      <x:c r="L150" s="70" t="str">
        <x:f>IF(F150="","",IFERROR(INDEX('08_Rate_Cards'!$D:$D,MATCH(F150,'08_Rate_Cards'!$A:$A,0)),"NO RATE"))</x:f>
      </x:c>
      <x:c r="M150" s="70" t="str">
        <x:f>IF(OR(H150="",NOT(ISNUMBER(L150))),"",H150*L150)</x:f>
      </x:c>
      <x:c r="N150" s="15" t="str">
        <x:f>IF(COUNTA(B150:K150)=0,"",TEXTJOIN("; ",TRUE,IF(B150="","Missing work date",""),IF(C150="","Missing project",""),IF(F150="","Missing production code",""),IF(H150="","Missing quantity",""),IF(I150="","Missing unit",""),IF(L150="NO RATE","Missing rate card","")))</x:f>
      </x:c>
    </x:row>
    <x:row r="151" ht="20" customHeight="1">
      <x:c r="A151" s="15"/>
      <x:c r="B151" s="28"/>
      <x:c r="C151" s="15"/>
      <x:c r="D151" s="15"/>
      <x:c r="E151" s="15"/>
      <x:c r="F151" s="15"/>
      <x:c r="G151" s="15"/>
      <x:c r="H151" s="138"/>
      <x:c r="I151" s="15"/>
      <x:c r="J151" s="15"/>
      <x:c r="K151" s="15"/>
      <x:c r="L151" s="70" t="str">
        <x:f>IF(F151="","",IFERROR(INDEX('08_Rate_Cards'!$D:$D,MATCH(F151,'08_Rate_Cards'!$A:$A,0)),"NO RATE"))</x:f>
      </x:c>
      <x:c r="M151" s="70" t="str">
        <x:f>IF(OR(H151="",NOT(ISNUMBER(L151))),"",H151*L151)</x:f>
      </x:c>
      <x:c r="N151" s="15" t="str">
        <x:f>IF(COUNTA(B151:K151)=0,"",TEXTJOIN("; ",TRUE,IF(B151="","Missing work date",""),IF(C151="","Missing project",""),IF(F151="","Missing production code",""),IF(H151="","Missing quantity",""),IF(I151="","Missing unit",""),IF(L151="NO RATE","Missing rate card","")))</x:f>
      </x:c>
    </x:row>
    <x:row r="152" ht="20" customHeight="1">
      <x:c r="A152" s="15"/>
      <x:c r="B152" s="28"/>
      <x:c r="C152" s="15"/>
      <x:c r="D152" s="15"/>
      <x:c r="E152" s="15"/>
      <x:c r="F152" s="15"/>
      <x:c r="G152" s="15"/>
      <x:c r="H152" s="138"/>
      <x:c r="I152" s="15"/>
      <x:c r="J152" s="15"/>
      <x:c r="K152" s="15"/>
      <x:c r="L152" s="70" t="str">
        <x:f>IF(F152="","",IFERROR(INDEX('08_Rate_Cards'!$D:$D,MATCH(F152,'08_Rate_Cards'!$A:$A,0)),"NO RATE"))</x:f>
      </x:c>
      <x:c r="M152" s="70" t="str">
        <x:f>IF(OR(H152="",NOT(ISNUMBER(L152))),"",H152*L152)</x:f>
      </x:c>
      <x:c r="N152" s="15" t="str">
        <x:f>IF(COUNTA(B152:K152)=0,"",TEXTJOIN("; ",TRUE,IF(B152="","Missing work date",""),IF(C152="","Missing project",""),IF(F152="","Missing production code",""),IF(H152="","Missing quantity",""),IF(I152="","Missing unit",""),IF(L152="NO RATE","Missing rate card","")))</x:f>
      </x:c>
    </x:row>
    <x:row r="153" ht="20" customHeight="1">
      <x:c r="A153" s="15"/>
      <x:c r="B153" s="28"/>
      <x:c r="C153" s="15"/>
      <x:c r="D153" s="15"/>
      <x:c r="E153" s="15"/>
      <x:c r="F153" s="15"/>
      <x:c r="G153" s="15"/>
      <x:c r="H153" s="138"/>
      <x:c r="I153" s="15"/>
      <x:c r="J153" s="15"/>
      <x:c r="K153" s="15"/>
      <x:c r="L153" s="70" t="str">
        <x:f>IF(F153="","",IFERROR(INDEX('08_Rate_Cards'!$D:$D,MATCH(F153,'08_Rate_Cards'!$A:$A,0)),"NO RATE"))</x:f>
      </x:c>
      <x:c r="M153" s="70" t="str">
        <x:f>IF(OR(H153="",NOT(ISNUMBER(L153))),"",H153*L153)</x:f>
      </x:c>
      <x:c r="N153" s="15" t="str">
        <x:f>IF(COUNTA(B153:K153)=0,"",TEXTJOIN("; ",TRUE,IF(B153="","Missing work date",""),IF(C153="","Missing project",""),IF(F153="","Missing production code",""),IF(H153="","Missing quantity",""),IF(I153="","Missing unit",""),IF(L153="NO RATE","Missing rate card","")))</x:f>
      </x:c>
    </x:row>
    <x:row r="154" ht="20" customHeight="1">
      <x:c r="A154" s="15"/>
      <x:c r="B154" s="28"/>
      <x:c r="C154" s="15"/>
      <x:c r="D154" s="15"/>
      <x:c r="E154" s="15"/>
      <x:c r="F154" s="15"/>
      <x:c r="G154" s="15"/>
      <x:c r="H154" s="138"/>
      <x:c r="I154" s="15"/>
      <x:c r="J154" s="15"/>
      <x:c r="K154" s="15"/>
      <x:c r="L154" s="70" t="str">
        <x:f>IF(F154="","",IFERROR(INDEX('08_Rate_Cards'!$D:$D,MATCH(F154,'08_Rate_Cards'!$A:$A,0)),"NO RATE"))</x:f>
      </x:c>
      <x:c r="M154" s="70" t="str">
        <x:f>IF(OR(H154="",NOT(ISNUMBER(L154))),"",H154*L154)</x:f>
      </x:c>
      <x:c r="N154" s="15" t="str">
        <x:f>IF(COUNTA(B154:K154)=0,"",TEXTJOIN("; ",TRUE,IF(B154="","Missing work date",""),IF(C154="","Missing project",""),IF(F154="","Missing production code",""),IF(H154="","Missing quantity",""),IF(I154="","Missing unit",""),IF(L154="NO RATE","Missing rate card","")))</x:f>
      </x:c>
    </x:row>
    <x:row r="155" ht="20" customHeight="1">
      <x:c r="A155" s="15"/>
      <x:c r="B155" s="28"/>
      <x:c r="C155" s="15"/>
      <x:c r="D155" s="15"/>
      <x:c r="E155" s="15"/>
      <x:c r="F155" s="15"/>
      <x:c r="G155" s="15"/>
      <x:c r="H155" s="138"/>
      <x:c r="I155" s="15"/>
      <x:c r="J155" s="15"/>
      <x:c r="K155" s="15"/>
      <x:c r="L155" s="70" t="str">
        <x:f>IF(F155="","",IFERROR(INDEX('08_Rate_Cards'!$D:$D,MATCH(F155,'08_Rate_Cards'!$A:$A,0)),"NO RATE"))</x:f>
      </x:c>
      <x:c r="M155" s="70" t="str">
        <x:f>IF(OR(H155="",NOT(ISNUMBER(L155))),"",H155*L155)</x:f>
      </x:c>
      <x:c r="N155" s="15" t="str">
        <x:f>IF(COUNTA(B155:K155)=0,"",TEXTJOIN("; ",TRUE,IF(B155="","Missing work date",""),IF(C155="","Missing project",""),IF(F155="","Missing production code",""),IF(H155="","Missing quantity",""),IF(I155="","Missing unit",""),IF(L155="NO RATE","Missing rate card","")))</x:f>
      </x:c>
    </x:row>
    <x:row r="156" ht="20" customHeight="1">
      <x:c r="A156" s="15"/>
      <x:c r="B156" s="28"/>
      <x:c r="C156" s="15"/>
      <x:c r="D156" s="15"/>
      <x:c r="E156" s="15"/>
      <x:c r="F156" s="15"/>
      <x:c r="G156" s="15"/>
      <x:c r="H156" s="138"/>
      <x:c r="I156" s="15"/>
      <x:c r="J156" s="15"/>
      <x:c r="K156" s="15"/>
      <x:c r="L156" s="70" t="str">
        <x:f>IF(F156="","",IFERROR(INDEX('08_Rate_Cards'!$D:$D,MATCH(F156,'08_Rate_Cards'!$A:$A,0)),"NO RATE"))</x:f>
      </x:c>
      <x:c r="M156" s="70" t="str">
        <x:f>IF(OR(H156="",NOT(ISNUMBER(L156))),"",H156*L156)</x:f>
      </x:c>
      <x:c r="N156" s="15" t="str">
        <x:f>IF(COUNTA(B156:K156)=0,"",TEXTJOIN("; ",TRUE,IF(B156="","Missing work date",""),IF(C156="","Missing project",""),IF(F156="","Missing production code",""),IF(H156="","Missing quantity",""),IF(I156="","Missing unit",""),IF(L156="NO RATE","Missing rate card","")))</x:f>
      </x:c>
    </x:row>
    <x:row r="157" ht="20" customHeight="1">
      <x:c r="A157" s="15"/>
      <x:c r="B157" s="28"/>
      <x:c r="C157" s="15"/>
      <x:c r="D157" s="15"/>
      <x:c r="E157" s="15"/>
      <x:c r="F157" s="15"/>
      <x:c r="G157" s="15"/>
      <x:c r="H157" s="138"/>
      <x:c r="I157" s="15"/>
      <x:c r="J157" s="15"/>
      <x:c r="K157" s="15"/>
      <x:c r="L157" s="70" t="str">
        <x:f>IF(F157="","",IFERROR(INDEX('08_Rate_Cards'!$D:$D,MATCH(F157,'08_Rate_Cards'!$A:$A,0)),"NO RATE"))</x:f>
      </x:c>
      <x:c r="M157" s="70" t="str">
        <x:f>IF(OR(H157="",NOT(ISNUMBER(L157))),"",H157*L157)</x:f>
      </x:c>
      <x:c r="N157" s="15" t="str">
        <x:f>IF(COUNTA(B157:K157)=0,"",TEXTJOIN("; ",TRUE,IF(B157="","Missing work date",""),IF(C157="","Missing project",""),IF(F157="","Missing production code",""),IF(H157="","Missing quantity",""),IF(I157="","Missing unit",""),IF(L157="NO RATE","Missing rate card","")))</x:f>
      </x:c>
    </x:row>
    <x:row r="158" ht="20" customHeight="1">
      <x:c r="A158" s="15"/>
      <x:c r="B158" s="28"/>
      <x:c r="C158" s="15"/>
      <x:c r="D158" s="15"/>
      <x:c r="E158" s="15"/>
      <x:c r="F158" s="15"/>
      <x:c r="G158" s="15"/>
      <x:c r="H158" s="138"/>
      <x:c r="I158" s="15"/>
      <x:c r="J158" s="15"/>
      <x:c r="K158" s="15"/>
      <x:c r="L158" s="70" t="str">
        <x:f>IF(F158="","",IFERROR(INDEX('08_Rate_Cards'!$D:$D,MATCH(F158,'08_Rate_Cards'!$A:$A,0)),"NO RATE"))</x:f>
      </x:c>
      <x:c r="M158" s="70" t="str">
        <x:f>IF(OR(H158="",NOT(ISNUMBER(L158))),"",H158*L158)</x:f>
      </x:c>
      <x:c r="N158" s="15" t="str">
        <x:f>IF(COUNTA(B158:K158)=0,"",TEXTJOIN("; ",TRUE,IF(B158="","Missing work date",""),IF(C158="","Missing project",""),IF(F158="","Missing production code",""),IF(H158="","Missing quantity",""),IF(I158="","Missing unit",""),IF(L158="NO RATE","Missing rate card","")))</x:f>
      </x:c>
    </x:row>
    <x:row r="159" ht="20" customHeight="1">
      <x:c r="A159" s="15"/>
      <x:c r="B159" s="28"/>
      <x:c r="C159" s="15"/>
      <x:c r="D159" s="15"/>
      <x:c r="E159" s="15"/>
      <x:c r="F159" s="15"/>
      <x:c r="G159" s="15"/>
      <x:c r="H159" s="138"/>
      <x:c r="I159" s="15"/>
      <x:c r="J159" s="15"/>
      <x:c r="K159" s="15"/>
      <x:c r="L159" s="70" t="str">
        <x:f>IF(F159="","",IFERROR(INDEX('08_Rate_Cards'!$D:$D,MATCH(F159,'08_Rate_Cards'!$A:$A,0)),"NO RATE"))</x:f>
      </x:c>
      <x:c r="M159" s="70" t="str">
        <x:f>IF(OR(H159="",NOT(ISNUMBER(L159))),"",H159*L159)</x:f>
      </x:c>
      <x:c r="N159" s="15" t="str">
        <x:f>IF(COUNTA(B159:K159)=0,"",TEXTJOIN("; ",TRUE,IF(B159="","Missing work date",""),IF(C159="","Missing project",""),IF(F159="","Missing production code",""),IF(H159="","Missing quantity",""),IF(I159="","Missing unit",""),IF(L159="NO RATE","Missing rate card","")))</x:f>
      </x:c>
    </x:row>
    <x:row r="160" ht="20" customHeight="1">
      <x:c r="A160" s="15"/>
      <x:c r="B160" s="28"/>
      <x:c r="C160" s="15"/>
      <x:c r="D160" s="15"/>
      <x:c r="E160" s="15"/>
      <x:c r="F160" s="15"/>
      <x:c r="G160" s="15"/>
      <x:c r="H160" s="138"/>
      <x:c r="I160" s="15"/>
      <x:c r="J160" s="15"/>
      <x:c r="K160" s="15"/>
      <x:c r="L160" s="70" t="str">
        <x:f>IF(F160="","",IFERROR(INDEX('08_Rate_Cards'!$D:$D,MATCH(F160,'08_Rate_Cards'!$A:$A,0)),"NO RATE"))</x:f>
      </x:c>
      <x:c r="M160" s="70" t="str">
        <x:f>IF(OR(H160="",NOT(ISNUMBER(L160))),"",H160*L160)</x:f>
      </x:c>
      <x:c r="N160" s="15" t="str">
        <x:f>IF(COUNTA(B160:K160)=0,"",TEXTJOIN("; ",TRUE,IF(B160="","Missing work date",""),IF(C160="","Missing project",""),IF(F160="","Missing production code",""),IF(H160="","Missing quantity",""),IF(I160="","Missing unit",""),IF(L160="NO RATE","Missing rate card","")))</x:f>
      </x:c>
    </x:row>
    <x:row r="161" ht="20" customHeight="1">
      <x:c r="A161" s="15"/>
      <x:c r="B161" s="28"/>
      <x:c r="C161" s="15"/>
      <x:c r="D161" s="15"/>
      <x:c r="E161" s="15"/>
      <x:c r="F161" s="15"/>
      <x:c r="G161" s="15"/>
      <x:c r="H161" s="138"/>
      <x:c r="I161" s="15"/>
      <x:c r="J161" s="15"/>
      <x:c r="K161" s="15"/>
      <x:c r="L161" s="70" t="str">
        <x:f>IF(F161="","",IFERROR(INDEX('08_Rate_Cards'!$D:$D,MATCH(F161,'08_Rate_Cards'!$A:$A,0)),"NO RATE"))</x:f>
      </x:c>
      <x:c r="M161" s="70" t="str">
        <x:f>IF(OR(H161="",NOT(ISNUMBER(L161))),"",H161*L161)</x:f>
      </x:c>
      <x:c r="N161" s="15" t="str">
        <x:f>IF(COUNTA(B161:K161)=0,"",TEXTJOIN("; ",TRUE,IF(B161="","Missing work date",""),IF(C161="","Missing project",""),IF(F161="","Missing production code",""),IF(H161="","Missing quantity",""),IF(I161="","Missing unit",""),IF(L161="NO RATE","Missing rate card","")))</x:f>
      </x:c>
    </x:row>
    <x:row r="162" ht="20" customHeight="1">
      <x:c r="A162" s="15"/>
      <x:c r="B162" s="28"/>
      <x:c r="C162" s="15"/>
      <x:c r="D162" s="15"/>
      <x:c r="E162" s="15"/>
      <x:c r="F162" s="15"/>
      <x:c r="G162" s="15"/>
      <x:c r="H162" s="138"/>
      <x:c r="I162" s="15"/>
      <x:c r="J162" s="15"/>
      <x:c r="K162" s="15"/>
      <x:c r="L162" s="70" t="str">
        <x:f>IF(F162="","",IFERROR(INDEX('08_Rate_Cards'!$D:$D,MATCH(F162,'08_Rate_Cards'!$A:$A,0)),"NO RATE"))</x:f>
      </x:c>
      <x:c r="M162" s="70" t="str">
        <x:f>IF(OR(H162="",NOT(ISNUMBER(L162))),"",H162*L162)</x:f>
      </x:c>
      <x:c r="N162" s="15" t="str">
        <x:f>IF(COUNTA(B162:K162)=0,"",TEXTJOIN("; ",TRUE,IF(B162="","Missing work date",""),IF(C162="","Missing project",""),IF(F162="","Missing production code",""),IF(H162="","Missing quantity",""),IF(I162="","Missing unit",""),IF(L162="NO RATE","Missing rate card","")))</x:f>
      </x:c>
    </x:row>
    <x:row r="163" ht="20" customHeight="1">
      <x:c r="A163" s="15"/>
      <x:c r="B163" s="28"/>
      <x:c r="C163" s="15"/>
      <x:c r="D163" s="15"/>
      <x:c r="E163" s="15"/>
      <x:c r="F163" s="15"/>
      <x:c r="G163" s="15"/>
      <x:c r="H163" s="138"/>
      <x:c r="I163" s="15"/>
      <x:c r="J163" s="15"/>
      <x:c r="K163" s="15"/>
      <x:c r="L163" s="70" t="str">
        <x:f>IF(F163="","",IFERROR(INDEX('08_Rate_Cards'!$D:$D,MATCH(F163,'08_Rate_Cards'!$A:$A,0)),"NO RATE"))</x:f>
      </x:c>
      <x:c r="M163" s="70" t="str">
        <x:f>IF(OR(H163="",NOT(ISNUMBER(L163))),"",H163*L163)</x:f>
      </x:c>
      <x:c r="N163" s="15" t="str">
        <x:f>IF(COUNTA(B163:K163)=0,"",TEXTJOIN("; ",TRUE,IF(B163="","Missing work date",""),IF(C163="","Missing project",""),IF(F163="","Missing production code",""),IF(H163="","Missing quantity",""),IF(I163="","Missing unit",""),IF(L163="NO RATE","Missing rate card","")))</x:f>
      </x:c>
    </x:row>
    <x:row r="164" ht="20" customHeight="1">
      <x:c r="A164" s="15"/>
      <x:c r="B164" s="28"/>
      <x:c r="C164" s="15"/>
      <x:c r="D164" s="15"/>
      <x:c r="E164" s="15"/>
      <x:c r="F164" s="15"/>
      <x:c r="G164" s="15"/>
      <x:c r="H164" s="138"/>
      <x:c r="I164" s="15"/>
      <x:c r="J164" s="15"/>
      <x:c r="K164" s="15"/>
      <x:c r="L164" s="70" t="str">
        <x:f>IF(F164="","",IFERROR(INDEX('08_Rate_Cards'!$D:$D,MATCH(F164,'08_Rate_Cards'!$A:$A,0)),"NO RATE"))</x:f>
      </x:c>
      <x:c r="M164" s="70" t="str">
        <x:f>IF(OR(H164="",NOT(ISNUMBER(L164))),"",H164*L164)</x:f>
      </x:c>
      <x:c r="N164" s="15" t="str">
        <x:f>IF(COUNTA(B164:K164)=0,"",TEXTJOIN("; ",TRUE,IF(B164="","Missing work date",""),IF(C164="","Missing project",""),IF(F164="","Missing production code",""),IF(H164="","Missing quantity",""),IF(I164="","Missing unit",""),IF(L164="NO RATE","Missing rate card","")))</x:f>
      </x:c>
    </x:row>
    <x:row r="165" ht="20" customHeight="1">
      <x:c r="A165" s="15"/>
      <x:c r="B165" s="28"/>
      <x:c r="C165" s="15"/>
      <x:c r="D165" s="15"/>
      <x:c r="E165" s="15"/>
      <x:c r="F165" s="15"/>
      <x:c r="G165" s="15"/>
      <x:c r="H165" s="138"/>
      <x:c r="I165" s="15"/>
      <x:c r="J165" s="15"/>
      <x:c r="K165" s="15"/>
      <x:c r="L165" s="70" t="str">
        <x:f>IF(F165="","",IFERROR(INDEX('08_Rate_Cards'!$D:$D,MATCH(F165,'08_Rate_Cards'!$A:$A,0)),"NO RATE"))</x:f>
      </x:c>
      <x:c r="M165" s="70" t="str">
        <x:f>IF(OR(H165="",NOT(ISNUMBER(L165))),"",H165*L165)</x:f>
      </x:c>
      <x:c r="N165" s="15" t="str">
        <x:f>IF(COUNTA(B165:K165)=0,"",TEXTJOIN("; ",TRUE,IF(B165="","Missing work date",""),IF(C165="","Missing project",""),IF(F165="","Missing production code",""),IF(H165="","Missing quantity",""),IF(I165="","Missing unit",""),IF(L165="NO RATE","Missing rate card","")))</x:f>
      </x:c>
    </x:row>
    <x:row r="166" ht="20" customHeight="1">
      <x:c r="A166" s="15"/>
      <x:c r="B166" s="28"/>
      <x:c r="C166" s="15"/>
      <x:c r="D166" s="15"/>
      <x:c r="E166" s="15"/>
      <x:c r="F166" s="15"/>
      <x:c r="G166" s="15"/>
      <x:c r="H166" s="138"/>
      <x:c r="I166" s="15"/>
      <x:c r="J166" s="15"/>
      <x:c r="K166" s="15"/>
      <x:c r="L166" s="70" t="str">
        <x:f>IF(F166="","",IFERROR(INDEX('08_Rate_Cards'!$D:$D,MATCH(F166,'08_Rate_Cards'!$A:$A,0)),"NO RATE"))</x:f>
      </x:c>
      <x:c r="M166" s="70" t="str">
        <x:f>IF(OR(H166="",NOT(ISNUMBER(L166))),"",H166*L166)</x:f>
      </x:c>
      <x:c r="N166" s="15" t="str">
        <x:f>IF(COUNTA(B166:K166)=0,"",TEXTJOIN("; ",TRUE,IF(B166="","Missing work date",""),IF(C166="","Missing project",""),IF(F166="","Missing production code",""),IF(H166="","Missing quantity",""),IF(I166="","Missing unit",""),IF(L166="NO RATE","Missing rate card","")))</x:f>
      </x:c>
    </x:row>
    <x:row r="167" ht="20" customHeight="1">
      <x:c r="A167" s="15"/>
      <x:c r="B167" s="28"/>
      <x:c r="C167" s="15"/>
      <x:c r="D167" s="15"/>
      <x:c r="E167" s="15"/>
      <x:c r="F167" s="15"/>
      <x:c r="G167" s="15"/>
      <x:c r="H167" s="138"/>
      <x:c r="I167" s="15"/>
      <x:c r="J167" s="15"/>
      <x:c r="K167" s="15"/>
      <x:c r="L167" s="70" t="str">
        <x:f>IF(F167="","",IFERROR(INDEX('08_Rate_Cards'!$D:$D,MATCH(F167,'08_Rate_Cards'!$A:$A,0)),"NO RATE"))</x:f>
      </x:c>
      <x:c r="M167" s="70" t="str">
        <x:f>IF(OR(H167="",NOT(ISNUMBER(L167))),"",H167*L167)</x:f>
      </x:c>
      <x:c r="N167" s="15" t="str">
        <x:f>IF(COUNTA(B167:K167)=0,"",TEXTJOIN("; ",TRUE,IF(B167="","Missing work date",""),IF(C167="","Missing project",""),IF(F167="","Missing production code",""),IF(H167="","Missing quantity",""),IF(I167="","Missing unit",""),IF(L167="NO RATE","Missing rate card","")))</x:f>
      </x:c>
    </x:row>
    <x:row r="168" ht="20" customHeight="1">
      <x:c r="A168" s="15"/>
      <x:c r="B168" s="28"/>
      <x:c r="C168" s="15"/>
      <x:c r="D168" s="15"/>
      <x:c r="E168" s="15"/>
      <x:c r="F168" s="15"/>
      <x:c r="G168" s="15"/>
      <x:c r="H168" s="138"/>
      <x:c r="I168" s="15"/>
      <x:c r="J168" s="15"/>
      <x:c r="K168" s="15"/>
      <x:c r="L168" s="70" t="str">
        <x:f>IF(F168="","",IFERROR(INDEX('08_Rate_Cards'!$D:$D,MATCH(F168,'08_Rate_Cards'!$A:$A,0)),"NO RATE"))</x:f>
      </x:c>
      <x:c r="M168" s="70" t="str">
        <x:f>IF(OR(H168="",NOT(ISNUMBER(L168))),"",H168*L168)</x:f>
      </x:c>
      <x:c r="N168" s="15" t="str">
        <x:f>IF(COUNTA(B168:K168)=0,"",TEXTJOIN("; ",TRUE,IF(B168="","Missing work date",""),IF(C168="","Missing project",""),IF(F168="","Missing production code",""),IF(H168="","Missing quantity",""),IF(I168="","Missing unit",""),IF(L168="NO RATE","Missing rate card","")))</x:f>
      </x:c>
    </x:row>
    <x:row r="169" ht="20" customHeight="1">
      <x:c r="A169" s="15"/>
      <x:c r="B169" s="28"/>
      <x:c r="C169" s="15"/>
      <x:c r="D169" s="15"/>
      <x:c r="E169" s="15"/>
      <x:c r="F169" s="15"/>
      <x:c r="G169" s="15"/>
      <x:c r="H169" s="138"/>
      <x:c r="I169" s="15"/>
      <x:c r="J169" s="15"/>
      <x:c r="K169" s="15"/>
      <x:c r="L169" s="70" t="str">
        <x:f>IF(F169="","",IFERROR(INDEX('08_Rate_Cards'!$D:$D,MATCH(F169,'08_Rate_Cards'!$A:$A,0)),"NO RATE"))</x:f>
      </x:c>
      <x:c r="M169" s="70" t="str">
        <x:f>IF(OR(H169="",NOT(ISNUMBER(L169))),"",H169*L169)</x:f>
      </x:c>
      <x:c r="N169" s="15" t="str">
        <x:f>IF(COUNTA(B169:K169)=0,"",TEXTJOIN("; ",TRUE,IF(B169="","Missing work date",""),IF(C169="","Missing project",""),IF(F169="","Missing production code",""),IF(H169="","Missing quantity",""),IF(I169="","Missing unit",""),IF(L169="NO RATE","Missing rate card","")))</x:f>
      </x:c>
    </x:row>
    <x:row r="170" ht="20" customHeight="1">
      <x:c r="A170" s="15"/>
      <x:c r="B170" s="28"/>
      <x:c r="C170" s="15"/>
      <x:c r="D170" s="15"/>
      <x:c r="E170" s="15"/>
      <x:c r="F170" s="15"/>
      <x:c r="G170" s="15"/>
      <x:c r="H170" s="138"/>
      <x:c r="I170" s="15"/>
      <x:c r="J170" s="15"/>
      <x:c r="K170" s="15"/>
      <x:c r="L170" s="70" t="str">
        <x:f>IF(F170="","",IFERROR(INDEX('08_Rate_Cards'!$D:$D,MATCH(F170,'08_Rate_Cards'!$A:$A,0)),"NO RATE"))</x:f>
      </x:c>
      <x:c r="M170" s="70" t="str">
        <x:f>IF(OR(H170="",NOT(ISNUMBER(L170))),"",H170*L170)</x:f>
      </x:c>
      <x:c r="N170" s="15" t="str">
        <x:f>IF(COUNTA(B170:K170)=0,"",TEXTJOIN("; ",TRUE,IF(B170="","Missing work date",""),IF(C170="","Missing project",""),IF(F170="","Missing production code",""),IF(H170="","Missing quantity",""),IF(I170="","Missing unit",""),IF(L170="NO RATE","Missing rate card","")))</x:f>
      </x:c>
    </x:row>
    <x:row r="171" ht="20" customHeight="1">
      <x:c r="A171" s="15"/>
      <x:c r="B171" s="28"/>
      <x:c r="C171" s="15"/>
      <x:c r="D171" s="15"/>
      <x:c r="E171" s="15"/>
      <x:c r="F171" s="15"/>
      <x:c r="G171" s="15"/>
      <x:c r="H171" s="138"/>
      <x:c r="I171" s="15"/>
      <x:c r="J171" s="15"/>
      <x:c r="K171" s="15"/>
      <x:c r="L171" s="70" t="str">
        <x:f>IF(F171="","",IFERROR(INDEX('08_Rate_Cards'!$D:$D,MATCH(F171,'08_Rate_Cards'!$A:$A,0)),"NO RATE"))</x:f>
      </x:c>
      <x:c r="M171" s="70" t="str">
        <x:f>IF(OR(H171="",NOT(ISNUMBER(L171))),"",H171*L171)</x:f>
      </x:c>
      <x:c r="N171" s="15" t="str">
        <x:f>IF(COUNTA(B171:K171)=0,"",TEXTJOIN("; ",TRUE,IF(B171="","Missing work date",""),IF(C171="","Missing project",""),IF(F171="","Missing production code",""),IF(H171="","Missing quantity",""),IF(I171="","Missing unit",""),IF(L171="NO RATE","Missing rate card","")))</x:f>
      </x:c>
    </x:row>
    <x:row r="172" ht="20" customHeight="1">
      <x:c r="A172" s="15"/>
      <x:c r="B172" s="28"/>
      <x:c r="C172" s="15"/>
      <x:c r="D172" s="15"/>
      <x:c r="E172" s="15"/>
      <x:c r="F172" s="15"/>
      <x:c r="G172" s="15"/>
      <x:c r="H172" s="138"/>
      <x:c r="I172" s="15"/>
      <x:c r="J172" s="15"/>
      <x:c r="K172" s="15"/>
      <x:c r="L172" s="70" t="str">
        <x:f>IF(F172="","",IFERROR(INDEX('08_Rate_Cards'!$D:$D,MATCH(F172,'08_Rate_Cards'!$A:$A,0)),"NO RATE"))</x:f>
      </x:c>
      <x:c r="M172" s="70" t="str">
        <x:f>IF(OR(H172="",NOT(ISNUMBER(L172))),"",H172*L172)</x:f>
      </x:c>
      <x:c r="N172" s="15" t="str">
        <x:f>IF(COUNTA(B172:K172)=0,"",TEXTJOIN("; ",TRUE,IF(B172="","Missing work date",""),IF(C172="","Missing project",""),IF(F172="","Missing production code",""),IF(H172="","Missing quantity",""),IF(I172="","Missing unit",""),IF(L172="NO RATE","Missing rate card","")))</x:f>
      </x:c>
    </x:row>
    <x:row r="173" ht="20" customHeight="1">
      <x:c r="A173" s="15"/>
      <x:c r="B173" s="28"/>
      <x:c r="C173" s="15"/>
      <x:c r="D173" s="15"/>
      <x:c r="E173" s="15"/>
      <x:c r="F173" s="15"/>
      <x:c r="G173" s="15"/>
      <x:c r="H173" s="138"/>
      <x:c r="I173" s="15"/>
      <x:c r="J173" s="15"/>
      <x:c r="K173" s="15"/>
      <x:c r="L173" s="70" t="str">
        <x:f>IF(F173="","",IFERROR(INDEX('08_Rate_Cards'!$D:$D,MATCH(F173,'08_Rate_Cards'!$A:$A,0)),"NO RATE"))</x:f>
      </x:c>
      <x:c r="M173" s="70" t="str">
        <x:f>IF(OR(H173="",NOT(ISNUMBER(L173))),"",H173*L173)</x:f>
      </x:c>
      <x:c r="N173" s="15" t="str">
        <x:f>IF(COUNTA(B173:K173)=0,"",TEXTJOIN("; ",TRUE,IF(B173="","Missing work date",""),IF(C173="","Missing project",""),IF(F173="","Missing production code",""),IF(H173="","Missing quantity",""),IF(I173="","Missing unit",""),IF(L173="NO RATE","Missing rate card","")))</x:f>
      </x:c>
    </x:row>
    <x:row r="174" ht="20" customHeight="1">
      <x:c r="A174" s="15"/>
      <x:c r="B174" s="28"/>
      <x:c r="C174" s="15"/>
      <x:c r="D174" s="15"/>
      <x:c r="E174" s="15"/>
      <x:c r="F174" s="15"/>
      <x:c r="G174" s="15"/>
      <x:c r="H174" s="138"/>
      <x:c r="I174" s="15"/>
      <x:c r="J174" s="15"/>
      <x:c r="K174" s="15"/>
      <x:c r="L174" s="70" t="str">
        <x:f>IF(F174="","",IFERROR(INDEX('08_Rate_Cards'!$D:$D,MATCH(F174,'08_Rate_Cards'!$A:$A,0)),"NO RATE"))</x:f>
      </x:c>
      <x:c r="M174" s="70" t="str">
        <x:f>IF(OR(H174="",NOT(ISNUMBER(L174))),"",H174*L174)</x:f>
      </x:c>
      <x:c r="N174" s="15" t="str">
        <x:f>IF(COUNTA(B174:K174)=0,"",TEXTJOIN("; ",TRUE,IF(B174="","Missing work date",""),IF(C174="","Missing project",""),IF(F174="","Missing production code",""),IF(H174="","Missing quantity",""),IF(I174="","Missing unit",""),IF(L174="NO RATE","Missing rate card","")))</x:f>
      </x:c>
    </x:row>
    <x:row r="175" ht="20" customHeight="1">
      <x:c r="A175" s="15"/>
      <x:c r="B175" s="28"/>
      <x:c r="C175" s="15"/>
      <x:c r="D175" s="15"/>
      <x:c r="E175" s="15"/>
      <x:c r="F175" s="15"/>
      <x:c r="G175" s="15"/>
      <x:c r="H175" s="138"/>
      <x:c r="I175" s="15"/>
      <x:c r="J175" s="15"/>
      <x:c r="K175" s="15"/>
      <x:c r="L175" s="70" t="str">
        <x:f>IF(F175="","",IFERROR(INDEX('08_Rate_Cards'!$D:$D,MATCH(F175,'08_Rate_Cards'!$A:$A,0)),"NO RATE"))</x:f>
      </x:c>
      <x:c r="M175" s="70" t="str">
        <x:f>IF(OR(H175="",NOT(ISNUMBER(L175))),"",H175*L175)</x:f>
      </x:c>
      <x:c r="N175" s="15" t="str">
        <x:f>IF(COUNTA(B175:K175)=0,"",TEXTJOIN("; ",TRUE,IF(B175="","Missing work date",""),IF(C175="","Missing project",""),IF(F175="","Missing production code",""),IF(H175="","Missing quantity",""),IF(I175="","Missing unit",""),IF(L175="NO RATE","Missing rate card","")))</x:f>
      </x:c>
    </x:row>
    <x:row r="176" ht="20" customHeight="1">
      <x:c r="A176" s="15"/>
      <x:c r="B176" s="28"/>
      <x:c r="C176" s="15"/>
      <x:c r="D176" s="15"/>
      <x:c r="E176" s="15"/>
      <x:c r="F176" s="15"/>
      <x:c r="G176" s="15"/>
      <x:c r="H176" s="138"/>
      <x:c r="I176" s="15"/>
      <x:c r="J176" s="15"/>
      <x:c r="K176" s="15"/>
      <x:c r="L176" s="70" t="str">
        <x:f>IF(F176="","",IFERROR(INDEX('08_Rate_Cards'!$D:$D,MATCH(F176,'08_Rate_Cards'!$A:$A,0)),"NO RATE"))</x:f>
      </x:c>
      <x:c r="M176" s="70" t="str">
        <x:f>IF(OR(H176="",NOT(ISNUMBER(L176))),"",H176*L176)</x:f>
      </x:c>
      <x:c r="N176" s="15" t="str">
        <x:f>IF(COUNTA(B176:K176)=0,"",TEXTJOIN("; ",TRUE,IF(B176="","Missing work date",""),IF(C176="","Missing project",""),IF(F176="","Missing production code",""),IF(H176="","Missing quantity",""),IF(I176="","Missing unit",""),IF(L176="NO RATE","Missing rate card","")))</x:f>
      </x:c>
    </x:row>
    <x:row r="177" ht="20" customHeight="1">
      <x:c r="A177" s="15"/>
      <x:c r="B177" s="28"/>
      <x:c r="C177" s="15"/>
      <x:c r="D177" s="15"/>
      <x:c r="E177" s="15"/>
      <x:c r="F177" s="15"/>
      <x:c r="G177" s="15"/>
      <x:c r="H177" s="138"/>
      <x:c r="I177" s="15"/>
      <x:c r="J177" s="15"/>
      <x:c r="K177" s="15"/>
      <x:c r="L177" s="70" t="str">
        <x:f>IF(F177="","",IFERROR(INDEX('08_Rate_Cards'!$D:$D,MATCH(F177,'08_Rate_Cards'!$A:$A,0)),"NO RATE"))</x:f>
      </x:c>
      <x:c r="M177" s="70" t="str">
        <x:f>IF(OR(H177="",NOT(ISNUMBER(L177))),"",H177*L177)</x:f>
      </x:c>
      <x:c r="N177" s="15" t="str">
        <x:f>IF(COUNTA(B177:K177)=0,"",TEXTJOIN("; ",TRUE,IF(B177="","Missing work date",""),IF(C177="","Missing project",""),IF(F177="","Missing production code",""),IF(H177="","Missing quantity",""),IF(I177="","Missing unit",""),IF(L177="NO RATE","Missing rate card","")))</x:f>
      </x:c>
    </x:row>
    <x:row r="178" ht="20" customHeight="1">
      <x:c r="A178" s="15"/>
      <x:c r="B178" s="28"/>
      <x:c r="C178" s="15"/>
      <x:c r="D178" s="15"/>
      <x:c r="E178" s="15"/>
      <x:c r="F178" s="15"/>
      <x:c r="G178" s="15"/>
      <x:c r="H178" s="138"/>
      <x:c r="I178" s="15"/>
      <x:c r="J178" s="15"/>
      <x:c r="K178" s="15"/>
      <x:c r="L178" s="70" t="str">
        <x:f>IF(F178="","",IFERROR(INDEX('08_Rate_Cards'!$D:$D,MATCH(F178,'08_Rate_Cards'!$A:$A,0)),"NO RATE"))</x:f>
      </x:c>
      <x:c r="M178" s="70" t="str">
        <x:f>IF(OR(H178="",NOT(ISNUMBER(L178))),"",H178*L178)</x:f>
      </x:c>
      <x:c r="N178" s="15" t="str">
        <x:f>IF(COUNTA(B178:K178)=0,"",TEXTJOIN("; ",TRUE,IF(B178="","Missing work date",""),IF(C178="","Missing project",""),IF(F178="","Missing production code",""),IF(H178="","Missing quantity",""),IF(I178="","Missing unit",""),IF(L178="NO RATE","Missing rate card","")))</x:f>
      </x:c>
    </x:row>
    <x:row r="179" ht="20" customHeight="1">
      <x:c r="A179" s="15"/>
      <x:c r="B179" s="28"/>
      <x:c r="C179" s="15"/>
      <x:c r="D179" s="15"/>
      <x:c r="E179" s="15"/>
      <x:c r="F179" s="15"/>
      <x:c r="G179" s="15"/>
      <x:c r="H179" s="138"/>
      <x:c r="I179" s="15"/>
      <x:c r="J179" s="15"/>
      <x:c r="K179" s="15"/>
      <x:c r="L179" s="70" t="str">
        <x:f>IF(F179="","",IFERROR(INDEX('08_Rate_Cards'!$D:$D,MATCH(F179,'08_Rate_Cards'!$A:$A,0)),"NO RATE"))</x:f>
      </x:c>
      <x:c r="M179" s="70" t="str">
        <x:f>IF(OR(H179="",NOT(ISNUMBER(L179))),"",H179*L179)</x:f>
      </x:c>
      <x:c r="N179" s="15" t="str">
        <x:f>IF(COUNTA(B179:K179)=0,"",TEXTJOIN("; ",TRUE,IF(B179="","Missing work date",""),IF(C179="","Missing project",""),IF(F179="","Missing production code",""),IF(H179="","Missing quantity",""),IF(I179="","Missing unit",""),IF(L179="NO RATE","Missing rate card","")))</x:f>
      </x:c>
    </x:row>
    <x:row r="180" ht="20" customHeight="1">
      <x:c r="A180" s="15"/>
      <x:c r="B180" s="28"/>
      <x:c r="C180" s="15"/>
      <x:c r="D180" s="15"/>
      <x:c r="E180" s="15"/>
      <x:c r="F180" s="15"/>
      <x:c r="G180" s="15"/>
      <x:c r="H180" s="138"/>
      <x:c r="I180" s="15"/>
      <x:c r="J180" s="15"/>
      <x:c r="K180" s="15"/>
      <x:c r="L180" s="70" t="str">
        <x:f>IF(F180="","",IFERROR(INDEX('08_Rate_Cards'!$D:$D,MATCH(F180,'08_Rate_Cards'!$A:$A,0)),"NO RATE"))</x:f>
      </x:c>
      <x:c r="M180" s="70" t="str">
        <x:f>IF(OR(H180="",NOT(ISNUMBER(L180))),"",H180*L180)</x:f>
      </x:c>
      <x:c r="N180" s="15" t="str">
        <x:f>IF(COUNTA(B180:K180)=0,"",TEXTJOIN("; ",TRUE,IF(B180="","Missing work date",""),IF(C180="","Missing project",""),IF(F180="","Missing production code",""),IF(H180="","Missing quantity",""),IF(I180="","Missing unit",""),IF(L180="NO RATE","Missing rate card","")))</x:f>
      </x:c>
    </x:row>
    <x:row r="181" ht="20" customHeight="1">
      <x:c r="A181" s="15"/>
      <x:c r="B181" s="28"/>
      <x:c r="C181" s="15"/>
      <x:c r="D181" s="15"/>
      <x:c r="E181" s="15"/>
      <x:c r="F181" s="15"/>
      <x:c r="G181" s="15"/>
      <x:c r="H181" s="138"/>
      <x:c r="I181" s="15"/>
      <x:c r="J181" s="15"/>
      <x:c r="K181" s="15"/>
      <x:c r="L181" s="70" t="str">
        <x:f>IF(F181="","",IFERROR(INDEX('08_Rate_Cards'!$D:$D,MATCH(F181,'08_Rate_Cards'!$A:$A,0)),"NO RATE"))</x:f>
      </x:c>
      <x:c r="M181" s="70" t="str">
        <x:f>IF(OR(H181="",NOT(ISNUMBER(L181))),"",H181*L181)</x:f>
      </x:c>
      <x:c r="N181" s="15" t="str">
        <x:f>IF(COUNTA(B181:K181)=0,"",TEXTJOIN("; ",TRUE,IF(B181="","Missing work date",""),IF(C181="","Missing project",""),IF(F181="","Missing production code",""),IF(H181="","Missing quantity",""),IF(I181="","Missing unit",""),IF(L181="NO RATE","Missing rate card","")))</x:f>
      </x:c>
    </x:row>
    <x:row r="182" ht="20" customHeight="1">
      <x:c r="A182" s="15"/>
      <x:c r="B182" s="28"/>
      <x:c r="C182" s="15"/>
      <x:c r="D182" s="15"/>
      <x:c r="E182" s="15"/>
      <x:c r="F182" s="15"/>
      <x:c r="G182" s="15"/>
      <x:c r="H182" s="138"/>
      <x:c r="I182" s="15"/>
      <x:c r="J182" s="15"/>
      <x:c r="K182" s="15"/>
      <x:c r="L182" s="70" t="str">
        <x:f>IF(F182="","",IFERROR(INDEX('08_Rate_Cards'!$D:$D,MATCH(F182,'08_Rate_Cards'!$A:$A,0)),"NO RATE"))</x:f>
      </x:c>
      <x:c r="M182" s="70" t="str">
        <x:f>IF(OR(H182="",NOT(ISNUMBER(L182))),"",H182*L182)</x:f>
      </x:c>
      <x:c r="N182" s="15" t="str">
        <x:f>IF(COUNTA(B182:K182)=0,"",TEXTJOIN("; ",TRUE,IF(B182="","Missing work date",""),IF(C182="","Missing project",""),IF(F182="","Missing production code",""),IF(H182="","Missing quantity",""),IF(I182="","Missing unit",""),IF(L182="NO RATE","Missing rate card","")))</x:f>
      </x:c>
    </x:row>
    <x:row r="183" ht="20" customHeight="1">
      <x:c r="A183" s="15"/>
      <x:c r="B183" s="28"/>
      <x:c r="C183" s="15"/>
      <x:c r="D183" s="15"/>
      <x:c r="E183" s="15"/>
      <x:c r="F183" s="15"/>
      <x:c r="G183" s="15"/>
      <x:c r="H183" s="138"/>
      <x:c r="I183" s="15"/>
      <x:c r="J183" s="15"/>
      <x:c r="K183" s="15"/>
      <x:c r="L183" s="70" t="str">
        <x:f>IF(F183="","",IFERROR(INDEX('08_Rate_Cards'!$D:$D,MATCH(F183,'08_Rate_Cards'!$A:$A,0)),"NO RATE"))</x:f>
      </x:c>
      <x:c r="M183" s="70" t="str">
        <x:f>IF(OR(H183="",NOT(ISNUMBER(L183))),"",H183*L183)</x:f>
      </x:c>
      <x:c r="N183" s="15" t="str">
        <x:f>IF(COUNTA(B183:K183)=0,"",TEXTJOIN("; ",TRUE,IF(B183="","Missing work date",""),IF(C183="","Missing project",""),IF(F183="","Missing production code",""),IF(H183="","Missing quantity",""),IF(I183="","Missing unit",""),IF(L183="NO RATE","Missing rate card","")))</x:f>
      </x:c>
    </x:row>
    <x:row r="184" ht="20" customHeight="1">
      <x:c r="A184" s="15"/>
      <x:c r="B184" s="28"/>
      <x:c r="C184" s="15"/>
      <x:c r="D184" s="15"/>
      <x:c r="E184" s="15"/>
      <x:c r="F184" s="15"/>
      <x:c r="G184" s="15"/>
      <x:c r="H184" s="138"/>
      <x:c r="I184" s="15"/>
      <x:c r="J184" s="15"/>
      <x:c r="K184" s="15"/>
      <x:c r="L184" s="70" t="str">
        <x:f>IF(F184="","",IFERROR(INDEX('08_Rate_Cards'!$D:$D,MATCH(F184,'08_Rate_Cards'!$A:$A,0)),"NO RATE"))</x:f>
      </x:c>
      <x:c r="M184" s="70" t="str">
        <x:f>IF(OR(H184="",NOT(ISNUMBER(L184))),"",H184*L184)</x:f>
      </x:c>
      <x:c r="N184" s="15" t="str">
        <x:f>IF(COUNTA(B184:K184)=0,"",TEXTJOIN("; ",TRUE,IF(B184="","Missing work date",""),IF(C184="","Missing project",""),IF(F184="","Missing production code",""),IF(H184="","Missing quantity",""),IF(I184="","Missing unit",""),IF(L184="NO RATE","Missing rate card","")))</x:f>
      </x:c>
    </x:row>
    <x:row r="185" ht="20" customHeight="1">
      <x:c r="A185" s="15"/>
      <x:c r="B185" s="28"/>
      <x:c r="C185" s="15"/>
      <x:c r="D185" s="15"/>
      <x:c r="E185" s="15"/>
      <x:c r="F185" s="15"/>
      <x:c r="G185" s="15"/>
      <x:c r="H185" s="138"/>
      <x:c r="I185" s="15"/>
      <x:c r="J185" s="15"/>
      <x:c r="K185" s="15"/>
      <x:c r="L185" s="70" t="str">
        <x:f>IF(F185="","",IFERROR(INDEX('08_Rate_Cards'!$D:$D,MATCH(F185,'08_Rate_Cards'!$A:$A,0)),"NO RATE"))</x:f>
      </x:c>
      <x:c r="M185" s="70" t="str">
        <x:f>IF(OR(H185="",NOT(ISNUMBER(L185))),"",H185*L185)</x:f>
      </x:c>
      <x:c r="N185" s="15" t="str">
        <x:f>IF(COUNTA(B185:K185)=0,"",TEXTJOIN("; ",TRUE,IF(B185="","Missing work date",""),IF(C185="","Missing project",""),IF(F185="","Missing production code",""),IF(H185="","Missing quantity",""),IF(I185="","Missing unit",""),IF(L185="NO RATE","Missing rate card","")))</x:f>
      </x:c>
    </x:row>
    <x:row r="186" ht="20" customHeight="1">
      <x:c r="A186" s="15"/>
      <x:c r="B186" s="28"/>
      <x:c r="C186" s="15"/>
      <x:c r="D186" s="15"/>
      <x:c r="E186" s="15"/>
      <x:c r="F186" s="15"/>
      <x:c r="G186" s="15"/>
      <x:c r="H186" s="138"/>
      <x:c r="I186" s="15"/>
      <x:c r="J186" s="15"/>
      <x:c r="K186" s="15"/>
      <x:c r="L186" s="70" t="str">
        <x:f>IF(F186="","",IFERROR(INDEX('08_Rate_Cards'!$D:$D,MATCH(F186,'08_Rate_Cards'!$A:$A,0)),"NO RATE"))</x:f>
      </x:c>
      <x:c r="M186" s="70" t="str">
        <x:f>IF(OR(H186="",NOT(ISNUMBER(L186))),"",H186*L186)</x:f>
      </x:c>
      <x:c r="N186" s="15" t="str">
        <x:f>IF(COUNTA(B186:K186)=0,"",TEXTJOIN("; ",TRUE,IF(B186="","Missing work date",""),IF(C186="","Missing project",""),IF(F186="","Missing production code",""),IF(H186="","Missing quantity",""),IF(I186="","Missing unit",""),IF(L186="NO RATE","Missing rate card","")))</x:f>
      </x:c>
    </x:row>
    <x:row r="187" ht="20" customHeight="1">
      <x:c r="A187" s="15"/>
      <x:c r="B187" s="28"/>
      <x:c r="C187" s="15"/>
      <x:c r="D187" s="15"/>
      <x:c r="E187" s="15"/>
      <x:c r="F187" s="15"/>
      <x:c r="G187" s="15"/>
      <x:c r="H187" s="138"/>
      <x:c r="I187" s="15"/>
      <x:c r="J187" s="15"/>
      <x:c r="K187" s="15"/>
      <x:c r="L187" s="70" t="str">
        <x:f>IF(F187="","",IFERROR(INDEX('08_Rate_Cards'!$D:$D,MATCH(F187,'08_Rate_Cards'!$A:$A,0)),"NO RATE"))</x:f>
      </x:c>
      <x:c r="M187" s="70" t="str">
        <x:f>IF(OR(H187="",NOT(ISNUMBER(L187))),"",H187*L187)</x:f>
      </x:c>
      <x:c r="N187" s="15" t="str">
        <x:f>IF(COUNTA(B187:K187)=0,"",TEXTJOIN("; ",TRUE,IF(B187="","Missing work date",""),IF(C187="","Missing project",""),IF(F187="","Missing production code",""),IF(H187="","Missing quantity",""),IF(I187="","Missing unit",""),IF(L187="NO RATE","Missing rate card","")))</x:f>
      </x:c>
    </x:row>
    <x:row r="188" ht="20" customHeight="1">
      <x:c r="A188" s="15"/>
      <x:c r="B188" s="28"/>
      <x:c r="C188" s="15"/>
      <x:c r="D188" s="15"/>
      <x:c r="E188" s="15"/>
      <x:c r="F188" s="15"/>
      <x:c r="G188" s="15"/>
      <x:c r="H188" s="138"/>
      <x:c r="I188" s="15"/>
      <x:c r="J188" s="15"/>
      <x:c r="K188" s="15"/>
      <x:c r="L188" s="70" t="str">
        <x:f>IF(F188="","",IFERROR(INDEX('08_Rate_Cards'!$D:$D,MATCH(F188,'08_Rate_Cards'!$A:$A,0)),"NO RATE"))</x:f>
      </x:c>
      <x:c r="M188" s="70" t="str">
        <x:f>IF(OR(H188="",NOT(ISNUMBER(L188))),"",H188*L188)</x:f>
      </x:c>
      <x:c r="N188" s="15" t="str">
        <x:f>IF(COUNTA(B188:K188)=0,"",TEXTJOIN("; ",TRUE,IF(B188="","Missing work date",""),IF(C188="","Missing project",""),IF(F188="","Missing production code",""),IF(H188="","Missing quantity",""),IF(I188="","Missing unit",""),IF(L188="NO RATE","Missing rate card","")))</x:f>
      </x:c>
    </x:row>
    <x:row r="189" ht="20" customHeight="1">
      <x:c r="A189" s="15"/>
      <x:c r="B189" s="28"/>
      <x:c r="C189" s="15"/>
      <x:c r="D189" s="15"/>
      <x:c r="E189" s="15"/>
      <x:c r="F189" s="15"/>
      <x:c r="G189" s="15"/>
      <x:c r="H189" s="138"/>
      <x:c r="I189" s="15"/>
      <x:c r="J189" s="15"/>
      <x:c r="K189" s="15"/>
      <x:c r="L189" s="70" t="str">
        <x:f>IF(F189="","",IFERROR(INDEX('08_Rate_Cards'!$D:$D,MATCH(F189,'08_Rate_Cards'!$A:$A,0)),"NO RATE"))</x:f>
      </x:c>
      <x:c r="M189" s="70" t="str">
        <x:f>IF(OR(H189="",NOT(ISNUMBER(L189))),"",H189*L189)</x:f>
      </x:c>
      <x:c r="N189" s="15" t="str">
        <x:f>IF(COUNTA(B189:K189)=0,"",TEXTJOIN("; ",TRUE,IF(B189="","Missing work date",""),IF(C189="","Missing project",""),IF(F189="","Missing production code",""),IF(H189="","Missing quantity",""),IF(I189="","Missing unit",""),IF(L189="NO RATE","Missing rate card","")))</x:f>
      </x:c>
    </x:row>
    <x:row r="190" ht="20" customHeight="1">
      <x:c r="A190" s="15"/>
      <x:c r="B190" s="28"/>
      <x:c r="C190" s="15"/>
      <x:c r="D190" s="15"/>
      <x:c r="E190" s="15"/>
      <x:c r="F190" s="15"/>
      <x:c r="G190" s="15"/>
      <x:c r="H190" s="138"/>
      <x:c r="I190" s="15"/>
      <x:c r="J190" s="15"/>
      <x:c r="K190" s="15"/>
      <x:c r="L190" s="70" t="str">
        <x:f>IF(F190="","",IFERROR(INDEX('08_Rate_Cards'!$D:$D,MATCH(F190,'08_Rate_Cards'!$A:$A,0)),"NO RATE"))</x:f>
      </x:c>
      <x:c r="M190" s="70" t="str">
        <x:f>IF(OR(H190="",NOT(ISNUMBER(L190))),"",H190*L190)</x:f>
      </x:c>
      <x:c r="N190" s="15" t="str">
        <x:f>IF(COUNTA(B190:K190)=0,"",TEXTJOIN("; ",TRUE,IF(B190="","Missing work date",""),IF(C190="","Missing project",""),IF(F190="","Missing production code",""),IF(H190="","Missing quantity",""),IF(I190="","Missing unit",""),IF(L190="NO RATE","Missing rate card","")))</x:f>
      </x:c>
    </x:row>
    <x:row r="191" ht="20" customHeight="1">
      <x:c r="A191" s="15"/>
      <x:c r="B191" s="28"/>
      <x:c r="C191" s="15"/>
      <x:c r="D191" s="15"/>
      <x:c r="E191" s="15"/>
      <x:c r="F191" s="15"/>
      <x:c r="G191" s="15"/>
      <x:c r="H191" s="138"/>
      <x:c r="I191" s="15"/>
      <x:c r="J191" s="15"/>
      <x:c r="K191" s="15"/>
      <x:c r="L191" s="70" t="str">
        <x:f>IF(F191="","",IFERROR(INDEX('08_Rate_Cards'!$D:$D,MATCH(F191,'08_Rate_Cards'!$A:$A,0)),"NO RATE"))</x:f>
      </x:c>
      <x:c r="M191" s="70" t="str">
        <x:f>IF(OR(H191="",NOT(ISNUMBER(L191))),"",H191*L191)</x:f>
      </x:c>
      <x:c r="N191" s="15" t="str">
        <x:f>IF(COUNTA(B191:K191)=0,"",TEXTJOIN("; ",TRUE,IF(B191="","Missing work date",""),IF(C191="","Missing project",""),IF(F191="","Missing production code",""),IF(H191="","Missing quantity",""),IF(I191="","Missing unit",""),IF(L191="NO RATE","Missing rate card","")))</x:f>
      </x:c>
    </x:row>
    <x:row r="192" ht="20" customHeight="1">
      <x:c r="A192" s="15"/>
      <x:c r="B192" s="28"/>
      <x:c r="C192" s="15"/>
      <x:c r="D192" s="15"/>
      <x:c r="E192" s="15"/>
      <x:c r="F192" s="15"/>
      <x:c r="G192" s="15"/>
      <x:c r="H192" s="138"/>
      <x:c r="I192" s="15"/>
      <x:c r="J192" s="15"/>
      <x:c r="K192" s="15"/>
      <x:c r="L192" s="70" t="str">
        <x:f>IF(F192="","",IFERROR(INDEX('08_Rate_Cards'!$D:$D,MATCH(F192,'08_Rate_Cards'!$A:$A,0)),"NO RATE"))</x:f>
      </x:c>
      <x:c r="M192" s="70" t="str">
        <x:f>IF(OR(H192="",NOT(ISNUMBER(L192))),"",H192*L192)</x:f>
      </x:c>
      <x:c r="N192" s="15" t="str">
        <x:f>IF(COUNTA(B192:K192)=0,"",TEXTJOIN("; ",TRUE,IF(B192="","Missing work date",""),IF(C192="","Missing project",""),IF(F192="","Missing production code",""),IF(H192="","Missing quantity",""),IF(I192="","Missing unit",""),IF(L192="NO RATE","Missing rate card","")))</x:f>
      </x:c>
    </x:row>
    <x:row r="193" ht="20" customHeight="1">
      <x:c r="A193" s="15"/>
      <x:c r="B193" s="28"/>
      <x:c r="C193" s="15"/>
      <x:c r="D193" s="15"/>
      <x:c r="E193" s="15"/>
      <x:c r="F193" s="15"/>
      <x:c r="G193" s="15"/>
      <x:c r="H193" s="138"/>
      <x:c r="I193" s="15"/>
      <x:c r="J193" s="15"/>
      <x:c r="K193" s="15"/>
      <x:c r="L193" s="70" t="str">
        <x:f>IF(F193="","",IFERROR(INDEX('08_Rate_Cards'!$D:$D,MATCH(F193,'08_Rate_Cards'!$A:$A,0)),"NO RATE"))</x:f>
      </x:c>
      <x:c r="M193" s="70" t="str">
        <x:f>IF(OR(H193="",NOT(ISNUMBER(L193))),"",H193*L193)</x:f>
      </x:c>
      <x:c r="N193" s="15" t="str">
        <x:f>IF(COUNTA(B193:K193)=0,"",TEXTJOIN("; ",TRUE,IF(B193="","Missing work date",""),IF(C193="","Missing project",""),IF(F193="","Missing production code",""),IF(H193="","Missing quantity",""),IF(I193="","Missing unit",""),IF(L193="NO RATE","Missing rate card","")))</x:f>
      </x:c>
    </x:row>
    <x:row r="194" ht="20" customHeight="1">
      <x:c r="A194" s="15"/>
      <x:c r="B194" s="28"/>
      <x:c r="C194" s="15"/>
      <x:c r="D194" s="15"/>
      <x:c r="E194" s="15"/>
      <x:c r="F194" s="15"/>
      <x:c r="G194" s="15"/>
      <x:c r="H194" s="138"/>
      <x:c r="I194" s="15"/>
      <x:c r="J194" s="15"/>
      <x:c r="K194" s="15"/>
      <x:c r="L194" s="70" t="str">
        <x:f>IF(F194="","",IFERROR(INDEX('08_Rate_Cards'!$D:$D,MATCH(F194,'08_Rate_Cards'!$A:$A,0)),"NO RATE"))</x:f>
      </x:c>
      <x:c r="M194" s="70" t="str">
        <x:f>IF(OR(H194="",NOT(ISNUMBER(L194))),"",H194*L194)</x:f>
      </x:c>
      <x:c r="N194" s="15" t="str">
        <x:f>IF(COUNTA(B194:K194)=0,"",TEXTJOIN("; ",TRUE,IF(B194="","Missing work date",""),IF(C194="","Missing project",""),IF(F194="","Missing production code",""),IF(H194="","Missing quantity",""),IF(I194="","Missing unit",""),IF(L194="NO RATE","Missing rate card","")))</x:f>
      </x:c>
    </x:row>
    <x:row r="195" ht="20" customHeight="1">
      <x:c r="A195" s="15"/>
      <x:c r="B195" s="28"/>
      <x:c r="C195" s="15"/>
      <x:c r="D195" s="15"/>
      <x:c r="E195" s="15"/>
      <x:c r="F195" s="15"/>
      <x:c r="G195" s="15"/>
      <x:c r="H195" s="138"/>
      <x:c r="I195" s="15"/>
      <x:c r="J195" s="15"/>
      <x:c r="K195" s="15"/>
      <x:c r="L195" s="70" t="str">
        <x:f>IF(F195="","",IFERROR(INDEX('08_Rate_Cards'!$D:$D,MATCH(F195,'08_Rate_Cards'!$A:$A,0)),"NO RATE"))</x:f>
      </x:c>
      <x:c r="M195" s="70" t="str">
        <x:f>IF(OR(H195="",NOT(ISNUMBER(L195))),"",H195*L195)</x:f>
      </x:c>
      <x:c r="N195" s="15" t="str">
        <x:f>IF(COUNTA(B195:K195)=0,"",TEXTJOIN("; ",TRUE,IF(B195="","Missing work date",""),IF(C195="","Missing project",""),IF(F195="","Missing production code",""),IF(H195="","Missing quantity",""),IF(I195="","Missing unit",""),IF(L195="NO RATE","Missing rate card","")))</x:f>
      </x:c>
    </x:row>
    <x:row r="196" ht="20" customHeight="1">
      <x:c r="A196" s="15"/>
      <x:c r="B196" s="28"/>
      <x:c r="C196" s="15"/>
      <x:c r="D196" s="15"/>
      <x:c r="E196" s="15"/>
      <x:c r="F196" s="15"/>
      <x:c r="G196" s="15"/>
      <x:c r="H196" s="138"/>
      <x:c r="I196" s="15"/>
      <x:c r="J196" s="15"/>
      <x:c r="K196" s="15"/>
      <x:c r="L196" s="70" t="str">
        <x:f>IF(F196="","",IFERROR(INDEX('08_Rate_Cards'!$D:$D,MATCH(F196,'08_Rate_Cards'!$A:$A,0)),"NO RATE"))</x:f>
      </x:c>
      <x:c r="M196" s="70" t="str">
        <x:f>IF(OR(H196="",NOT(ISNUMBER(L196))),"",H196*L196)</x:f>
      </x:c>
      <x:c r="N196" s="15" t="str">
        <x:f>IF(COUNTA(B196:K196)=0,"",TEXTJOIN("; ",TRUE,IF(B196="","Missing work date",""),IF(C196="","Missing project",""),IF(F196="","Missing production code",""),IF(H196="","Missing quantity",""),IF(I196="","Missing unit",""),IF(L196="NO RATE","Missing rate card","")))</x:f>
      </x:c>
    </x:row>
    <x:row r="197" ht="20" customHeight="1">
      <x:c r="A197" s="15"/>
      <x:c r="B197" s="28"/>
      <x:c r="C197" s="15"/>
      <x:c r="D197" s="15"/>
      <x:c r="E197" s="15"/>
      <x:c r="F197" s="15"/>
      <x:c r="G197" s="15"/>
      <x:c r="H197" s="138"/>
      <x:c r="I197" s="15"/>
      <x:c r="J197" s="15"/>
      <x:c r="K197" s="15"/>
      <x:c r="L197" s="70" t="str">
        <x:f>IF(F197="","",IFERROR(INDEX('08_Rate_Cards'!$D:$D,MATCH(F197,'08_Rate_Cards'!$A:$A,0)),"NO RATE"))</x:f>
      </x:c>
      <x:c r="M197" s="70" t="str">
        <x:f>IF(OR(H197="",NOT(ISNUMBER(L197))),"",H197*L197)</x:f>
      </x:c>
      <x:c r="N197" s="15" t="str">
        <x:f>IF(COUNTA(B197:K197)=0,"",TEXTJOIN("; ",TRUE,IF(B197="","Missing work date",""),IF(C197="","Missing project",""),IF(F197="","Missing production code",""),IF(H197="","Missing quantity",""),IF(I197="","Missing unit",""),IF(L197="NO RATE","Missing rate card","")))</x:f>
      </x:c>
    </x:row>
    <x:row r="198" ht="20" customHeight="1">
      <x:c r="A198" s="15"/>
      <x:c r="B198" s="28"/>
      <x:c r="C198" s="15"/>
      <x:c r="D198" s="15"/>
      <x:c r="E198" s="15"/>
      <x:c r="F198" s="15"/>
      <x:c r="G198" s="15"/>
      <x:c r="H198" s="138"/>
      <x:c r="I198" s="15"/>
      <x:c r="J198" s="15"/>
      <x:c r="K198" s="15"/>
      <x:c r="L198" s="70" t="str">
        <x:f>IF(F198="","",IFERROR(INDEX('08_Rate_Cards'!$D:$D,MATCH(F198,'08_Rate_Cards'!$A:$A,0)),"NO RATE"))</x:f>
      </x:c>
      <x:c r="M198" s="70" t="str">
        <x:f>IF(OR(H198="",NOT(ISNUMBER(L198))),"",H198*L198)</x:f>
      </x:c>
      <x:c r="N198" s="15" t="str">
        <x:f>IF(COUNTA(B198:K198)=0,"",TEXTJOIN("; ",TRUE,IF(B198="","Missing work date",""),IF(C198="","Missing project",""),IF(F198="","Missing production code",""),IF(H198="","Missing quantity",""),IF(I198="","Missing unit",""),IF(L198="NO RATE","Missing rate card","")))</x:f>
      </x:c>
    </x:row>
    <x:row r="199" ht="20" customHeight="1">
      <x:c r="A199" s="15"/>
      <x:c r="B199" s="28"/>
      <x:c r="C199" s="15"/>
      <x:c r="D199" s="15"/>
      <x:c r="E199" s="15"/>
      <x:c r="F199" s="15"/>
      <x:c r="G199" s="15"/>
      <x:c r="H199" s="138"/>
      <x:c r="I199" s="15"/>
      <x:c r="J199" s="15"/>
      <x:c r="K199" s="15"/>
      <x:c r="L199" s="70" t="str">
        <x:f>IF(F199="","",IFERROR(INDEX('08_Rate_Cards'!$D:$D,MATCH(F199,'08_Rate_Cards'!$A:$A,0)),"NO RATE"))</x:f>
      </x:c>
      <x:c r="M199" s="70" t="str">
        <x:f>IF(OR(H199="",NOT(ISNUMBER(L199))),"",H199*L199)</x:f>
      </x:c>
      <x:c r="N199" s="15" t="str">
        <x:f>IF(COUNTA(B199:K199)=0,"",TEXTJOIN("; ",TRUE,IF(B199="","Missing work date",""),IF(C199="","Missing project",""),IF(F199="","Missing production code",""),IF(H199="","Missing quantity",""),IF(I199="","Missing unit",""),IF(L199="NO RATE","Missing rate card","")))</x:f>
      </x:c>
    </x:row>
    <x:row r="200" ht="20" customHeight="1">
      <x:c r="A200" s="15"/>
      <x:c r="B200" s="28"/>
      <x:c r="C200" s="15"/>
      <x:c r="D200" s="15"/>
      <x:c r="E200" s="15"/>
      <x:c r="F200" s="15"/>
      <x:c r="G200" s="15"/>
      <x:c r="H200" s="138"/>
      <x:c r="I200" s="15"/>
      <x:c r="J200" s="15"/>
      <x:c r="K200" s="15"/>
      <x:c r="L200" s="70" t="str">
        <x:f>IF(F200="","",IFERROR(INDEX('08_Rate_Cards'!$D:$D,MATCH(F200,'08_Rate_Cards'!$A:$A,0)),"NO RATE"))</x:f>
      </x:c>
      <x:c r="M200" s="70" t="str">
        <x:f>IF(OR(H200="",NOT(ISNUMBER(L200))),"",H200*L200)</x:f>
      </x:c>
      <x:c r="N200" s="15" t="str">
        <x:f>IF(COUNTA(B200:K200)=0,"",TEXTJOIN("; ",TRUE,IF(B200="","Missing work date",""),IF(C200="","Missing project",""),IF(F200="","Missing production code",""),IF(H200="","Missing quantity",""),IF(I200="","Missing unit",""),IF(L200="NO RATE","Missing rate card","")))</x:f>
      </x:c>
    </x:row>
    <x:row r="201" ht="20" customHeight="1">
      <x:c r="A201" s="15"/>
      <x:c r="B201" s="28"/>
      <x:c r="C201" s="15"/>
      <x:c r="D201" s="15"/>
      <x:c r="E201" s="15"/>
      <x:c r="F201" s="15"/>
      <x:c r="G201" s="15"/>
      <x:c r="H201" s="138"/>
      <x:c r="I201" s="15"/>
      <x:c r="J201" s="15"/>
      <x:c r="K201" s="15"/>
      <x:c r="L201" s="70" t="str">
        <x:f>IF(F201="","",IFERROR(INDEX('08_Rate_Cards'!$D:$D,MATCH(F201,'08_Rate_Cards'!$A:$A,0)),"NO RATE"))</x:f>
      </x:c>
      <x:c r="M201" s="70" t="str">
        <x:f>IF(OR(H201="",NOT(ISNUMBER(L201))),"",H201*L201)</x:f>
      </x:c>
      <x:c r="N201" s="15" t="str">
        <x:f>IF(COUNTA(B201:K201)=0,"",TEXTJOIN("; ",TRUE,IF(B201="","Missing work date",""),IF(C201="","Missing project",""),IF(F201="","Missing production code",""),IF(H201="","Missing quantity",""),IF(I201="","Missing unit",""),IF(L201="NO RATE","Missing rate card","")))</x:f>
      </x:c>
    </x:row>
    <x:row r="202" ht="20" customHeight="1">
      <x:c r="A202" s="15"/>
      <x:c r="B202" s="28"/>
      <x:c r="C202" s="15"/>
      <x:c r="D202" s="15"/>
      <x:c r="E202" s="15"/>
      <x:c r="F202" s="15"/>
      <x:c r="G202" s="15"/>
      <x:c r="H202" s="138"/>
      <x:c r="I202" s="15"/>
      <x:c r="J202" s="15"/>
      <x:c r="K202" s="15"/>
      <x:c r="L202" s="70" t="str">
        <x:f>IF(F202="","",IFERROR(INDEX('08_Rate_Cards'!$D:$D,MATCH(F202,'08_Rate_Cards'!$A:$A,0)),"NO RATE"))</x:f>
      </x:c>
      <x:c r="M202" s="70" t="str">
        <x:f>IF(OR(H202="",NOT(ISNUMBER(L202))),"",H202*L202)</x:f>
      </x:c>
      <x:c r="N202" s="15" t="str">
        <x:f>IF(COUNTA(B202:K202)=0,"",TEXTJOIN("; ",TRUE,IF(B202="","Missing work date",""),IF(C202="","Missing project",""),IF(F202="","Missing production code",""),IF(H202="","Missing quantity",""),IF(I202="","Missing unit",""),IF(L202="NO RATE","Missing rate card","")))</x:f>
      </x:c>
    </x:row>
    <x:row r="203" ht="20" customHeight="1">
      <x:c r="A203" s="15"/>
      <x:c r="B203" s="28"/>
      <x:c r="C203" s="15"/>
      <x:c r="D203" s="15"/>
      <x:c r="E203" s="15"/>
      <x:c r="F203" s="15"/>
      <x:c r="G203" s="15"/>
      <x:c r="H203" s="138"/>
      <x:c r="I203" s="15"/>
      <x:c r="J203" s="15"/>
      <x:c r="K203" s="15"/>
      <x:c r="L203" s="70" t="str">
        <x:f>IF(F203="","",IFERROR(INDEX('08_Rate_Cards'!$D:$D,MATCH(F203,'08_Rate_Cards'!$A:$A,0)),"NO RATE"))</x:f>
      </x:c>
      <x:c r="M203" s="70" t="str">
        <x:f>IF(OR(H203="",NOT(ISNUMBER(L203))),"",H203*L203)</x:f>
      </x:c>
      <x:c r="N203" s="15" t="str">
        <x:f>IF(COUNTA(B203:K203)=0,"",TEXTJOIN("; ",TRUE,IF(B203="","Missing work date",""),IF(C203="","Missing project",""),IF(F203="","Missing production code",""),IF(H203="","Missing quantity",""),IF(I203="","Missing unit",""),IF(L203="NO RATE","Missing rate card","")))</x:f>
      </x:c>
    </x:row>
    <x:row r="204" ht="20" customHeight="1">
      <x:c r="A204" s="15"/>
      <x:c r="B204" s="28"/>
      <x:c r="C204" s="15"/>
      <x:c r="D204" s="15"/>
      <x:c r="E204" s="15"/>
      <x:c r="F204" s="15"/>
      <x:c r="G204" s="15"/>
      <x:c r="H204" s="138"/>
      <x:c r="I204" s="15"/>
      <x:c r="J204" s="15"/>
      <x:c r="K204" s="15"/>
      <x:c r="L204" s="70" t="str">
        <x:f>IF(F204="","",IFERROR(INDEX('08_Rate_Cards'!$D:$D,MATCH(F204,'08_Rate_Cards'!$A:$A,0)),"NO RATE"))</x:f>
      </x:c>
      <x:c r="M204" s="70" t="str">
        <x:f>IF(OR(H204="",NOT(ISNUMBER(L204))),"",H204*L204)</x:f>
      </x:c>
      <x:c r="N204" s="15" t="str">
        <x:f>IF(COUNTA(B204:K204)=0,"",TEXTJOIN("; ",TRUE,IF(B204="","Missing work date",""),IF(C204="","Missing project",""),IF(F204="","Missing production code",""),IF(H204="","Missing quantity",""),IF(I204="","Missing unit",""),IF(L204="NO RATE","Missing rate card","")))</x:f>
      </x:c>
    </x:row>
    <x:row r="205" ht="20" customHeight="1">
      <x:c r="A205" s="15"/>
      <x:c r="B205" s="28"/>
      <x:c r="C205" s="15"/>
      <x:c r="D205" s="15"/>
      <x:c r="E205" s="15"/>
      <x:c r="F205" s="15"/>
      <x:c r="G205" s="15"/>
      <x:c r="H205" s="138"/>
      <x:c r="I205" s="15"/>
      <x:c r="J205" s="15"/>
      <x:c r="K205" s="15"/>
      <x:c r="L205" s="70" t="str">
        <x:f>IF(F205="","",IFERROR(INDEX('08_Rate_Cards'!$D:$D,MATCH(F205,'08_Rate_Cards'!$A:$A,0)),"NO RATE"))</x:f>
      </x:c>
      <x:c r="M205" s="70" t="str">
        <x:f>IF(OR(H205="",NOT(ISNUMBER(L205))),"",H205*L205)</x:f>
      </x:c>
      <x:c r="N205" s="15" t="str">
        <x:f>IF(COUNTA(B205:K205)=0,"",TEXTJOIN("; ",TRUE,IF(B205="","Missing work date",""),IF(C205="","Missing project",""),IF(F205="","Missing production code",""),IF(H205="","Missing quantity",""),IF(I205="","Missing unit",""),IF(L205="NO RATE","Missing rate card","")))</x:f>
      </x:c>
    </x:row>
    <x:row r="206" ht="20" customHeight="1">
      <x:c r="A206" s="15"/>
      <x:c r="B206" s="28"/>
      <x:c r="C206" s="15"/>
      <x:c r="D206" s="15"/>
      <x:c r="E206" s="15"/>
      <x:c r="F206" s="15"/>
      <x:c r="G206" s="15"/>
      <x:c r="H206" s="138"/>
      <x:c r="I206" s="15"/>
      <x:c r="J206" s="15"/>
      <x:c r="K206" s="15"/>
      <x:c r="L206" s="70" t="str">
        <x:f>IF(F206="","",IFERROR(INDEX('08_Rate_Cards'!$D:$D,MATCH(F206,'08_Rate_Cards'!$A:$A,0)),"NO RATE"))</x:f>
      </x:c>
      <x:c r="M206" s="70" t="str">
        <x:f>IF(OR(H206="",NOT(ISNUMBER(L206))),"",H206*L206)</x:f>
      </x:c>
      <x:c r="N206" s="15" t="str">
        <x:f>IF(COUNTA(B206:K206)=0,"",TEXTJOIN("; ",TRUE,IF(B206="","Missing work date",""),IF(C206="","Missing project",""),IF(F206="","Missing production code",""),IF(H206="","Missing quantity",""),IF(I206="","Missing unit",""),IF(L206="NO RATE","Missing rate card","")))</x:f>
      </x:c>
    </x:row>
    <x:row r="207" ht="20" customHeight="1">
      <x:c r="A207" s="15"/>
      <x:c r="B207" s="28"/>
      <x:c r="C207" s="15"/>
      <x:c r="D207" s="15"/>
      <x:c r="E207" s="15"/>
      <x:c r="F207" s="15"/>
      <x:c r="G207" s="15"/>
      <x:c r="H207" s="138"/>
      <x:c r="I207" s="15"/>
      <x:c r="J207" s="15"/>
      <x:c r="K207" s="15"/>
      <x:c r="L207" s="70" t="str">
        <x:f>IF(F207="","",IFERROR(INDEX('08_Rate_Cards'!$D:$D,MATCH(F207,'08_Rate_Cards'!$A:$A,0)),"NO RATE"))</x:f>
      </x:c>
      <x:c r="M207" s="70" t="str">
        <x:f>IF(OR(H207="",NOT(ISNUMBER(L207))),"",H207*L207)</x:f>
      </x:c>
      <x:c r="N207" s="15" t="str">
        <x:f>IF(COUNTA(B207:K207)=0,"",TEXTJOIN("; ",TRUE,IF(B207="","Missing work date",""),IF(C207="","Missing project",""),IF(F207="","Missing production code",""),IF(H207="","Missing quantity",""),IF(I207="","Missing unit",""),IF(L207="NO RATE","Missing rate card","")))</x:f>
      </x:c>
    </x:row>
    <x:row r="208" ht="20" customHeight="1">
      <x:c r="A208" s="15"/>
      <x:c r="B208" s="28"/>
      <x:c r="C208" s="15"/>
      <x:c r="D208" s="15"/>
      <x:c r="E208" s="15"/>
      <x:c r="F208" s="15"/>
      <x:c r="G208" s="15"/>
      <x:c r="H208" s="138"/>
      <x:c r="I208" s="15"/>
      <x:c r="J208" s="15"/>
      <x:c r="K208" s="15"/>
      <x:c r="L208" s="70" t="str">
        <x:f>IF(F208="","",IFERROR(INDEX('08_Rate_Cards'!$D:$D,MATCH(F208,'08_Rate_Cards'!$A:$A,0)),"NO RATE"))</x:f>
      </x:c>
      <x:c r="M208" s="70" t="str">
        <x:f>IF(OR(H208="",NOT(ISNUMBER(L208))),"",H208*L208)</x:f>
      </x:c>
      <x:c r="N208" s="15" t="str">
        <x:f>IF(COUNTA(B208:K208)=0,"",TEXTJOIN("; ",TRUE,IF(B208="","Missing work date",""),IF(C208="","Missing project",""),IF(F208="","Missing production code",""),IF(H208="","Missing quantity",""),IF(I208="","Missing unit",""),IF(L208="NO RATE","Missing rate card","")))</x:f>
      </x:c>
    </x:row>
    <x:row r="209" ht="20" customHeight="1">
      <x:c r="A209" s="15"/>
      <x:c r="B209" s="28"/>
      <x:c r="C209" s="15"/>
      <x:c r="D209" s="15"/>
      <x:c r="E209" s="15"/>
      <x:c r="F209" s="15"/>
      <x:c r="G209" s="15"/>
      <x:c r="H209" s="138"/>
      <x:c r="I209" s="15"/>
      <x:c r="J209" s="15"/>
      <x:c r="K209" s="15"/>
      <x:c r="L209" s="70" t="str">
        <x:f>IF(F209="","",IFERROR(INDEX('08_Rate_Cards'!$D:$D,MATCH(F209,'08_Rate_Cards'!$A:$A,0)),"NO RATE"))</x:f>
      </x:c>
      <x:c r="M209" s="70" t="str">
        <x:f>IF(OR(H209="",NOT(ISNUMBER(L209))),"",H209*L209)</x:f>
      </x:c>
      <x:c r="N209" s="15" t="str">
        <x:f>IF(COUNTA(B209:K209)=0,"",TEXTJOIN("; ",TRUE,IF(B209="","Missing work date",""),IF(C209="","Missing project",""),IF(F209="","Missing production code",""),IF(H209="","Missing quantity",""),IF(I209="","Missing unit",""),IF(L209="NO RATE","Missing rate card","")))</x:f>
      </x:c>
    </x:row>
    <x:row r="210" ht="20" customHeight="1">
      <x:c r="A210" s="15"/>
      <x:c r="B210" s="28"/>
      <x:c r="C210" s="15"/>
      <x:c r="D210" s="15"/>
      <x:c r="E210" s="15"/>
      <x:c r="F210" s="15"/>
      <x:c r="G210" s="15"/>
      <x:c r="H210" s="138"/>
      <x:c r="I210" s="15"/>
      <x:c r="J210" s="15"/>
      <x:c r="K210" s="15"/>
      <x:c r="L210" s="70" t="str">
        <x:f>IF(F210="","",IFERROR(INDEX('08_Rate_Cards'!$D:$D,MATCH(F210,'08_Rate_Cards'!$A:$A,0)),"NO RATE"))</x:f>
      </x:c>
      <x:c r="M210" s="70" t="str">
        <x:f>IF(OR(H210="",NOT(ISNUMBER(L210))),"",H210*L210)</x:f>
      </x:c>
      <x:c r="N210" s="15" t="str">
        <x:f>IF(COUNTA(B210:K210)=0,"",TEXTJOIN("; ",TRUE,IF(B210="","Missing work date",""),IF(C210="","Missing project",""),IF(F210="","Missing production code",""),IF(H210="","Missing quantity",""),IF(I210="","Missing unit",""),IF(L210="NO RATE","Missing rate card","")))</x:f>
      </x:c>
    </x:row>
    <x:row r="211" ht="20" customHeight="1">
      <x:c r="A211" s="15"/>
      <x:c r="B211" s="28"/>
      <x:c r="C211" s="15"/>
      <x:c r="D211" s="15"/>
      <x:c r="E211" s="15"/>
      <x:c r="F211" s="15"/>
      <x:c r="G211" s="15"/>
      <x:c r="H211" s="138"/>
      <x:c r="I211" s="15"/>
      <x:c r="J211" s="15"/>
      <x:c r="K211" s="15"/>
      <x:c r="L211" s="70" t="str">
        <x:f>IF(F211="","",IFERROR(INDEX('08_Rate_Cards'!$D:$D,MATCH(F211,'08_Rate_Cards'!$A:$A,0)),"NO RATE"))</x:f>
      </x:c>
      <x:c r="M211" s="70" t="str">
        <x:f>IF(OR(H211="",NOT(ISNUMBER(L211))),"",H211*L211)</x:f>
      </x:c>
      <x:c r="N211" s="15" t="str">
        <x:f>IF(COUNTA(B211:K211)=0,"",TEXTJOIN("; ",TRUE,IF(B211="","Missing work date",""),IF(C211="","Missing project",""),IF(F211="","Missing production code",""),IF(H211="","Missing quantity",""),IF(I211="","Missing unit",""),IF(L211="NO RATE","Missing rate card","")))</x:f>
      </x:c>
    </x:row>
    <x:row r="212" ht="20" customHeight="1">
      <x:c r="A212" s="15"/>
      <x:c r="B212" s="28"/>
      <x:c r="C212" s="15"/>
      <x:c r="D212" s="15"/>
      <x:c r="E212" s="15"/>
      <x:c r="F212" s="15"/>
      <x:c r="G212" s="15"/>
      <x:c r="H212" s="138"/>
      <x:c r="I212" s="15"/>
      <x:c r="J212" s="15"/>
      <x:c r="K212" s="15"/>
      <x:c r="L212" s="70" t="str">
        <x:f>IF(F212="","",IFERROR(INDEX('08_Rate_Cards'!$D:$D,MATCH(F212,'08_Rate_Cards'!$A:$A,0)),"NO RATE"))</x:f>
      </x:c>
      <x:c r="M212" s="70" t="str">
        <x:f>IF(OR(H212="",NOT(ISNUMBER(L212))),"",H212*L212)</x:f>
      </x:c>
      <x:c r="N212" s="15" t="str">
        <x:f>IF(COUNTA(B212:K212)=0,"",TEXTJOIN("; ",TRUE,IF(B212="","Missing work date",""),IF(C212="","Missing project",""),IF(F212="","Missing production code",""),IF(H212="","Missing quantity",""),IF(I212="","Missing unit",""),IF(L212="NO RATE","Missing rate card","")))</x:f>
      </x:c>
    </x:row>
    <x:row r="213" ht="20" customHeight="1">
      <x:c r="A213" s="15"/>
      <x:c r="B213" s="28"/>
      <x:c r="C213" s="15"/>
      <x:c r="D213" s="15"/>
      <x:c r="E213" s="15"/>
      <x:c r="F213" s="15"/>
      <x:c r="G213" s="15"/>
      <x:c r="H213" s="138"/>
      <x:c r="I213" s="15"/>
      <x:c r="J213" s="15"/>
      <x:c r="K213" s="15"/>
      <x:c r="L213" s="70" t="str">
        <x:f>IF(F213="","",IFERROR(INDEX('08_Rate_Cards'!$D:$D,MATCH(F213,'08_Rate_Cards'!$A:$A,0)),"NO RATE"))</x:f>
      </x:c>
      <x:c r="M213" s="70" t="str">
        <x:f>IF(OR(H213="",NOT(ISNUMBER(L213))),"",H213*L213)</x:f>
      </x:c>
      <x:c r="N213" s="15" t="str">
        <x:f>IF(COUNTA(B213:K213)=0,"",TEXTJOIN("; ",TRUE,IF(B213="","Missing work date",""),IF(C213="","Missing project",""),IF(F213="","Missing production code",""),IF(H213="","Missing quantity",""),IF(I213="","Missing unit",""),IF(L213="NO RATE","Missing rate card","")))</x:f>
      </x:c>
    </x:row>
    <x:row r="214" ht="20" customHeight="1">
      <x:c r="A214" s="15"/>
      <x:c r="B214" s="28"/>
      <x:c r="C214" s="15"/>
      <x:c r="D214" s="15"/>
      <x:c r="E214" s="15"/>
      <x:c r="F214" s="15"/>
      <x:c r="G214" s="15"/>
      <x:c r="H214" s="138"/>
      <x:c r="I214" s="15"/>
      <x:c r="J214" s="15"/>
      <x:c r="K214" s="15"/>
      <x:c r="L214" s="70" t="str">
        <x:f>IF(F214="","",IFERROR(INDEX('08_Rate_Cards'!$D:$D,MATCH(F214,'08_Rate_Cards'!$A:$A,0)),"NO RATE"))</x:f>
      </x:c>
      <x:c r="M214" s="70" t="str">
        <x:f>IF(OR(H214="",NOT(ISNUMBER(L214))),"",H214*L214)</x:f>
      </x:c>
      <x:c r="N214" s="15" t="str">
        <x:f>IF(COUNTA(B214:K214)=0,"",TEXTJOIN("; ",TRUE,IF(B214="","Missing work date",""),IF(C214="","Missing project",""),IF(F214="","Missing production code",""),IF(H214="","Missing quantity",""),IF(I214="","Missing unit",""),IF(L214="NO RATE","Missing rate card","")))</x:f>
      </x:c>
    </x:row>
    <x:row r="215" ht="20" customHeight="1">
      <x:c r="A215" s="15"/>
      <x:c r="B215" s="28"/>
      <x:c r="C215" s="15"/>
      <x:c r="D215" s="15"/>
      <x:c r="E215" s="15"/>
      <x:c r="F215" s="15"/>
      <x:c r="G215" s="15"/>
      <x:c r="H215" s="138"/>
      <x:c r="I215" s="15"/>
      <x:c r="J215" s="15"/>
      <x:c r="K215" s="15"/>
      <x:c r="L215" s="70" t="str">
        <x:f>IF(F215="","",IFERROR(INDEX('08_Rate_Cards'!$D:$D,MATCH(F215,'08_Rate_Cards'!$A:$A,0)),"NO RATE"))</x:f>
      </x:c>
      <x:c r="M215" s="70" t="str">
        <x:f>IF(OR(H215="",NOT(ISNUMBER(L215))),"",H215*L215)</x:f>
      </x:c>
      <x:c r="N215" s="15" t="str">
        <x:f>IF(COUNTA(B215:K215)=0,"",TEXTJOIN("; ",TRUE,IF(B215="","Missing work date",""),IF(C215="","Missing project",""),IF(F215="","Missing production code",""),IF(H215="","Missing quantity",""),IF(I215="","Missing unit",""),IF(L215="NO RATE","Missing rate card","")))</x:f>
      </x:c>
    </x:row>
    <x:row r="216" ht="20" customHeight="1">
      <x:c r="A216" s="15"/>
      <x:c r="B216" s="28"/>
      <x:c r="C216" s="15"/>
      <x:c r="D216" s="15"/>
      <x:c r="E216" s="15"/>
      <x:c r="F216" s="15"/>
      <x:c r="G216" s="15"/>
      <x:c r="H216" s="138"/>
      <x:c r="I216" s="15"/>
      <x:c r="J216" s="15"/>
      <x:c r="K216" s="15"/>
      <x:c r="L216" s="70" t="str">
        <x:f>IF(F216="","",IFERROR(INDEX('08_Rate_Cards'!$D:$D,MATCH(F216,'08_Rate_Cards'!$A:$A,0)),"NO RATE"))</x:f>
      </x:c>
      <x:c r="M216" s="70" t="str">
        <x:f>IF(OR(H216="",NOT(ISNUMBER(L216))),"",H216*L216)</x:f>
      </x:c>
      <x:c r="N216" s="15" t="str">
        <x:f>IF(COUNTA(B216:K216)=0,"",TEXTJOIN("; ",TRUE,IF(B216="","Missing work date",""),IF(C216="","Missing project",""),IF(F216="","Missing production code",""),IF(H216="","Missing quantity",""),IF(I216="","Missing unit",""),IF(L216="NO RATE","Missing rate card","")))</x:f>
      </x:c>
    </x:row>
    <x:row r="217" ht="20" customHeight="1">
      <x:c r="A217" s="15"/>
      <x:c r="B217" s="28"/>
      <x:c r="C217" s="15"/>
      <x:c r="D217" s="15"/>
      <x:c r="E217" s="15"/>
      <x:c r="F217" s="15"/>
      <x:c r="G217" s="15"/>
      <x:c r="H217" s="138"/>
      <x:c r="I217" s="15"/>
      <x:c r="J217" s="15"/>
      <x:c r="K217" s="15"/>
      <x:c r="L217" s="70" t="str">
        <x:f>IF(F217="","",IFERROR(INDEX('08_Rate_Cards'!$D:$D,MATCH(F217,'08_Rate_Cards'!$A:$A,0)),"NO RATE"))</x:f>
      </x:c>
      <x:c r="M217" s="70" t="str">
        <x:f>IF(OR(H217="",NOT(ISNUMBER(L217))),"",H217*L217)</x:f>
      </x:c>
      <x:c r="N217" s="15" t="str">
        <x:f>IF(COUNTA(B217:K217)=0,"",TEXTJOIN("; ",TRUE,IF(B217="","Missing work date",""),IF(C217="","Missing project",""),IF(F217="","Missing production code",""),IF(H217="","Missing quantity",""),IF(I217="","Missing unit",""),IF(L217="NO RATE","Missing rate card","")))</x:f>
      </x:c>
    </x:row>
    <x:row r="218" ht="20" customHeight="1">
      <x:c r="A218" s="15"/>
      <x:c r="B218" s="28"/>
      <x:c r="C218" s="15"/>
      <x:c r="D218" s="15"/>
      <x:c r="E218" s="15"/>
      <x:c r="F218" s="15"/>
      <x:c r="G218" s="15"/>
      <x:c r="H218" s="138"/>
      <x:c r="I218" s="15"/>
      <x:c r="J218" s="15"/>
      <x:c r="K218" s="15"/>
      <x:c r="L218" s="70" t="str">
        <x:f>IF(F218="","",IFERROR(INDEX('08_Rate_Cards'!$D:$D,MATCH(F218,'08_Rate_Cards'!$A:$A,0)),"NO RATE"))</x:f>
      </x:c>
      <x:c r="M218" s="70" t="str">
        <x:f>IF(OR(H218="",NOT(ISNUMBER(L218))),"",H218*L218)</x:f>
      </x:c>
      <x:c r="N218" s="15" t="str">
        <x:f>IF(COUNTA(B218:K218)=0,"",TEXTJOIN("; ",TRUE,IF(B218="","Missing work date",""),IF(C218="","Missing project",""),IF(F218="","Missing production code",""),IF(H218="","Missing quantity",""),IF(I218="","Missing unit",""),IF(L218="NO RATE","Missing rate card","")))</x:f>
      </x:c>
    </x:row>
    <x:row r="219" ht="20" customHeight="1">
      <x:c r="A219" s="15"/>
      <x:c r="B219" s="28"/>
      <x:c r="C219" s="15"/>
      <x:c r="D219" s="15"/>
      <x:c r="E219" s="15"/>
      <x:c r="F219" s="15"/>
      <x:c r="G219" s="15"/>
      <x:c r="H219" s="138"/>
      <x:c r="I219" s="15"/>
      <x:c r="J219" s="15"/>
      <x:c r="K219" s="15"/>
      <x:c r="L219" s="70" t="str">
        <x:f>IF(F219="","",IFERROR(INDEX('08_Rate_Cards'!$D:$D,MATCH(F219,'08_Rate_Cards'!$A:$A,0)),"NO RATE"))</x:f>
      </x:c>
      <x:c r="M219" s="70" t="str">
        <x:f>IF(OR(H219="",NOT(ISNUMBER(L219))),"",H219*L219)</x:f>
      </x:c>
      <x:c r="N219" s="15" t="str">
        <x:f>IF(COUNTA(B219:K219)=0,"",TEXTJOIN("; ",TRUE,IF(B219="","Missing work date",""),IF(C219="","Missing project",""),IF(F219="","Missing production code",""),IF(H219="","Missing quantity",""),IF(I219="","Missing unit",""),IF(L219="NO RATE","Missing rate card","")))</x:f>
      </x:c>
    </x:row>
    <x:row r="220" ht="20" customHeight="1">
      <x:c r="A220" s="15"/>
      <x:c r="B220" s="28"/>
      <x:c r="C220" s="15"/>
      <x:c r="D220" s="15"/>
      <x:c r="E220" s="15"/>
      <x:c r="F220" s="15"/>
      <x:c r="G220" s="15"/>
      <x:c r="H220" s="138"/>
      <x:c r="I220" s="15"/>
      <x:c r="J220" s="15"/>
      <x:c r="K220" s="15"/>
      <x:c r="L220" s="70" t="str">
        <x:f>IF(F220="","",IFERROR(INDEX('08_Rate_Cards'!$D:$D,MATCH(F220,'08_Rate_Cards'!$A:$A,0)),"NO RATE"))</x:f>
      </x:c>
      <x:c r="M220" s="70" t="str">
        <x:f>IF(OR(H220="",NOT(ISNUMBER(L220))),"",H220*L220)</x:f>
      </x:c>
      <x:c r="N220" s="15" t="str">
        <x:f>IF(COUNTA(B220:K220)=0,"",TEXTJOIN("; ",TRUE,IF(B220="","Missing work date",""),IF(C220="","Missing project",""),IF(F220="","Missing production code",""),IF(H220="","Missing quantity",""),IF(I220="","Missing unit",""),IF(L220="NO RATE","Missing rate card","")))</x:f>
      </x:c>
    </x:row>
    <x:row r="221" ht="20" customHeight="1">
      <x:c r="A221" s="15"/>
      <x:c r="B221" s="28"/>
      <x:c r="C221" s="15"/>
      <x:c r="D221" s="15"/>
      <x:c r="E221" s="15"/>
      <x:c r="F221" s="15"/>
      <x:c r="G221" s="15"/>
      <x:c r="H221" s="138"/>
      <x:c r="I221" s="15"/>
      <x:c r="J221" s="15"/>
      <x:c r="K221" s="15"/>
      <x:c r="L221" s="70" t="str">
        <x:f>IF(F221="","",IFERROR(INDEX('08_Rate_Cards'!$D:$D,MATCH(F221,'08_Rate_Cards'!$A:$A,0)),"NO RATE"))</x:f>
      </x:c>
      <x:c r="M221" s="70" t="str">
        <x:f>IF(OR(H221="",NOT(ISNUMBER(L221))),"",H221*L221)</x:f>
      </x:c>
      <x:c r="N221" s="15" t="str">
        <x:f>IF(COUNTA(B221:K221)=0,"",TEXTJOIN("; ",TRUE,IF(B221="","Missing work date",""),IF(C221="","Missing project",""),IF(F221="","Missing production code",""),IF(H221="","Missing quantity",""),IF(I221="","Missing unit",""),IF(L221="NO RATE","Missing rate card","")))</x:f>
      </x:c>
    </x:row>
    <x:row r="222" ht="20" customHeight="1">
      <x:c r="A222" s="15"/>
      <x:c r="B222" s="28"/>
      <x:c r="C222" s="15"/>
      <x:c r="D222" s="15"/>
      <x:c r="E222" s="15"/>
      <x:c r="F222" s="15"/>
      <x:c r="G222" s="15"/>
      <x:c r="H222" s="138"/>
      <x:c r="I222" s="15"/>
      <x:c r="J222" s="15"/>
      <x:c r="K222" s="15"/>
      <x:c r="L222" s="70" t="str">
        <x:f>IF(F222="","",IFERROR(INDEX('08_Rate_Cards'!$D:$D,MATCH(F222,'08_Rate_Cards'!$A:$A,0)),"NO RATE"))</x:f>
      </x:c>
      <x:c r="M222" s="70" t="str">
        <x:f>IF(OR(H222="",NOT(ISNUMBER(L222))),"",H222*L222)</x:f>
      </x:c>
      <x:c r="N222" s="15" t="str">
        <x:f>IF(COUNTA(B222:K222)=0,"",TEXTJOIN("; ",TRUE,IF(B222="","Missing work date",""),IF(C222="","Missing project",""),IF(F222="","Missing production code",""),IF(H222="","Missing quantity",""),IF(I222="","Missing unit",""),IF(L222="NO RATE","Missing rate card","")))</x:f>
      </x:c>
    </x:row>
    <x:row r="223" ht="20" customHeight="1">
      <x:c r="A223" s="15"/>
      <x:c r="B223" s="28"/>
      <x:c r="C223" s="15"/>
      <x:c r="D223" s="15"/>
      <x:c r="E223" s="15"/>
      <x:c r="F223" s="15"/>
      <x:c r="G223" s="15"/>
      <x:c r="H223" s="138"/>
      <x:c r="I223" s="15"/>
      <x:c r="J223" s="15"/>
      <x:c r="K223" s="15"/>
      <x:c r="L223" s="70" t="str">
        <x:f>IF(F223="","",IFERROR(INDEX('08_Rate_Cards'!$D:$D,MATCH(F223,'08_Rate_Cards'!$A:$A,0)),"NO RATE"))</x:f>
      </x:c>
      <x:c r="M223" s="70" t="str">
        <x:f>IF(OR(H223="",NOT(ISNUMBER(L223))),"",H223*L223)</x:f>
      </x:c>
      <x:c r="N223" s="15" t="str">
        <x:f>IF(COUNTA(B223:K223)=0,"",TEXTJOIN("; ",TRUE,IF(B223="","Missing work date",""),IF(C223="","Missing project",""),IF(F223="","Missing production code",""),IF(H223="","Missing quantity",""),IF(I223="","Missing unit",""),IF(L223="NO RATE","Missing rate card","")))</x:f>
      </x:c>
    </x:row>
    <x:row r="224" ht="20" customHeight="1">
      <x:c r="A224" s="15"/>
      <x:c r="B224" s="28"/>
      <x:c r="C224" s="15"/>
      <x:c r="D224" s="15"/>
      <x:c r="E224" s="15"/>
      <x:c r="F224" s="15"/>
      <x:c r="G224" s="15"/>
      <x:c r="H224" s="138"/>
      <x:c r="I224" s="15"/>
      <x:c r="J224" s="15"/>
      <x:c r="K224" s="15"/>
      <x:c r="L224" s="70" t="str">
        <x:f>IF(F224="","",IFERROR(INDEX('08_Rate_Cards'!$D:$D,MATCH(F224,'08_Rate_Cards'!$A:$A,0)),"NO RATE"))</x:f>
      </x:c>
      <x:c r="M224" s="70" t="str">
        <x:f>IF(OR(H224="",NOT(ISNUMBER(L224))),"",H224*L224)</x:f>
      </x:c>
      <x:c r="N224" s="15" t="str">
        <x:f>IF(COUNTA(B224:K224)=0,"",TEXTJOIN("; ",TRUE,IF(B224="","Missing work date",""),IF(C224="","Missing project",""),IF(F224="","Missing production code",""),IF(H224="","Missing quantity",""),IF(I224="","Missing unit",""),IF(L224="NO RATE","Missing rate card","")))</x:f>
      </x:c>
    </x:row>
    <x:row r="225" ht="20" customHeight="1">
      <x:c r="A225" s="15"/>
      <x:c r="B225" s="28"/>
      <x:c r="C225" s="15"/>
      <x:c r="D225" s="15"/>
      <x:c r="E225" s="15"/>
      <x:c r="F225" s="15"/>
      <x:c r="G225" s="15"/>
      <x:c r="H225" s="138"/>
      <x:c r="I225" s="15"/>
      <x:c r="J225" s="15"/>
      <x:c r="K225" s="15"/>
      <x:c r="L225" s="70" t="str">
        <x:f>IF(F225="","",IFERROR(INDEX('08_Rate_Cards'!$D:$D,MATCH(F225,'08_Rate_Cards'!$A:$A,0)),"NO RATE"))</x:f>
      </x:c>
      <x:c r="M225" s="70" t="str">
        <x:f>IF(OR(H225="",NOT(ISNUMBER(L225))),"",H225*L225)</x:f>
      </x:c>
      <x:c r="N225" s="15" t="str">
        <x:f>IF(COUNTA(B225:K225)=0,"",TEXTJOIN("; ",TRUE,IF(B225="","Missing work date",""),IF(C225="","Missing project",""),IF(F225="","Missing production code",""),IF(H225="","Missing quantity",""),IF(I225="","Missing unit",""),IF(L225="NO RATE","Missing rate card","")))</x:f>
      </x:c>
    </x:row>
    <x:row r="226" ht="20" customHeight="1">
      <x:c r="A226" s="15"/>
      <x:c r="B226" s="28"/>
      <x:c r="C226" s="15"/>
      <x:c r="D226" s="15"/>
      <x:c r="E226" s="15"/>
      <x:c r="F226" s="15"/>
      <x:c r="G226" s="15"/>
      <x:c r="H226" s="138"/>
      <x:c r="I226" s="15"/>
      <x:c r="J226" s="15"/>
      <x:c r="K226" s="15"/>
      <x:c r="L226" s="70" t="str">
        <x:f>IF(F226="","",IFERROR(INDEX('08_Rate_Cards'!$D:$D,MATCH(F226,'08_Rate_Cards'!$A:$A,0)),"NO RATE"))</x:f>
      </x:c>
      <x:c r="M226" s="70" t="str">
        <x:f>IF(OR(H226="",NOT(ISNUMBER(L226))),"",H226*L226)</x:f>
      </x:c>
      <x:c r="N226" s="15" t="str">
        <x:f>IF(COUNTA(B226:K226)=0,"",TEXTJOIN("; ",TRUE,IF(B226="","Missing work date",""),IF(C226="","Missing project",""),IF(F226="","Missing production code",""),IF(H226="","Missing quantity",""),IF(I226="","Missing unit",""),IF(L226="NO RATE","Missing rate card","")))</x:f>
      </x:c>
    </x:row>
    <x:row r="227" ht="20" customHeight="1">
      <x:c r="A227" s="15"/>
      <x:c r="B227" s="28"/>
      <x:c r="C227" s="15"/>
      <x:c r="D227" s="15"/>
      <x:c r="E227" s="15"/>
      <x:c r="F227" s="15"/>
      <x:c r="G227" s="15"/>
      <x:c r="H227" s="138"/>
      <x:c r="I227" s="15"/>
      <x:c r="J227" s="15"/>
      <x:c r="K227" s="15"/>
      <x:c r="L227" s="70" t="str">
        <x:f>IF(F227="","",IFERROR(INDEX('08_Rate_Cards'!$D:$D,MATCH(F227,'08_Rate_Cards'!$A:$A,0)),"NO RATE"))</x:f>
      </x:c>
      <x:c r="M227" s="70" t="str">
        <x:f>IF(OR(H227="",NOT(ISNUMBER(L227))),"",H227*L227)</x:f>
      </x:c>
      <x:c r="N227" s="15" t="str">
        <x:f>IF(COUNTA(B227:K227)=0,"",TEXTJOIN("; ",TRUE,IF(B227="","Missing work date",""),IF(C227="","Missing project",""),IF(F227="","Missing production code",""),IF(H227="","Missing quantity",""),IF(I227="","Missing unit",""),IF(L227="NO RATE","Missing rate card","")))</x:f>
      </x:c>
    </x:row>
    <x:row r="228" ht="20" customHeight="1">
      <x:c r="A228" s="15"/>
      <x:c r="B228" s="28"/>
      <x:c r="C228" s="15"/>
      <x:c r="D228" s="15"/>
      <x:c r="E228" s="15"/>
      <x:c r="F228" s="15"/>
      <x:c r="G228" s="15"/>
      <x:c r="H228" s="138"/>
      <x:c r="I228" s="15"/>
      <x:c r="J228" s="15"/>
      <x:c r="K228" s="15"/>
      <x:c r="L228" s="70" t="str">
        <x:f>IF(F228="","",IFERROR(INDEX('08_Rate_Cards'!$D:$D,MATCH(F228,'08_Rate_Cards'!$A:$A,0)),"NO RATE"))</x:f>
      </x:c>
      <x:c r="M228" s="70" t="str">
        <x:f>IF(OR(H228="",NOT(ISNUMBER(L228))),"",H228*L228)</x:f>
      </x:c>
      <x:c r="N228" s="15" t="str">
        <x:f>IF(COUNTA(B228:K228)=0,"",TEXTJOIN("; ",TRUE,IF(B228="","Missing work date",""),IF(C228="","Missing project",""),IF(F228="","Missing production code",""),IF(H228="","Missing quantity",""),IF(I228="","Missing unit",""),IF(L228="NO RATE","Missing rate card","")))</x:f>
      </x:c>
    </x:row>
    <x:row r="229" ht="20" customHeight="1">
      <x:c r="A229" s="15"/>
      <x:c r="B229" s="28"/>
      <x:c r="C229" s="15"/>
      <x:c r="D229" s="15"/>
      <x:c r="E229" s="15"/>
      <x:c r="F229" s="15"/>
      <x:c r="G229" s="15"/>
      <x:c r="H229" s="138"/>
      <x:c r="I229" s="15"/>
      <x:c r="J229" s="15"/>
      <x:c r="K229" s="15"/>
      <x:c r="L229" s="70" t="str">
        <x:f>IF(F229="","",IFERROR(INDEX('08_Rate_Cards'!$D:$D,MATCH(F229,'08_Rate_Cards'!$A:$A,0)),"NO RATE"))</x:f>
      </x:c>
      <x:c r="M229" s="70" t="str">
        <x:f>IF(OR(H229="",NOT(ISNUMBER(L229))),"",H229*L229)</x:f>
      </x:c>
      <x:c r="N229" s="15" t="str">
        <x:f>IF(COUNTA(B229:K229)=0,"",TEXTJOIN("; ",TRUE,IF(B229="","Missing work date",""),IF(C229="","Missing project",""),IF(F229="","Missing production code",""),IF(H229="","Missing quantity",""),IF(I229="","Missing unit",""),IF(L229="NO RATE","Missing rate card","")))</x:f>
      </x:c>
    </x:row>
    <x:row r="230" ht="20" customHeight="1">
      <x:c r="A230" s="15"/>
      <x:c r="B230" s="28"/>
      <x:c r="C230" s="15"/>
      <x:c r="D230" s="15"/>
      <x:c r="E230" s="15"/>
      <x:c r="F230" s="15"/>
      <x:c r="G230" s="15"/>
      <x:c r="H230" s="138"/>
      <x:c r="I230" s="15"/>
      <x:c r="J230" s="15"/>
      <x:c r="K230" s="15"/>
      <x:c r="L230" s="70" t="str">
        <x:f>IF(F230="","",IFERROR(INDEX('08_Rate_Cards'!$D:$D,MATCH(F230,'08_Rate_Cards'!$A:$A,0)),"NO RATE"))</x:f>
      </x:c>
      <x:c r="M230" s="70" t="str">
        <x:f>IF(OR(H230="",NOT(ISNUMBER(L230))),"",H230*L230)</x:f>
      </x:c>
      <x:c r="N230" s="15" t="str">
        <x:f>IF(COUNTA(B230:K230)=0,"",TEXTJOIN("; ",TRUE,IF(B230="","Missing work date",""),IF(C230="","Missing project",""),IF(F230="","Missing production code",""),IF(H230="","Missing quantity",""),IF(I230="","Missing unit",""),IF(L230="NO RATE","Missing rate card","")))</x:f>
      </x:c>
    </x:row>
    <x:row r="231" ht="20" customHeight="1">
      <x:c r="A231" s="15"/>
      <x:c r="B231" s="28"/>
      <x:c r="C231" s="15"/>
      <x:c r="D231" s="15"/>
      <x:c r="E231" s="15"/>
      <x:c r="F231" s="15"/>
      <x:c r="G231" s="15"/>
      <x:c r="H231" s="138"/>
      <x:c r="I231" s="15"/>
      <x:c r="J231" s="15"/>
      <x:c r="K231" s="15"/>
      <x:c r="L231" s="70" t="str">
        <x:f>IF(F231="","",IFERROR(INDEX('08_Rate_Cards'!$D:$D,MATCH(F231,'08_Rate_Cards'!$A:$A,0)),"NO RATE"))</x:f>
      </x:c>
      <x:c r="M231" s="70" t="str">
        <x:f>IF(OR(H231="",NOT(ISNUMBER(L231))),"",H231*L231)</x:f>
      </x:c>
      <x:c r="N231" s="15" t="str">
        <x:f>IF(COUNTA(B231:K231)=0,"",TEXTJOIN("; ",TRUE,IF(B231="","Missing work date",""),IF(C231="","Missing project",""),IF(F231="","Missing production code",""),IF(H231="","Missing quantity",""),IF(I231="","Missing unit",""),IF(L231="NO RATE","Missing rate card","")))</x:f>
      </x:c>
    </x:row>
    <x:row r="232" ht="20" customHeight="1">
      <x:c r="A232" s="15"/>
      <x:c r="B232" s="28"/>
      <x:c r="C232" s="15"/>
      <x:c r="D232" s="15"/>
      <x:c r="E232" s="15"/>
      <x:c r="F232" s="15"/>
      <x:c r="G232" s="15"/>
      <x:c r="H232" s="138"/>
      <x:c r="I232" s="15"/>
      <x:c r="J232" s="15"/>
      <x:c r="K232" s="15"/>
      <x:c r="L232" s="70" t="str">
        <x:f>IF(F232="","",IFERROR(INDEX('08_Rate_Cards'!$D:$D,MATCH(F232,'08_Rate_Cards'!$A:$A,0)),"NO RATE"))</x:f>
      </x:c>
      <x:c r="M232" s="70" t="str">
        <x:f>IF(OR(H232="",NOT(ISNUMBER(L232))),"",H232*L232)</x:f>
      </x:c>
      <x:c r="N232" s="15" t="str">
        <x:f>IF(COUNTA(B232:K232)=0,"",TEXTJOIN("; ",TRUE,IF(B232="","Missing work date",""),IF(C232="","Missing project",""),IF(F232="","Missing production code",""),IF(H232="","Missing quantity",""),IF(I232="","Missing unit",""),IF(L232="NO RATE","Missing rate card","")))</x:f>
      </x:c>
    </x:row>
    <x:row r="233" ht="20" customHeight="1">
      <x:c r="A233" s="15"/>
      <x:c r="B233" s="28"/>
      <x:c r="C233" s="15"/>
      <x:c r="D233" s="15"/>
      <x:c r="E233" s="15"/>
      <x:c r="F233" s="15"/>
      <x:c r="G233" s="15"/>
      <x:c r="H233" s="138"/>
      <x:c r="I233" s="15"/>
      <x:c r="J233" s="15"/>
      <x:c r="K233" s="15"/>
      <x:c r="L233" s="70" t="str">
        <x:f>IF(F233="","",IFERROR(INDEX('08_Rate_Cards'!$D:$D,MATCH(F233,'08_Rate_Cards'!$A:$A,0)),"NO RATE"))</x:f>
      </x:c>
      <x:c r="M233" s="70" t="str">
        <x:f>IF(OR(H233="",NOT(ISNUMBER(L233))),"",H233*L233)</x:f>
      </x:c>
      <x:c r="N233" s="15" t="str">
        <x:f>IF(COUNTA(B233:K233)=0,"",TEXTJOIN("; ",TRUE,IF(B233="","Missing work date",""),IF(C233="","Missing project",""),IF(F233="","Missing production code",""),IF(H233="","Missing quantity",""),IF(I233="","Missing unit",""),IF(L233="NO RATE","Missing rate card","")))</x:f>
      </x:c>
    </x:row>
    <x:row r="234" ht="20" customHeight="1">
      <x:c r="A234" s="15"/>
      <x:c r="B234" s="28"/>
      <x:c r="C234" s="15"/>
      <x:c r="D234" s="15"/>
      <x:c r="E234" s="15"/>
      <x:c r="F234" s="15"/>
      <x:c r="G234" s="15"/>
      <x:c r="H234" s="138"/>
      <x:c r="I234" s="15"/>
      <x:c r="J234" s="15"/>
      <x:c r="K234" s="15"/>
      <x:c r="L234" s="70" t="str">
        <x:f>IF(F234="","",IFERROR(INDEX('08_Rate_Cards'!$D:$D,MATCH(F234,'08_Rate_Cards'!$A:$A,0)),"NO RATE"))</x:f>
      </x:c>
      <x:c r="M234" s="70" t="str">
        <x:f>IF(OR(H234="",NOT(ISNUMBER(L234))),"",H234*L234)</x:f>
      </x:c>
      <x:c r="N234" s="15" t="str">
        <x:f>IF(COUNTA(B234:K234)=0,"",TEXTJOIN("; ",TRUE,IF(B234="","Missing work date",""),IF(C234="","Missing project",""),IF(F234="","Missing production code",""),IF(H234="","Missing quantity",""),IF(I234="","Missing unit",""),IF(L234="NO RATE","Missing rate card","")))</x:f>
      </x:c>
    </x:row>
    <x:row r="235" ht="20" customHeight="1">
      <x:c r="A235" s="15"/>
      <x:c r="B235" s="28"/>
      <x:c r="C235" s="15"/>
      <x:c r="D235" s="15"/>
      <x:c r="E235" s="15"/>
      <x:c r="F235" s="15"/>
      <x:c r="G235" s="15"/>
      <x:c r="H235" s="138"/>
      <x:c r="I235" s="15"/>
      <x:c r="J235" s="15"/>
      <x:c r="K235" s="15"/>
      <x:c r="L235" s="70" t="str">
        <x:f>IF(F235="","",IFERROR(INDEX('08_Rate_Cards'!$D:$D,MATCH(F235,'08_Rate_Cards'!$A:$A,0)),"NO RATE"))</x:f>
      </x:c>
      <x:c r="M235" s="70" t="str">
        <x:f>IF(OR(H235="",NOT(ISNUMBER(L235))),"",H235*L235)</x:f>
      </x:c>
      <x:c r="N235" s="15" t="str">
        <x:f>IF(COUNTA(B235:K235)=0,"",TEXTJOIN("; ",TRUE,IF(B235="","Missing work date",""),IF(C235="","Missing project",""),IF(F235="","Missing production code",""),IF(H235="","Missing quantity",""),IF(I235="","Missing unit",""),IF(L235="NO RATE","Missing rate card","")))</x:f>
      </x:c>
    </x:row>
    <x:row r="236" ht="20" customHeight="1">
      <x:c r="A236" s="15"/>
      <x:c r="B236" s="28"/>
      <x:c r="C236" s="15"/>
      <x:c r="D236" s="15"/>
      <x:c r="E236" s="15"/>
      <x:c r="F236" s="15"/>
      <x:c r="G236" s="15"/>
      <x:c r="H236" s="138"/>
      <x:c r="I236" s="15"/>
      <x:c r="J236" s="15"/>
      <x:c r="K236" s="15"/>
      <x:c r="L236" s="70" t="str">
        <x:f>IF(F236="","",IFERROR(INDEX('08_Rate_Cards'!$D:$D,MATCH(F236,'08_Rate_Cards'!$A:$A,0)),"NO RATE"))</x:f>
      </x:c>
      <x:c r="M236" s="70" t="str">
        <x:f>IF(OR(H236="",NOT(ISNUMBER(L236))),"",H236*L236)</x:f>
      </x:c>
      <x:c r="N236" s="15" t="str">
        <x:f>IF(COUNTA(B236:K236)=0,"",TEXTJOIN("; ",TRUE,IF(B236="","Missing work date",""),IF(C236="","Missing project",""),IF(F236="","Missing production code",""),IF(H236="","Missing quantity",""),IF(I236="","Missing unit",""),IF(L236="NO RATE","Missing rate card","")))</x:f>
      </x:c>
    </x:row>
    <x:row r="237" ht="20" customHeight="1">
      <x:c r="A237" s="15"/>
      <x:c r="B237" s="28"/>
      <x:c r="C237" s="15"/>
      <x:c r="D237" s="15"/>
      <x:c r="E237" s="15"/>
      <x:c r="F237" s="15"/>
      <x:c r="G237" s="15"/>
      <x:c r="H237" s="138"/>
      <x:c r="I237" s="15"/>
      <x:c r="J237" s="15"/>
      <x:c r="K237" s="15"/>
      <x:c r="L237" s="70" t="str">
        <x:f>IF(F237="","",IFERROR(INDEX('08_Rate_Cards'!$D:$D,MATCH(F237,'08_Rate_Cards'!$A:$A,0)),"NO RATE"))</x:f>
      </x:c>
      <x:c r="M237" s="70" t="str">
        <x:f>IF(OR(H237="",NOT(ISNUMBER(L237))),"",H237*L237)</x:f>
      </x:c>
      <x:c r="N237" s="15" t="str">
        <x:f>IF(COUNTA(B237:K237)=0,"",TEXTJOIN("; ",TRUE,IF(B237="","Missing work date",""),IF(C237="","Missing project",""),IF(F237="","Missing production code",""),IF(H237="","Missing quantity",""),IF(I237="","Missing unit",""),IF(L237="NO RATE","Missing rate card","")))</x:f>
      </x:c>
    </x:row>
    <x:row r="238" ht="20" customHeight="1">
      <x:c r="A238" s="15"/>
      <x:c r="B238" s="28"/>
      <x:c r="C238" s="15"/>
      <x:c r="D238" s="15"/>
      <x:c r="E238" s="15"/>
      <x:c r="F238" s="15"/>
      <x:c r="G238" s="15"/>
      <x:c r="H238" s="138"/>
      <x:c r="I238" s="15"/>
      <x:c r="J238" s="15"/>
      <x:c r="K238" s="15"/>
      <x:c r="L238" s="70" t="str">
        <x:f>IF(F238="","",IFERROR(INDEX('08_Rate_Cards'!$D:$D,MATCH(F238,'08_Rate_Cards'!$A:$A,0)),"NO RATE"))</x:f>
      </x:c>
      <x:c r="M238" s="70" t="str">
        <x:f>IF(OR(H238="",NOT(ISNUMBER(L238))),"",H238*L238)</x:f>
      </x:c>
      <x:c r="N238" s="15" t="str">
        <x:f>IF(COUNTA(B238:K238)=0,"",TEXTJOIN("; ",TRUE,IF(B238="","Missing work date",""),IF(C238="","Missing project",""),IF(F238="","Missing production code",""),IF(H238="","Missing quantity",""),IF(I238="","Missing unit",""),IF(L238="NO RATE","Missing rate card","")))</x:f>
      </x:c>
    </x:row>
    <x:row r="239" ht="20" customHeight="1">
      <x:c r="A239" s="15"/>
      <x:c r="B239" s="28"/>
      <x:c r="C239" s="15"/>
      <x:c r="D239" s="15"/>
      <x:c r="E239" s="15"/>
      <x:c r="F239" s="15"/>
      <x:c r="G239" s="15"/>
      <x:c r="H239" s="138"/>
      <x:c r="I239" s="15"/>
      <x:c r="J239" s="15"/>
      <x:c r="K239" s="15"/>
      <x:c r="L239" s="70" t="str">
        <x:f>IF(F239="","",IFERROR(INDEX('08_Rate_Cards'!$D:$D,MATCH(F239,'08_Rate_Cards'!$A:$A,0)),"NO RATE"))</x:f>
      </x:c>
      <x:c r="M239" s="70" t="str">
        <x:f>IF(OR(H239="",NOT(ISNUMBER(L239))),"",H239*L239)</x:f>
      </x:c>
      <x:c r="N239" s="15" t="str">
        <x:f>IF(COUNTA(B239:K239)=0,"",TEXTJOIN("; ",TRUE,IF(B239="","Missing work date",""),IF(C239="","Missing project",""),IF(F239="","Missing production code",""),IF(H239="","Missing quantity",""),IF(I239="","Missing unit",""),IF(L239="NO RATE","Missing rate card","")))</x:f>
      </x:c>
    </x:row>
    <x:row r="240" ht="20" customHeight="1">
      <x:c r="A240" s="15"/>
      <x:c r="B240" s="28"/>
      <x:c r="C240" s="15"/>
      <x:c r="D240" s="15"/>
      <x:c r="E240" s="15"/>
      <x:c r="F240" s="15"/>
      <x:c r="G240" s="15"/>
      <x:c r="H240" s="138"/>
      <x:c r="I240" s="15"/>
      <x:c r="J240" s="15"/>
      <x:c r="K240" s="15"/>
      <x:c r="L240" s="70" t="str">
        <x:f>IF(F240="","",IFERROR(INDEX('08_Rate_Cards'!$D:$D,MATCH(F240,'08_Rate_Cards'!$A:$A,0)),"NO RATE"))</x:f>
      </x:c>
      <x:c r="M240" s="70" t="str">
        <x:f>IF(OR(H240="",NOT(ISNUMBER(L240))),"",H240*L240)</x:f>
      </x:c>
      <x:c r="N240" s="15" t="str">
        <x:f>IF(COUNTA(B240:K240)=0,"",TEXTJOIN("; ",TRUE,IF(B240="","Missing work date",""),IF(C240="","Missing project",""),IF(F240="","Missing production code",""),IF(H240="","Missing quantity",""),IF(I240="","Missing unit",""),IF(L240="NO RATE","Missing rate card","")))</x:f>
      </x:c>
    </x:row>
    <x:row r="241" ht="20" customHeight="1">
      <x:c r="A241" s="15"/>
      <x:c r="B241" s="28"/>
      <x:c r="C241" s="15"/>
      <x:c r="D241" s="15"/>
      <x:c r="E241" s="15"/>
      <x:c r="F241" s="15"/>
      <x:c r="G241" s="15"/>
      <x:c r="H241" s="138"/>
      <x:c r="I241" s="15"/>
      <x:c r="J241" s="15"/>
      <x:c r="K241" s="15"/>
      <x:c r="L241" s="70" t="str">
        <x:f>IF(F241="","",IFERROR(INDEX('08_Rate_Cards'!$D:$D,MATCH(F241,'08_Rate_Cards'!$A:$A,0)),"NO RATE"))</x:f>
      </x:c>
      <x:c r="M241" s="70" t="str">
        <x:f>IF(OR(H241="",NOT(ISNUMBER(L241))),"",H241*L241)</x:f>
      </x:c>
      <x:c r="N241" s="15" t="str">
        <x:f>IF(COUNTA(B241:K241)=0,"",TEXTJOIN("; ",TRUE,IF(B241="","Missing work date",""),IF(C241="","Missing project",""),IF(F241="","Missing production code",""),IF(H241="","Missing quantity",""),IF(I241="","Missing unit",""),IF(L241="NO RATE","Missing rate card","")))</x:f>
      </x:c>
    </x:row>
    <x:row r="242" ht="20" customHeight="1">
      <x:c r="A242" s="15"/>
      <x:c r="B242" s="28"/>
      <x:c r="C242" s="15"/>
      <x:c r="D242" s="15"/>
      <x:c r="E242" s="15"/>
      <x:c r="F242" s="15"/>
      <x:c r="G242" s="15"/>
      <x:c r="H242" s="138"/>
      <x:c r="I242" s="15"/>
      <x:c r="J242" s="15"/>
      <x:c r="K242" s="15"/>
      <x:c r="L242" s="70" t="str">
        <x:f>IF(F242="","",IFERROR(INDEX('08_Rate_Cards'!$D:$D,MATCH(F242,'08_Rate_Cards'!$A:$A,0)),"NO RATE"))</x:f>
      </x:c>
      <x:c r="M242" s="70" t="str">
        <x:f>IF(OR(H242="",NOT(ISNUMBER(L242))),"",H242*L242)</x:f>
      </x:c>
      <x:c r="N242" s="15" t="str">
        <x:f>IF(COUNTA(B242:K242)=0,"",TEXTJOIN("; ",TRUE,IF(B242="","Missing work date",""),IF(C242="","Missing project",""),IF(F242="","Missing production code",""),IF(H242="","Missing quantity",""),IF(I242="","Missing unit",""),IF(L242="NO RATE","Missing rate card","")))</x:f>
      </x:c>
    </x:row>
    <x:row r="243" ht="20" customHeight="1">
      <x:c r="A243" s="15"/>
      <x:c r="B243" s="28"/>
      <x:c r="C243" s="15"/>
      <x:c r="D243" s="15"/>
      <x:c r="E243" s="15"/>
      <x:c r="F243" s="15"/>
      <x:c r="G243" s="15"/>
      <x:c r="H243" s="138"/>
      <x:c r="I243" s="15"/>
      <x:c r="J243" s="15"/>
      <x:c r="K243" s="15"/>
      <x:c r="L243" s="70" t="str">
        <x:f>IF(F243="","",IFERROR(INDEX('08_Rate_Cards'!$D:$D,MATCH(F243,'08_Rate_Cards'!$A:$A,0)),"NO RATE"))</x:f>
      </x:c>
      <x:c r="M243" s="70" t="str">
        <x:f>IF(OR(H243="",NOT(ISNUMBER(L243))),"",H243*L243)</x:f>
      </x:c>
      <x:c r="N243" s="15" t="str">
        <x:f>IF(COUNTA(B243:K243)=0,"",TEXTJOIN("; ",TRUE,IF(B243="","Missing work date",""),IF(C243="","Missing project",""),IF(F243="","Missing production code",""),IF(H243="","Missing quantity",""),IF(I243="","Missing unit",""),IF(L243="NO RATE","Missing rate card","")))</x:f>
      </x:c>
    </x:row>
    <x:row r="244" ht="20" customHeight="1">
      <x:c r="A244" s="15"/>
      <x:c r="B244" s="28"/>
      <x:c r="C244" s="15"/>
      <x:c r="D244" s="15"/>
      <x:c r="E244" s="15"/>
      <x:c r="F244" s="15"/>
      <x:c r="G244" s="15"/>
      <x:c r="H244" s="138"/>
      <x:c r="I244" s="15"/>
      <x:c r="J244" s="15"/>
      <x:c r="K244" s="15"/>
      <x:c r="L244" s="70" t="str">
        <x:f>IF(F244="","",IFERROR(INDEX('08_Rate_Cards'!$D:$D,MATCH(F244,'08_Rate_Cards'!$A:$A,0)),"NO RATE"))</x:f>
      </x:c>
      <x:c r="M244" s="70" t="str">
        <x:f>IF(OR(H244="",NOT(ISNUMBER(L244))),"",H244*L244)</x:f>
      </x:c>
      <x:c r="N244" s="15" t="str">
        <x:f>IF(COUNTA(B244:K244)=0,"",TEXTJOIN("; ",TRUE,IF(B244="","Missing work date",""),IF(C244="","Missing project",""),IF(F244="","Missing production code",""),IF(H244="","Missing quantity",""),IF(I244="","Missing unit",""),IF(L244="NO RATE","Missing rate card","")))</x:f>
      </x:c>
    </x:row>
    <x:row r="245" ht="20" customHeight="1">
      <x:c r="A245" s="15"/>
      <x:c r="B245" s="28"/>
      <x:c r="C245" s="15"/>
      <x:c r="D245" s="15"/>
      <x:c r="E245" s="15"/>
      <x:c r="F245" s="15"/>
      <x:c r="G245" s="15"/>
      <x:c r="H245" s="138"/>
      <x:c r="I245" s="15"/>
      <x:c r="J245" s="15"/>
      <x:c r="K245" s="15"/>
      <x:c r="L245" s="70" t="str">
        <x:f>IF(F245="","",IFERROR(INDEX('08_Rate_Cards'!$D:$D,MATCH(F245,'08_Rate_Cards'!$A:$A,0)),"NO RATE"))</x:f>
      </x:c>
      <x:c r="M245" s="70" t="str">
        <x:f>IF(OR(H245="",NOT(ISNUMBER(L245))),"",H245*L245)</x:f>
      </x:c>
      <x:c r="N245" s="15" t="str">
        <x:f>IF(COUNTA(B245:K245)=0,"",TEXTJOIN("; ",TRUE,IF(B245="","Missing work date",""),IF(C245="","Missing project",""),IF(F245="","Missing production code",""),IF(H245="","Missing quantity",""),IF(I245="","Missing unit",""),IF(L245="NO RATE","Missing rate card","")))</x:f>
      </x:c>
    </x:row>
    <x:row r="246" ht="20" customHeight="1">
      <x:c r="A246" s="15"/>
      <x:c r="B246" s="28"/>
      <x:c r="C246" s="15"/>
      <x:c r="D246" s="15"/>
      <x:c r="E246" s="15"/>
      <x:c r="F246" s="15"/>
      <x:c r="G246" s="15"/>
      <x:c r="H246" s="138"/>
      <x:c r="I246" s="15"/>
      <x:c r="J246" s="15"/>
      <x:c r="K246" s="15"/>
      <x:c r="L246" s="70" t="str">
        <x:f>IF(F246="","",IFERROR(INDEX('08_Rate_Cards'!$D:$D,MATCH(F246,'08_Rate_Cards'!$A:$A,0)),"NO RATE"))</x:f>
      </x:c>
      <x:c r="M246" s="70" t="str">
        <x:f>IF(OR(H246="",NOT(ISNUMBER(L246))),"",H246*L246)</x:f>
      </x:c>
      <x:c r="N246" s="15" t="str">
        <x:f>IF(COUNTA(B246:K246)=0,"",TEXTJOIN("; ",TRUE,IF(B246="","Missing work date",""),IF(C246="","Missing project",""),IF(F246="","Missing production code",""),IF(H246="","Missing quantity",""),IF(I246="","Missing unit",""),IF(L246="NO RATE","Missing rate card","")))</x:f>
      </x:c>
    </x:row>
    <x:row r="247" ht="20" customHeight="1">
      <x:c r="A247" s="15"/>
      <x:c r="B247" s="28"/>
      <x:c r="C247" s="15"/>
      <x:c r="D247" s="15"/>
      <x:c r="E247" s="15"/>
      <x:c r="F247" s="15"/>
      <x:c r="G247" s="15"/>
      <x:c r="H247" s="138"/>
      <x:c r="I247" s="15"/>
      <x:c r="J247" s="15"/>
      <x:c r="K247" s="15"/>
      <x:c r="L247" s="70" t="str">
        <x:f>IF(F247="","",IFERROR(INDEX('08_Rate_Cards'!$D:$D,MATCH(F247,'08_Rate_Cards'!$A:$A,0)),"NO RATE"))</x:f>
      </x:c>
      <x:c r="M247" s="70" t="str">
        <x:f>IF(OR(H247="",NOT(ISNUMBER(L247))),"",H247*L247)</x:f>
      </x:c>
      <x:c r="N247" s="15" t="str">
        <x:f>IF(COUNTA(B247:K247)=0,"",TEXTJOIN("; ",TRUE,IF(B247="","Missing work date",""),IF(C247="","Missing project",""),IF(F247="","Missing production code",""),IF(H247="","Missing quantity",""),IF(I247="","Missing unit",""),IF(L247="NO RATE","Missing rate card","")))</x:f>
      </x:c>
    </x:row>
    <x:row r="248" ht="20" customHeight="1">
      <x:c r="A248" s="15"/>
      <x:c r="B248" s="28"/>
      <x:c r="C248" s="15"/>
      <x:c r="D248" s="15"/>
      <x:c r="E248" s="15"/>
      <x:c r="F248" s="15"/>
      <x:c r="G248" s="15"/>
      <x:c r="H248" s="138"/>
      <x:c r="I248" s="15"/>
      <x:c r="J248" s="15"/>
      <x:c r="K248" s="15"/>
      <x:c r="L248" s="70" t="str">
        <x:f>IF(F248="","",IFERROR(INDEX('08_Rate_Cards'!$D:$D,MATCH(F248,'08_Rate_Cards'!$A:$A,0)),"NO RATE"))</x:f>
      </x:c>
      <x:c r="M248" s="70" t="str">
        <x:f>IF(OR(H248="",NOT(ISNUMBER(L248))),"",H248*L248)</x:f>
      </x:c>
      <x:c r="N248" s="15" t="str">
        <x:f>IF(COUNTA(B248:K248)=0,"",TEXTJOIN("; ",TRUE,IF(B248="","Missing work date",""),IF(C248="","Missing project",""),IF(F248="","Missing production code",""),IF(H248="","Missing quantity",""),IF(I248="","Missing unit",""),IF(L248="NO RATE","Missing rate card","")))</x:f>
      </x:c>
    </x:row>
    <x:row r="249" ht="20" customHeight="1">
      <x:c r="A249" s="15"/>
      <x:c r="B249" s="28"/>
      <x:c r="C249" s="15"/>
      <x:c r="D249" s="15"/>
      <x:c r="E249" s="15"/>
      <x:c r="F249" s="15"/>
      <x:c r="G249" s="15"/>
      <x:c r="H249" s="138"/>
      <x:c r="I249" s="15"/>
      <x:c r="J249" s="15"/>
      <x:c r="K249" s="15"/>
      <x:c r="L249" s="70" t="str">
        <x:f>IF(F249="","",IFERROR(INDEX('08_Rate_Cards'!$D:$D,MATCH(F249,'08_Rate_Cards'!$A:$A,0)),"NO RATE"))</x:f>
      </x:c>
      <x:c r="M249" s="70" t="str">
        <x:f>IF(OR(H249="",NOT(ISNUMBER(L249))),"",H249*L249)</x:f>
      </x:c>
      <x:c r="N249" s="15" t="str">
        <x:f>IF(COUNTA(B249:K249)=0,"",TEXTJOIN("; ",TRUE,IF(B249="","Missing work date",""),IF(C249="","Missing project",""),IF(F249="","Missing production code",""),IF(H249="","Missing quantity",""),IF(I249="","Missing unit",""),IF(L249="NO RATE","Missing rate card","")))</x:f>
      </x:c>
    </x:row>
    <x:row r="250" ht="20" customHeight="1">
      <x:c r="A250" s="15"/>
      <x:c r="B250" s="28"/>
      <x:c r="C250" s="15"/>
      <x:c r="D250" s="15"/>
      <x:c r="E250" s="15"/>
      <x:c r="F250" s="15"/>
      <x:c r="G250" s="15"/>
      <x:c r="H250" s="138"/>
      <x:c r="I250" s="15"/>
      <x:c r="J250" s="15"/>
      <x:c r="K250" s="15"/>
      <x:c r="L250" s="70" t="str">
        <x:f>IF(F250="","",IFERROR(INDEX('08_Rate_Cards'!$D:$D,MATCH(F250,'08_Rate_Cards'!$A:$A,0)),"NO RATE"))</x:f>
      </x:c>
      <x:c r="M250" s="70" t="str">
        <x:f>IF(OR(H250="",NOT(ISNUMBER(L250))),"",H250*L250)</x:f>
      </x:c>
      <x:c r="N250" s="15" t="str">
        <x:f>IF(COUNTA(B250:K250)=0,"",TEXTJOIN("; ",TRUE,IF(B250="","Missing work date",""),IF(C250="","Missing project",""),IF(F250="","Missing production code",""),IF(H250="","Missing quantity",""),IF(I250="","Missing unit",""),IF(L250="NO RATE","Missing rate card","")))</x:f>
      </x:c>
    </x:row>
    <x:row r="251" ht="20" customHeight="1">
      <x:c r="A251" s="15"/>
      <x:c r="B251" s="28"/>
      <x:c r="C251" s="15"/>
      <x:c r="D251" s="15"/>
      <x:c r="E251" s="15"/>
      <x:c r="F251" s="15"/>
      <x:c r="G251" s="15"/>
      <x:c r="H251" s="138"/>
      <x:c r="I251" s="15"/>
      <x:c r="J251" s="15"/>
      <x:c r="K251" s="15"/>
      <x:c r="L251" s="70" t="str">
        <x:f>IF(F251="","",IFERROR(INDEX('08_Rate_Cards'!$D:$D,MATCH(F251,'08_Rate_Cards'!$A:$A,0)),"NO RATE"))</x:f>
      </x:c>
      <x:c r="M251" s="70" t="str">
        <x:f>IF(OR(H251="",NOT(ISNUMBER(L251))),"",H251*L251)</x:f>
      </x:c>
      <x:c r="N251" s="15" t="str">
        <x:f>IF(COUNTA(B251:K251)=0,"",TEXTJOIN("; ",TRUE,IF(B251="","Missing work date",""),IF(C251="","Missing project",""),IF(F251="","Missing production code",""),IF(H251="","Missing quantity",""),IF(I251="","Missing unit",""),IF(L251="NO RATE","Missing rate card","")))</x:f>
      </x:c>
    </x:row>
    <x:row r="252" ht="20" customHeight="1">
      <x:c r="A252" s="15"/>
      <x:c r="B252" s="28"/>
      <x:c r="C252" s="15"/>
      <x:c r="D252" s="15"/>
      <x:c r="E252" s="15"/>
      <x:c r="F252" s="15"/>
      <x:c r="G252" s="15"/>
      <x:c r="H252" s="138"/>
      <x:c r="I252" s="15"/>
      <x:c r="J252" s="15"/>
      <x:c r="K252" s="15"/>
      <x:c r="L252" s="70" t="str">
        <x:f>IF(F252="","",IFERROR(INDEX('08_Rate_Cards'!$D:$D,MATCH(F252,'08_Rate_Cards'!$A:$A,0)),"NO RATE"))</x:f>
      </x:c>
      <x:c r="M252" s="70" t="str">
        <x:f>IF(OR(H252="",NOT(ISNUMBER(L252))),"",H252*L252)</x:f>
      </x:c>
      <x:c r="N252" s="15" t="str">
        <x:f>IF(COUNTA(B252:K252)=0,"",TEXTJOIN("; ",TRUE,IF(B252="","Missing work date",""),IF(C252="","Missing project",""),IF(F252="","Missing production code",""),IF(H252="","Missing quantity",""),IF(I252="","Missing unit",""),IF(L252="NO RATE","Missing rate card","")))</x:f>
      </x:c>
    </x:row>
    <x:row r="253" ht="20" customHeight="1">
      <x:c r="A253" s="15"/>
      <x:c r="B253" s="28"/>
      <x:c r="C253" s="15"/>
      <x:c r="D253" s="15"/>
      <x:c r="E253" s="15"/>
      <x:c r="F253" s="15"/>
      <x:c r="G253" s="15"/>
      <x:c r="H253" s="138"/>
      <x:c r="I253" s="15"/>
      <x:c r="J253" s="15"/>
      <x:c r="K253" s="15"/>
      <x:c r="L253" s="70" t="str">
        <x:f>IF(F253="","",IFERROR(INDEX('08_Rate_Cards'!$D:$D,MATCH(F253,'08_Rate_Cards'!$A:$A,0)),"NO RATE"))</x:f>
      </x:c>
      <x:c r="M253" s="70" t="str">
        <x:f>IF(OR(H253="",NOT(ISNUMBER(L253))),"",H253*L253)</x:f>
      </x:c>
      <x:c r="N253" s="15" t="str">
        <x:f>IF(COUNTA(B253:K253)=0,"",TEXTJOIN("; ",TRUE,IF(B253="","Missing work date",""),IF(C253="","Missing project",""),IF(F253="","Missing production code",""),IF(H253="","Missing quantity",""),IF(I253="","Missing unit",""),IF(L253="NO RATE","Missing rate card","")))</x:f>
      </x:c>
    </x:row>
    <x:row r="254" ht="20" customHeight="1">
      <x:c r="A254" s="15"/>
      <x:c r="B254" s="28"/>
      <x:c r="C254" s="15"/>
      <x:c r="D254" s="15"/>
      <x:c r="E254" s="15"/>
      <x:c r="F254" s="15"/>
      <x:c r="G254" s="15"/>
      <x:c r="H254" s="138"/>
      <x:c r="I254" s="15"/>
      <x:c r="J254" s="15"/>
      <x:c r="K254" s="15"/>
      <x:c r="L254" s="70" t="str">
        <x:f>IF(F254="","",IFERROR(INDEX('08_Rate_Cards'!$D:$D,MATCH(F254,'08_Rate_Cards'!$A:$A,0)),"NO RATE"))</x:f>
      </x:c>
      <x:c r="M254" s="70" t="str">
        <x:f>IF(OR(H254="",NOT(ISNUMBER(L254))),"",H254*L254)</x:f>
      </x:c>
      <x:c r="N254" s="15" t="str">
        <x:f>IF(COUNTA(B254:K254)=0,"",TEXTJOIN("; ",TRUE,IF(B254="","Missing work date",""),IF(C254="","Missing project",""),IF(F254="","Missing production code",""),IF(H254="","Missing quantity",""),IF(I254="","Missing unit",""),IF(L254="NO RATE","Missing rate card","")))</x:f>
      </x:c>
    </x:row>
    <x:row r="255" ht="20" customHeight="1">
      <x:c r="A255" s="15"/>
      <x:c r="B255" s="28"/>
      <x:c r="C255" s="15"/>
      <x:c r="D255" s="15"/>
      <x:c r="E255" s="15"/>
      <x:c r="F255" s="15"/>
      <x:c r="G255" s="15"/>
      <x:c r="H255" s="138"/>
      <x:c r="I255" s="15"/>
      <x:c r="J255" s="15"/>
      <x:c r="K255" s="15"/>
      <x:c r="L255" s="70" t="str">
        <x:f>IF(F255="","",IFERROR(INDEX('08_Rate_Cards'!$D:$D,MATCH(F255,'08_Rate_Cards'!$A:$A,0)),"NO RATE"))</x:f>
      </x:c>
      <x:c r="M255" s="70" t="str">
        <x:f>IF(OR(H255="",NOT(ISNUMBER(L255))),"",H255*L255)</x:f>
      </x:c>
      <x:c r="N255" s="15" t="str">
        <x:f>IF(COUNTA(B255:K255)=0,"",TEXTJOIN("; ",TRUE,IF(B255="","Missing work date",""),IF(C255="","Missing project",""),IF(F255="","Missing production code",""),IF(H255="","Missing quantity",""),IF(I255="","Missing unit",""),IF(L255="NO RATE","Missing rate card","")))</x:f>
      </x:c>
    </x:row>
    <x:row r="256" ht="20" customHeight="1">
      <x:c r="A256" s="15"/>
      <x:c r="B256" s="28"/>
      <x:c r="C256" s="15"/>
      <x:c r="D256" s="15"/>
      <x:c r="E256" s="15"/>
      <x:c r="F256" s="15"/>
      <x:c r="G256" s="15"/>
      <x:c r="H256" s="138"/>
      <x:c r="I256" s="15"/>
      <x:c r="J256" s="15"/>
      <x:c r="K256" s="15"/>
      <x:c r="L256" s="70" t="str">
        <x:f>IF(F256="","",IFERROR(INDEX('08_Rate_Cards'!$D:$D,MATCH(F256,'08_Rate_Cards'!$A:$A,0)),"NO RATE"))</x:f>
      </x:c>
      <x:c r="M256" s="70" t="str">
        <x:f>IF(OR(H256="",NOT(ISNUMBER(L256))),"",H256*L256)</x:f>
      </x:c>
      <x:c r="N256" s="15" t="str">
        <x:f>IF(COUNTA(B256:K256)=0,"",TEXTJOIN("; ",TRUE,IF(B256="","Missing work date",""),IF(C256="","Missing project",""),IF(F256="","Missing production code",""),IF(H256="","Missing quantity",""),IF(I256="","Missing unit",""),IF(L256="NO RATE","Missing rate card","")))</x:f>
      </x:c>
    </x:row>
    <x:row r="257" ht="20" customHeight="1">
      <x:c r="A257" s="15"/>
      <x:c r="B257" s="28"/>
      <x:c r="C257" s="15"/>
      <x:c r="D257" s="15"/>
      <x:c r="E257" s="15"/>
      <x:c r="F257" s="15"/>
      <x:c r="G257" s="15"/>
      <x:c r="H257" s="138"/>
      <x:c r="I257" s="15"/>
      <x:c r="J257" s="15"/>
      <x:c r="K257" s="15"/>
      <x:c r="L257" s="70" t="str">
        <x:f>IF(F257="","",IFERROR(INDEX('08_Rate_Cards'!$D:$D,MATCH(F257,'08_Rate_Cards'!$A:$A,0)),"NO RATE"))</x:f>
      </x:c>
      <x:c r="M257" s="70" t="str">
        <x:f>IF(OR(H257="",NOT(ISNUMBER(L257))),"",H257*L257)</x:f>
      </x:c>
      <x:c r="N257" s="15" t="str">
        <x:f>IF(COUNTA(B257:K257)=0,"",TEXTJOIN("; ",TRUE,IF(B257="","Missing work date",""),IF(C257="","Missing project",""),IF(F257="","Missing production code",""),IF(H257="","Missing quantity",""),IF(I257="","Missing unit",""),IF(L257="NO RATE","Missing rate card","")))</x:f>
      </x:c>
    </x:row>
    <x:row r="258" ht="20" customHeight="1">
      <x:c r="A258" s="15"/>
      <x:c r="B258" s="28"/>
      <x:c r="C258" s="15"/>
      <x:c r="D258" s="15"/>
      <x:c r="E258" s="15"/>
      <x:c r="F258" s="15"/>
      <x:c r="G258" s="15"/>
      <x:c r="H258" s="138"/>
      <x:c r="I258" s="15"/>
      <x:c r="J258" s="15"/>
      <x:c r="K258" s="15"/>
      <x:c r="L258" s="70" t="str">
        <x:f>IF(F258="","",IFERROR(INDEX('08_Rate_Cards'!$D:$D,MATCH(F258,'08_Rate_Cards'!$A:$A,0)),"NO RATE"))</x:f>
      </x:c>
      <x:c r="M258" s="70" t="str">
        <x:f>IF(OR(H258="",NOT(ISNUMBER(L258))),"",H258*L258)</x:f>
      </x:c>
      <x:c r="N258" s="15" t="str">
        <x:f>IF(COUNTA(B258:K258)=0,"",TEXTJOIN("; ",TRUE,IF(B258="","Missing work date",""),IF(C258="","Missing project",""),IF(F258="","Missing production code",""),IF(H258="","Missing quantity",""),IF(I258="","Missing unit",""),IF(L258="NO RATE","Missing rate card","")))</x:f>
      </x:c>
    </x:row>
    <x:row r="259" ht="20" customHeight="1">
      <x:c r="A259" s="15"/>
      <x:c r="B259" s="28"/>
      <x:c r="C259" s="15"/>
      <x:c r="D259" s="15"/>
      <x:c r="E259" s="15"/>
      <x:c r="F259" s="15"/>
      <x:c r="G259" s="15"/>
      <x:c r="H259" s="138"/>
      <x:c r="I259" s="15"/>
      <x:c r="J259" s="15"/>
      <x:c r="K259" s="15"/>
      <x:c r="L259" s="70" t="str">
        <x:f>IF(F259="","",IFERROR(INDEX('08_Rate_Cards'!$D:$D,MATCH(F259,'08_Rate_Cards'!$A:$A,0)),"NO RATE"))</x:f>
      </x:c>
      <x:c r="M259" s="70" t="str">
        <x:f>IF(OR(H259="",NOT(ISNUMBER(L259))),"",H259*L259)</x:f>
      </x:c>
      <x:c r="N259" s="15" t="str">
        <x:f>IF(COUNTA(B259:K259)=0,"",TEXTJOIN("; ",TRUE,IF(B259="","Missing work date",""),IF(C259="","Missing project",""),IF(F259="","Missing production code",""),IF(H259="","Missing quantity",""),IF(I259="","Missing unit",""),IF(L259="NO RATE","Missing rate card","")))</x:f>
      </x:c>
    </x:row>
    <x:row r="260" ht="20" customHeight="1">
      <x:c r="A260" s="15"/>
      <x:c r="B260" s="28"/>
      <x:c r="C260" s="15"/>
      <x:c r="D260" s="15"/>
      <x:c r="E260" s="15"/>
      <x:c r="F260" s="15"/>
      <x:c r="G260" s="15"/>
      <x:c r="H260" s="138"/>
      <x:c r="I260" s="15"/>
      <x:c r="J260" s="15"/>
      <x:c r="K260" s="15"/>
      <x:c r="L260" s="70" t="str">
        <x:f>IF(F260="","",IFERROR(INDEX('08_Rate_Cards'!$D:$D,MATCH(F260,'08_Rate_Cards'!$A:$A,0)),"NO RATE"))</x:f>
      </x:c>
      <x:c r="M260" s="70" t="str">
        <x:f>IF(OR(H260="",NOT(ISNUMBER(L260))),"",H260*L260)</x:f>
      </x:c>
      <x:c r="N260" s="15" t="str">
        <x:f>IF(COUNTA(B260:K260)=0,"",TEXTJOIN("; ",TRUE,IF(B260="","Missing work date",""),IF(C260="","Missing project",""),IF(F260="","Missing production code",""),IF(H260="","Missing quantity",""),IF(I260="","Missing unit",""),IF(L260="NO RATE","Missing rate card","")))</x:f>
      </x:c>
    </x:row>
    <x:row r="261" ht="20" customHeight="1">
      <x:c r="A261" s="15"/>
      <x:c r="B261" s="28"/>
      <x:c r="C261" s="15"/>
      <x:c r="D261" s="15"/>
      <x:c r="E261" s="15"/>
      <x:c r="F261" s="15"/>
      <x:c r="G261" s="15"/>
      <x:c r="H261" s="138"/>
      <x:c r="I261" s="15"/>
      <x:c r="J261" s="15"/>
      <x:c r="K261" s="15"/>
      <x:c r="L261" s="70" t="str">
        <x:f>IF(F261="","",IFERROR(INDEX('08_Rate_Cards'!$D:$D,MATCH(F261,'08_Rate_Cards'!$A:$A,0)),"NO RATE"))</x:f>
      </x:c>
      <x:c r="M261" s="70" t="str">
        <x:f>IF(OR(H261="",NOT(ISNUMBER(L261))),"",H261*L261)</x:f>
      </x:c>
      <x:c r="N261" s="15" t="str">
        <x:f>IF(COUNTA(B261:K261)=0,"",TEXTJOIN("; ",TRUE,IF(B261="","Missing work date",""),IF(C261="","Missing project",""),IF(F261="","Missing production code",""),IF(H261="","Missing quantity",""),IF(I261="","Missing unit",""),IF(L261="NO RATE","Missing rate card","")))</x:f>
      </x:c>
    </x:row>
    <x:row r="262" ht="20" customHeight="1">
      <x:c r="A262" s="15"/>
      <x:c r="B262" s="28"/>
      <x:c r="C262" s="15"/>
      <x:c r="D262" s="15"/>
      <x:c r="E262" s="15"/>
      <x:c r="F262" s="15"/>
      <x:c r="G262" s="15"/>
      <x:c r="H262" s="138"/>
      <x:c r="I262" s="15"/>
      <x:c r="J262" s="15"/>
      <x:c r="K262" s="15"/>
      <x:c r="L262" s="70" t="str">
        <x:f>IF(F262="","",IFERROR(INDEX('08_Rate_Cards'!$D:$D,MATCH(F262,'08_Rate_Cards'!$A:$A,0)),"NO RATE"))</x:f>
      </x:c>
      <x:c r="M262" s="70" t="str">
        <x:f>IF(OR(H262="",NOT(ISNUMBER(L262))),"",H262*L262)</x:f>
      </x:c>
      <x:c r="N262" s="15" t="str">
        <x:f>IF(COUNTA(B262:K262)=0,"",TEXTJOIN("; ",TRUE,IF(B262="","Missing work date",""),IF(C262="","Missing project",""),IF(F262="","Missing production code",""),IF(H262="","Missing quantity",""),IF(I262="","Missing unit",""),IF(L262="NO RATE","Missing rate card","")))</x:f>
      </x:c>
    </x:row>
    <x:row r="263" ht="20" customHeight="1">
      <x:c r="A263" s="15"/>
      <x:c r="B263" s="28"/>
      <x:c r="C263" s="15"/>
      <x:c r="D263" s="15"/>
      <x:c r="E263" s="15"/>
      <x:c r="F263" s="15"/>
      <x:c r="G263" s="15"/>
      <x:c r="H263" s="138"/>
      <x:c r="I263" s="15"/>
      <x:c r="J263" s="15"/>
      <x:c r="K263" s="15"/>
      <x:c r="L263" s="70" t="str">
        <x:f>IF(F263="","",IFERROR(INDEX('08_Rate_Cards'!$D:$D,MATCH(F263,'08_Rate_Cards'!$A:$A,0)),"NO RATE"))</x:f>
      </x:c>
      <x:c r="M263" s="70" t="str">
        <x:f>IF(OR(H263="",NOT(ISNUMBER(L263))),"",H263*L263)</x:f>
      </x:c>
      <x:c r="N263" s="15" t="str">
        <x:f>IF(COUNTA(B263:K263)=0,"",TEXTJOIN("; ",TRUE,IF(B263="","Missing work date",""),IF(C263="","Missing project",""),IF(F263="","Missing production code",""),IF(H263="","Missing quantity",""),IF(I263="","Missing unit",""),IF(L263="NO RATE","Missing rate card","")))</x:f>
      </x:c>
    </x:row>
    <x:row r="264" ht="20" customHeight="1">
      <x:c r="A264" s="15"/>
      <x:c r="B264" s="28"/>
      <x:c r="C264" s="15"/>
      <x:c r="D264" s="15"/>
      <x:c r="E264" s="15"/>
      <x:c r="F264" s="15"/>
      <x:c r="G264" s="15"/>
      <x:c r="H264" s="138"/>
      <x:c r="I264" s="15"/>
      <x:c r="J264" s="15"/>
      <x:c r="K264" s="15"/>
      <x:c r="L264" s="70" t="str">
        <x:f>IF(F264="","",IFERROR(INDEX('08_Rate_Cards'!$D:$D,MATCH(F264,'08_Rate_Cards'!$A:$A,0)),"NO RATE"))</x:f>
      </x:c>
      <x:c r="M264" s="70" t="str">
        <x:f>IF(OR(H264="",NOT(ISNUMBER(L264))),"",H264*L264)</x:f>
      </x:c>
      <x:c r="N264" s="15" t="str">
        <x:f>IF(COUNTA(B264:K264)=0,"",TEXTJOIN("; ",TRUE,IF(B264="","Missing work date",""),IF(C264="","Missing project",""),IF(F264="","Missing production code",""),IF(H264="","Missing quantity",""),IF(I264="","Missing unit",""),IF(L264="NO RATE","Missing rate card","")))</x:f>
      </x:c>
    </x:row>
    <x:row r="265" ht="20" customHeight="1">
      <x:c r="A265" s="15"/>
      <x:c r="B265" s="28"/>
      <x:c r="C265" s="15"/>
      <x:c r="D265" s="15"/>
      <x:c r="E265" s="15"/>
      <x:c r="F265" s="15"/>
      <x:c r="G265" s="15"/>
      <x:c r="H265" s="138"/>
      <x:c r="I265" s="15"/>
      <x:c r="J265" s="15"/>
      <x:c r="K265" s="15"/>
      <x:c r="L265" s="70" t="str">
        <x:f>IF(F265="","",IFERROR(INDEX('08_Rate_Cards'!$D:$D,MATCH(F265,'08_Rate_Cards'!$A:$A,0)),"NO RATE"))</x:f>
      </x:c>
      <x:c r="M265" s="70" t="str">
        <x:f>IF(OR(H265="",NOT(ISNUMBER(L265))),"",H265*L265)</x:f>
      </x:c>
      <x:c r="N265" s="15" t="str">
        <x:f>IF(COUNTA(B265:K265)=0,"",TEXTJOIN("; ",TRUE,IF(B265="","Missing work date",""),IF(C265="","Missing project",""),IF(F265="","Missing production code",""),IF(H265="","Missing quantity",""),IF(I265="","Missing unit",""),IF(L265="NO RATE","Missing rate card","")))</x:f>
      </x:c>
    </x:row>
    <x:row r="266" ht="20" customHeight="1">
      <x:c r="A266" s="15"/>
      <x:c r="B266" s="28"/>
      <x:c r="C266" s="15"/>
      <x:c r="D266" s="15"/>
      <x:c r="E266" s="15"/>
      <x:c r="F266" s="15"/>
      <x:c r="G266" s="15"/>
      <x:c r="H266" s="138"/>
      <x:c r="I266" s="15"/>
      <x:c r="J266" s="15"/>
      <x:c r="K266" s="15"/>
      <x:c r="L266" s="70" t="str">
        <x:f>IF(F266="","",IFERROR(INDEX('08_Rate_Cards'!$D:$D,MATCH(F266,'08_Rate_Cards'!$A:$A,0)),"NO RATE"))</x:f>
      </x:c>
      <x:c r="M266" s="70" t="str">
        <x:f>IF(OR(H266="",NOT(ISNUMBER(L266))),"",H266*L266)</x:f>
      </x:c>
      <x:c r="N266" s="15" t="str">
        <x:f>IF(COUNTA(B266:K266)=0,"",TEXTJOIN("; ",TRUE,IF(B266="","Missing work date",""),IF(C266="","Missing project",""),IF(F266="","Missing production code",""),IF(H266="","Missing quantity",""),IF(I266="","Missing unit",""),IF(L266="NO RATE","Missing rate card","")))</x:f>
      </x:c>
    </x:row>
    <x:row r="267" ht="20" customHeight="1">
      <x:c r="A267" s="15"/>
      <x:c r="B267" s="28"/>
      <x:c r="C267" s="15"/>
      <x:c r="D267" s="15"/>
      <x:c r="E267" s="15"/>
      <x:c r="F267" s="15"/>
      <x:c r="G267" s="15"/>
      <x:c r="H267" s="138"/>
      <x:c r="I267" s="15"/>
      <x:c r="J267" s="15"/>
      <x:c r="K267" s="15"/>
      <x:c r="L267" s="70" t="str">
        <x:f>IF(F267="","",IFERROR(INDEX('08_Rate_Cards'!$D:$D,MATCH(F267,'08_Rate_Cards'!$A:$A,0)),"NO RATE"))</x:f>
      </x:c>
      <x:c r="M267" s="70" t="str">
        <x:f>IF(OR(H267="",NOT(ISNUMBER(L267))),"",H267*L267)</x:f>
      </x:c>
      <x:c r="N267" s="15" t="str">
        <x:f>IF(COUNTA(B267:K267)=0,"",TEXTJOIN("; ",TRUE,IF(B267="","Missing work date",""),IF(C267="","Missing project",""),IF(F267="","Missing production code",""),IF(H267="","Missing quantity",""),IF(I267="","Missing unit",""),IF(L267="NO RATE","Missing rate card","")))</x:f>
      </x:c>
    </x:row>
    <x:row r="268" ht="20" customHeight="1">
      <x:c r="A268" s="15"/>
      <x:c r="B268" s="28"/>
      <x:c r="C268" s="15"/>
      <x:c r="D268" s="15"/>
      <x:c r="E268" s="15"/>
      <x:c r="F268" s="15"/>
      <x:c r="G268" s="15"/>
      <x:c r="H268" s="138"/>
      <x:c r="I268" s="15"/>
      <x:c r="J268" s="15"/>
      <x:c r="K268" s="15"/>
      <x:c r="L268" s="70" t="str">
        <x:f>IF(F268="","",IFERROR(INDEX('08_Rate_Cards'!$D:$D,MATCH(F268,'08_Rate_Cards'!$A:$A,0)),"NO RATE"))</x:f>
      </x:c>
      <x:c r="M268" s="70" t="str">
        <x:f>IF(OR(H268="",NOT(ISNUMBER(L268))),"",H268*L268)</x:f>
      </x:c>
      <x:c r="N268" s="15" t="str">
        <x:f>IF(COUNTA(B268:K268)=0,"",TEXTJOIN("; ",TRUE,IF(B268="","Missing work date",""),IF(C268="","Missing project",""),IF(F268="","Missing production code",""),IF(H268="","Missing quantity",""),IF(I268="","Missing unit",""),IF(L268="NO RATE","Missing rate card","")))</x:f>
      </x:c>
    </x:row>
    <x:row r="269" ht="20" customHeight="1">
      <x:c r="A269" s="15"/>
      <x:c r="B269" s="28"/>
      <x:c r="C269" s="15"/>
      <x:c r="D269" s="15"/>
      <x:c r="E269" s="15"/>
      <x:c r="F269" s="15"/>
      <x:c r="G269" s="15"/>
      <x:c r="H269" s="138"/>
      <x:c r="I269" s="15"/>
      <x:c r="J269" s="15"/>
      <x:c r="K269" s="15"/>
      <x:c r="L269" s="70" t="str">
        <x:f>IF(F269="","",IFERROR(INDEX('08_Rate_Cards'!$D:$D,MATCH(F269,'08_Rate_Cards'!$A:$A,0)),"NO RATE"))</x:f>
      </x:c>
      <x:c r="M269" s="70" t="str">
        <x:f>IF(OR(H269="",NOT(ISNUMBER(L269))),"",H269*L269)</x:f>
      </x:c>
      <x:c r="N269" s="15" t="str">
        <x:f>IF(COUNTA(B269:K269)=0,"",TEXTJOIN("; ",TRUE,IF(B269="","Missing work date",""),IF(C269="","Missing project",""),IF(F269="","Missing production code",""),IF(H269="","Missing quantity",""),IF(I269="","Missing unit",""),IF(L269="NO RATE","Missing rate card","")))</x:f>
      </x:c>
    </x:row>
    <x:row r="270" ht="20" customHeight="1">
      <x:c r="A270" s="15"/>
      <x:c r="B270" s="28"/>
      <x:c r="C270" s="15"/>
      <x:c r="D270" s="15"/>
      <x:c r="E270" s="15"/>
      <x:c r="F270" s="15"/>
      <x:c r="G270" s="15"/>
      <x:c r="H270" s="138"/>
      <x:c r="I270" s="15"/>
      <x:c r="J270" s="15"/>
      <x:c r="K270" s="15"/>
      <x:c r="L270" s="70" t="str">
        <x:f>IF(F270="","",IFERROR(INDEX('08_Rate_Cards'!$D:$D,MATCH(F270,'08_Rate_Cards'!$A:$A,0)),"NO RATE"))</x:f>
      </x:c>
      <x:c r="M270" s="70" t="str">
        <x:f>IF(OR(H270="",NOT(ISNUMBER(L270))),"",H270*L270)</x:f>
      </x:c>
      <x:c r="N270" s="15" t="str">
        <x:f>IF(COUNTA(B270:K270)=0,"",TEXTJOIN("; ",TRUE,IF(B270="","Missing work date",""),IF(C270="","Missing project",""),IF(F270="","Missing production code",""),IF(H270="","Missing quantity",""),IF(I270="","Missing unit",""),IF(L270="NO RATE","Missing rate card","")))</x:f>
      </x:c>
    </x:row>
    <x:row r="271" ht="20" customHeight="1">
      <x:c r="A271" s="15"/>
      <x:c r="B271" s="28"/>
      <x:c r="C271" s="15"/>
      <x:c r="D271" s="15"/>
      <x:c r="E271" s="15"/>
      <x:c r="F271" s="15"/>
      <x:c r="G271" s="15"/>
      <x:c r="H271" s="138"/>
      <x:c r="I271" s="15"/>
      <x:c r="J271" s="15"/>
      <x:c r="K271" s="15"/>
      <x:c r="L271" s="70" t="str">
        <x:f>IF(F271="","",IFERROR(INDEX('08_Rate_Cards'!$D:$D,MATCH(F271,'08_Rate_Cards'!$A:$A,0)),"NO RATE"))</x:f>
      </x:c>
      <x:c r="M271" s="70" t="str">
        <x:f>IF(OR(H271="",NOT(ISNUMBER(L271))),"",H271*L271)</x:f>
      </x:c>
      <x:c r="N271" s="15" t="str">
        <x:f>IF(COUNTA(B271:K271)=0,"",TEXTJOIN("; ",TRUE,IF(B271="","Missing work date",""),IF(C271="","Missing project",""),IF(F271="","Missing production code",""),IF(H271="","Missing quantity",""),IF(I271="","Missing unit",""),IF(L271="NO RATE","Missing rate card","")))</x:f>
      </x:c>
    </x:row>
    <x:row r="272" ht="20" customHeight="1">
      <x:c r="A272" s="15"/>
      <x:c r="B272" s="28"/>
      <x:c r="C272" s="15"/>
      <x:c r="D272" s="15"/>
      <x:c r="E272" s="15"/>
      <x:c r="F272" s="15"/>
      <x:c r="G272" s="15"/>
      <x:c r="H272" s="138"/>
      <x:c r="I272" s="15"/>
      <x:c r="J272" s="15"/>
      <x:c r="K272" s="15"/>
      <x:c r="L272" s="70" t="str">
        <x:f>IF(F272="","",IFERROR(INDEX('08_Rate_Cards'!$D:$D,MATCH(F272,'08_Rate_Cards'!$A:$A,0)),"NO RATE"))</x:f>
      </x:c>
      <x:c r="M272" s="70" t="str">
        <x:f>IF(OR(H272="",NOT(ISNUMBER(L272))),"",H272*L272)</x:f>
      </x:c>
      <x:c r="N272" s="15" t="str">
        <x:f>IF(COUNTA(B272:K272)=0,"",TEXTJOIN("; ",TRUE,IF(B272="","Missing work date",""),IF(C272="","Missing project",""),IF(F272="","Missing production code",""),IF(H272="","Missing quantity",""),IF(I272="","Missing unit",""),IF(L272="NO RATE","Missing rate card","")))</x:f>
      </x:c>
    </x:row>
    <x:row r="273" ht="20" customHeight="1">
      <x:c r="A273" s="15"/>
      <x:c r="B273" s="28"/>
      <x:c r="C273" s="15"/>
      <x:c r="D273" s="15"/>
      <x:c r="E273" s="15"/>
      <x:c r="F273" s="15"/>
      <x:c r="G273" s="15"/>
      <x:c r="H273" s="138"/>
      <x:c r="I273" s="15"/>
      <x:c r="J273" s="15"/>
      <x:c r="K273" s="15"/>
      <x:c r="L273" s="70" t="str">
        <x:f>IF(F273="","",IFERROR(INDEX('08_Rate_Cards'!$D:$D,MATCH(F273,'08_Rate_Cards'!$A:$A,0)),"NO RATE"))</x:f>
      </x:c>
      <x:c r="M273" s="70" t="str">
        <x:f>IF(OR(H273="",NOT(ISNUMBER(L273))),"",H273*L273)</x:f>
      </x:c>
      <x:c r="N273" s="15" t="str">
        <x:f>IF(COUNTA(B273:K273)=0,"",TEXTJOIN("; ",TRUE,IF(B273="","Missing work date",""),IF(C273="","Missing project",""),IF(F273="","Missing production code",""),IF(H273="","Missing quantity",""),IF(I273="","Missing unit",""),IF(L273="NO RATE","Missing rate card","")))</x:f>
      </x:c>
    </x:row>
    <x:row r="274" ht="20" customHeight="1">
      <x:c r="A274" s="15"/>
      <x:c r="B274" s="28"/>
      <x:c r="C274" s="15"/>
      <x:c r="D274" s="15"/>
      <x:c r="E274" s="15"/>
      <x:c r="F274" s="15"/>
      <x:c r="G274" s="15"/>
      <x:c r="H274" s="138"/>
      <x:c r="I274" s="15"/>
      <x:c r="J274" s="15"/>
      <x:c r="K274" s="15"/>
      <x:c r="L274" s="70" t="str">
        <x:f>IF(F274="","",IFERROR(INDEX('08_Rate_Cards'!$D:$D,MATCH(F274,'08_Rate_Cards'!$A:$A,0)),"NO RATE"))</x:f>
      </x:c>
      <x:c r="M274" s="70" t="str">
        <x:f>IF(OR(H274="",NOT(ISNUMBER(L274))),"",H274*L274)</x:f>
      </x:c>
      <x:c r="N274" s="15" t="str">
        <x:f>IF(COUNTA(B274:K274)=0,"",TEXTJOIN("; ",TRUE,IF(B274="","Missing work date",""),IF(C274="","Missing project",""),IF(F274="","Missing production code",""),IF(H274="","Missing quantity",""),IF(I274="","Missing unit",""),IF(L274="NO RATE","Missing rate card","")))</x:f>
      </x:c>
    </x:row>
    <x:row r="275" ht="20" customHeight="1">
      <x:c r="A275" s="15"/>
      <x:c r="B275" s="28"/>
      <x:c r="C275" s="15"/>
      <x:c r="D275" s="15"/>
      <x:c r="E275" s="15"/>
      <x:c r="F275" s="15"/>
      <x:c r="G275" s="15"/>
      <x:c r="H275" s="138"/>
      <x:c r="I275" s="15"/>
      <x:c r="J275" s="15"/>
      <x:c r="K275" s="15"/>
      <x:c r="L275" s="70" t="str">
        <x:f>IF(F275="","",IFERROR(INDEX('08_Rate_Cards'!$D:$D,MATCH(F275,'08_Rate_Cards'!$A:$A,0)),"NO RATE"))</x:f>
      </x:c>
      <x:c r="M275" s="70" t="str">
        <x:f>IF(OR(H275="",NOT(ISNUMBER(L275))),"",H275*L275)</x:f>
      </x:c>
      <x:c r="N275" s="15" t="str">
        <x:f>IF(COUNTA(B275:K275)=0,"",TEXTJOIN("; ",TRUE,IF(B275="","Missing work date",""),IF(C275="","Missing project",""),IF(F275="","Missing production code",""),IF(H275="","Missing quantity",""),IF(I275="","Missing unit",""),IF(L275="NO RATE","Missing rate card","")))</x:f>
      </x:c>
    </x:row>
    <x:row r="276" ht="20" customHeight="1">
      <x:c r="A276" s="15"/>
      <x:c r="B276" s="28"/>
      <x:c r="C276" s="15"/>
      <x:c r="D276" s="15"/>
      <x:c r="E276" s="15"/>
      <x:c r="F276" s="15"/>
      <x:c r="G276" s="15"/>
      <x:c r="H276" s="138"/>
      <x:c r="I276" s="15"/>
      <x:c r="J276" s="15"/>
      <x:c r="K276" s="15"/>
      <x:c r="L276" s="70" t="str">
        <x:f>IF(F276="","",IFERROR(INDEX('08_Rate_Cards'!$D:$D,MATCH(F276,'08_Rate_Cards'!$A:$A,0)),"NO RATE"))</x:f>
      </x:c>
      <x:c r="M276" s="70" t="str">
        <x:f>IF(OR(H276="",NOT(ISNUMBER(L276))),"",H276*L276)</x:f>
      </x:c>
      <x:c r="N276" s="15" t="str">
        <x:f>IF(COUNTA(B276:K276)=0,"",TEXTJOIN("; ",TRUE,IF(B276="","Missing work date",""),IF(C276="","Missing project",""),IF(F276="","Missing production code",""),IF(H276="","Missing quantity",""),IF(I276="","Missing unit",""),IF(L276="NO RATE","Missing rate card","")))</x:f>
      </x:c>
    </x:row>
    <x:row r="277" ht="20" customHeight="1">
      <x:c r="A277" s="15"/>
      <x:c r="B277" s="28"/>
      <x:c r="C277" s="15"/>
      <x:c r="D277" s="15"/>
      <x:c r="E277" s="15"/>
      <x:c r="F277" s="15"/>
      <x:c r="G277" s="15"/>
      <x:c r="H277" s="138"/>
      <x:c r="I277" s="15"/>
      <x:c r="J277" s="15"/>
      <x:c r="K277" s="15"/>
      <x:c r="L277" s="70" t="str">
        <x:f>IF(F277="","",IFERROR(INDEX('08_Rate_Cards'!$D:$D,MATCH(F277,'08_Rate_Cards'!$A:$A,0)),"NO RATE"))</x:f>
      </x:c>
      <x:c r="M277" s="70" t="str">
        <x:f>IF(OR(H277="",NOT(ISNUMBER(L277))),"",H277*L277)</x:f>
      </x:c>
      <x:c r="N277" s="15" t="str">
        <x:f>IF(COUNTA(B277:K277)=0,"",TEXTJOIN("; ",TRUE,IF(B277="","Missing work date",""),IF(C277="","Missing project",""),IF(F277="","Missing production code",""),IF(H277="","Missing quantity",""),IF(I277="","Missing unit",""),IF(L277="NO RATE","Missing rate card","")))</x:f>
      </x:c>
    </x:row>
    <x:row r="278" ht="20" customHeight="1">
      <x:c r="A278" s="15"/>
      <x:c r="B278" s="28"/>
      <x:c r="C278" s="15"/>
      <x:c r="D278" s="15"/>
      <x:c r="E278" s="15"/>
      <x:c r="F278" s="15"/>
      <x:c r="G278" s="15"/>
      <x:c r="H278" s="138"/>
      <x:c r="I278" s="15"/>
      <x:c r="J278" s="15"/>
      <x:c r="K278" s="15"/>
      <x:c r="L278" s="70" t="str">
        <x:f>IF(F278="","",IFERROR(INDEX('08_Rate_Cards'!$D:$D,MATCH(F278,'08_Rate_Cards'!$A:$A,0)),"NO RATE"))</x:f>
      </x:c>
      <x:c r="M278" s="70" t="str">
        <x:f>IF(OR(H278="",NOT(ISNUMBER(L278))),"",H278*L278)</x:f>
      </x:c>
      <x:c r="N278" s="15" t="str">
        <x:f>IF(COUNTA(B278:K278)=0,"",TEXTJOIN("; ",TRUE,IF(B278="","Missing work date",""),IF(C278="","Missing project",""),IF(F278="","Missing production code",""),IF(H278="","Missing quantity",""),IF(I278="","Missing unit",""),IF(L278="NO RATE","Missing rate card","")))</x:f>
      </x:c>
    </x:row>
    <x:row r="279" ht="20" customHeight="1">
      <x:c r="A279" s="15"/>
      <x:c r="B279" s="28"/>
      <x:c r="C279" s="15"/>
      <x:c r="D279" s="15"/>
      <x:c r="E279" s="15"/>
      <x:c r="F279" s="15"/>
      <x:c r="G279" s="15"/>
      <x:c r="H279" s="138"/>
      <x:c r="I279" s="15"/>
      <x:c r="J279" s="15"/>
      <x:c r="K279" s="15"/>
      <x:c r="L279" s="70" t="str">
        <x:f>IF(F279="","",IFERROR(INDEX('08_Rate_Cards'!$D:$D,MATCH(F279,'08_Rate_Cards'!$A:$A,0)),"NO RATE"))</x:f>
      </x:c>
      <x:c r="M279" s="70" t="str">
        <x:f>IF(OR(H279="",NOT(ISNUMBER(L279))),"",H279*L279)</x:f>
      </x:c>
      <x:c r="N279" s="15" t="str">
        <x:f>IF(COUNTA(B279:K279)=0,"",TEXTJOIN("; ",TRUE,IF(B279="","Missing work date",""),IF(C279="","Missing project",""),IF(F279="","Missing production code",""),IF(H279="","Missing quantity",""),IF(I279="","Missing unit",""),IF(L279="NO RATE","Missing rate card","")))</x:f>
      </x:c>
    </x:row>
    <x:row r="280" ht="20" customHeight="1">
      <x:c r="A280" s="15"/>
      <x:c r="B280" s="28"/>
      <x:c r="C280" s="15"/>
      <x:c r="D280" s="15"/>
      <x:c r="E280" s="15"/>
      <x:c r="F280" s="15"/>
      <x:c r="G280" s="15"/>
      <x:c r="H280" s="138"/>
      <x:c r="I280" s="15"/>
      <x:c r="J280" s="15"/>
      <x:c r="K280" s="15"/>
      <x:c r="L280" s="70" t="str">
        <x:f>IF(F280="","",IFERROR(INDEX('08_Rate_Cards'!$D:$D,MATCH(F280,'08_Rate_Cards'!$A:$A,0)),"NO RATE"))</x:f>
      </x:c>
      <x:c r="M280" s="70" t="str">
        <x:f>IF(OR(H280="",NOT(ISNUMBER(L280))),"",H280*L280)</x:f>
      </x:c>
      <x:c r="N280" s="15" t="str">
        <x:f>IF(COUNTA(B280:K280)=0,"",TEXTJOIN("; ",TRUE,IF(B280="","Missing work date",""),IF(C280="","Missing project",""),IF(F280="","Missing production code",""),IF(H280="","Missing quantity",""),IF(I280="","Missing unit",""),IF(L280="NO RATE","Missing rate card","")))</x:f>
      </x:c>
    </x:row>
    <x:row r="281" ht="20" customHeight="1">
      <x:c r="A281" s="15"/>
      <x:c r="B281" s="28"/>
      <x:c r="C281" s="15"/>
      <x:c r="D281" s="15"/>
      <x:c r="E281" s="15"/>
      <x:c r="F281" s="15"/>
      <x:c r="G281" s="15"/>
      <x:c r="H281" s="138"/>
      <x:c r="I281" s="15"/>
      <x:c r="J281" s="15"/>
      <x:c r="K281" s="15"/>
      <x:c r="L281" s="70" t="str">
        <x:f>IF(F281="","",IFERROR(INDEX('08_Rate_Cards'!$D:$D,MATCH(F281,'08_Rate_Cards'!$A:$A,0)),"NO RATE"))</x:f>
      </x:c>
      <x:c r="M281" s="70" t="str">
        <x:f>IF(OR(H281="",NOT(ISNUMBER(L281))),"",H281*L281)</x:f>
      </x:c>
      <x:c r="N281" s="15" t="str">
        <x:f>IF(COUNTA(B281:K281)=0,"",TEXTJOIN("; ",TRUE,IF(B281="","Missing work date",""),IF(C281="","Missing project",""),IF(F281="","Missing production code",""),IF(H281="","Missing quantity",""),IF(I281="","Missing unit",""),IF(L281="NO RATE","Missing rate card","")))</x:f>
      </x:c>
    </x:row>
    <x:row r="282" ht="20" customHeight="1">
      <x:c r="A282" s="15"/>
      <x:c r="B282" s="28"/>
      <x:c r="C282" s="15"/>
      <x:c r="D282" s="15"/>
      <x:c r="E282" s="15"/>
      <x:c r="F282" s="15"/>
      <x:c r="G282" s="15"/>
      <x:c r="H282" s="138"/>
      <x:c r="I282" s="15"/>
      <x:c r="J282" s="15"/>
      <x:c r="K282" s="15"/>
      <x:c r="L282" s="70" t="str">
        <x:f>IF(F282="","",IFERROR(INDEX('08_Rate_Cards'!$D:$D,MATCH(F282,'08_Rate_Cards'!$A:$A,0)),"NO RATE"))</x:f>
      </x:c>
      <x:c r="M282" s="70" t="str">
        <x:f>IF(OR(H282="",NOT(ISNUMBER(L282))),"",H282*L282)</x:f>
      </x:c>
      <x:c r="N282" s="15" t="str">
        <x:f>IF(COUNTA(B282:K282)=0,"",TEXTJOIN("; ",TRUE,IF(B282="","Missing work date",""),IF(C282="","Missing project",""),IF(F282="","Missing production code",""),IF(H282="","Missing quantity",""),IF(I282="","Missing unit",""),IF(L282="NO RATE","Missing rate card","")))</x:f>
      </x:c>
    </x:row>
    <x:row r="283" ht="20" customHeight="1">
      <x:c r="A283" s="15"/>
      <x:c r="B283" s="28"/>
      <x:c r="C283" s="15"/>
      <x:c r="D283" s="15"/>
      <x:c r="E283" s="15"/>
      <x:c r="F283" s="15"/>
      <x:c r="G283" s="15"/>
      <x:c r="H283" s="138"/>
      <x:c r="I283" s="15"/>
      <x:c r="J283" s="15"/>
      <x:c r="K283" s="15"/>
      <x:c r="L283" s="70" t="str">
        <x:f>IF(F283="","",IFERROR(INDEX('08_Rate_Cards'!$D:$D,MATCH(F283,'08_Rate_Cards'!$A:$A,0)),"NO RATE"))</x:f>
      </x:c>
      <x:c r="M283" s="70" t="str">
        <x:f>IF(OR(H283="",NOT(ISNUMBER(L283))),"",H283*L283)</x:f>
      </x:c>
      <x:c r="N283" s="15" t="str">
        <x:f>IF(COUNTA(B283:K283)=0,"",TEXTJOIN("; ",TRUE,IF(B283="","Missing work date",""),IF(C283="","Missing project",""),IF(F283="","Missing production code",""),IF(H283="","Missing quantity",""),IF(I283="","Missing unit",""),IF(L283="NO RATE","Missing rate card","")))</x:f>
      </x:c>
    </x:row>
    <x:row r="284" ht="20" customHeight="1">
      <x:c r="A284" s="15"/>
      <x:c r="B284" s="28"/>
      <x:c r="C284" s="15"/>
      <x:c r="D284" s="15"/>
      <x:c r="E284" s="15"/>
      <x:c r="F284" s="15"/>
      <x:c r="G284" s="15"/>
      <x:c r="H284" s="138"/>
      <x:c r="I284" s="15"/>
      <x:c r="J284" s="15"/>
      <x:c r="K284" s="15"/>
      <x:c r="L284" s="70" t="str">
        <x:f>IF(F284="","",IFERROR(INDEX('08_Rate_Cards'!$D:$D,MATCH(F284,'08_Rate_Cards'!$A:$A,0)),"NO RATE"))</x:f>
      </x:c>
      <x:c r="M284" s="70" t="str">
        <x:f>IF(OR(H284="",NOT(ISNUMBER(L284))),"",H284*L284)</x:f>
      </x:c>
      <x:c r="N284" s="15" t="str">
        <x:f>IF(COUNTA(B284:K284)=0,"",TEXTJOIN("; ",TRUE,IF(B284="","Missing work date",""),IF(C284="","Missing project",""),IF(F284="","Missing production code",""),IF(H284="","Missing quantity",""),IF(I284="","Missing unit",""),IF(L284="NO RATE","Missing rate card","")))</x:f>
      </x:c>
    </x:row>
    <x:row r="285" ht="20" customHeight="1">
      <x:c r="A285" s="15"/>
      <x:c r="B285" s="28"/>
      <x:c r="C285" s="15"/>
      <x:c r="D285" s="15"/>
      <x:c r="E285" s="15"/>
      <x:c r="F285" s="15"/>
      <x:c r="G285" s="15"/>
      <x:c r="H285" s="138"/>
      <x:c r="I285" s="15"/>
      <x:c r="J285" s="15"/>
      <x:c r="K285" s="15"/>
      <x:c r="L285" s="70" t="str">
        <x:f>IF(F285="","",IFERROR(INDEX('08_Rate_Cards'!$D:$D,MATCH(F285,'08_Rate_Cards'!$A:$A,0)),"NO RATE"))</x:f>
      </x:c>
      <x:c r="M285" s="70" t="str">
        <x:f>IF(OR(H285="",NOT(ISNUMBER(L285))),"",H285*L285)</x:f>
      </x:c>
      <x:c r="N285" s="15" t="str">
        <x:f>IF(COUNTA(B285:K285)=0,"",TEXTJOIN("; ",TRUE,IF(B285="","Missing work date",""),IF(C285="","Missing project",""),IF(F285="","Missing production code",""),IF(H285="","Missing quantity",""),IF(I285="","Missing unit",""),IF(L285="NO RATE","Missing rate card","")))</x:f>
      </x:c>
    </x:row>
    <x:row r="286" ht="20" customHeight="1">
      <x:c r="A286" s="15"/>
      <x:c r="B286" s="28"/>
      <x:c r="C286" s="15"/>
      <x:c r="D286" s="15"/>
      <x:c r="E286" s="15"/>
      <x:c r="F286" s="15"/>
      <x:c r="G286" s="15"/>
      <x:c r="H286" s="138"/>
      <x:c r="I286" s="15"/>
      <x:c r="J286" s="15"/>
      <x:c r="K286" s="15"/>
      <x:c r="L286" s="70" t="str">
        <x:f>IF(F286="","",IFERROR(INDEX('08_Rate_Cards'!$D:$D,MATCH(F286,'08_Rate_Cards'!$A:$A,0)),"NO RATE"))</x:f>
      </x:c>
      <x:c r="M286" s="70" t="str">
        <x:f>IF(OR(H286="",NOT(ISNUMBER(L286))),"",H286*L286)</x:f>
      </x:c>
      <x:c r="N286" s="15" t="str">
        <x:f>IF(COUNTA(B286:K286)=0,"",TEXTJOIN("; ",TRUE,IF(B286="","Missing work date",""),IF(C286="","Missing project",""),IF(F286="","Missing production code",""),IF(H286="","Missing quantity",""),IF(I286="","Missing unit",""),IF(L286="NO RATE","Missing rate card","")))</x:f>
      </x:c>
    </x:row>
    <x:row r="287" ht="20" customHeight="1">
      <x:c r="A287" s="15"/>
      <x:c r="B287" s="28"/>
      <x:c r="C287" s="15"/>
      <x:c r="D287" s="15"/>
      <x:c r="E287" s="15"/>
      <x:c r="F287" s="15"/>
      <x:c r="G287" s="15"/>
      <x:c r="H287" s="138"/>
      <x:c r="I287" s="15"/>
      <x:c r="J287" s="15"/>
      <x:c r="K287" s="15"/>
      <x:c r="L287" s="70" t="str">
        <x:f>IF(F287="","",IFERROR(INDEX('08_Rate_Cards'!$D:$D,MATCH(F287,'08_Rate_Cards'!$A:$A,0)),"NO RATE"))</x:f>
      </x:c>
      <x:c r="M287" s="70" t="str">
        <x:f>IF(OR(H287="",NOT(ISNUMBER(L287))),"",H287*L287)</x:f>
      </x:c>
      <x:c r="N287" s="15" t="str">
        <x:f>IF(COUNTA(B287:K287)=0,"",TEXTJOIN("; ",TRUE,IF(B287="","Missing work date",""),IF(C287="","Missing project",""),IF(F287="","Missing production code",""),IF(H287="","Missing quantity",""),IF(I287="","Missing unit",""),IF(L287="NO RATE","Missing rate card","")))</x:f>
      </x:c>
    </x:row>
    <x:row r="288" ht="20" customHeight="1">
      <x:c r="A288" s="15"/>
      <x:c r="B288" s="28"/>
      <x:c r="C288" s="15"/>
      <x:c r="D288" s="15"/>
      <x:c r="E288" s="15"/>
      <x:c r="F288" s="15"/>
      <x:c r="G288" s="15"/>
      <x:c r="H288" s="138"/>
      <x:c r="I288" s="15"/>
      <x:c r="J288" s="15"/>
      <x:c r="K288" s="15"/>
      <x:c r="L288" s="70" t="str">
        <x:f>IF(F288="","",IFERROR(INDEX('08_Rate_Cards'!$D:$D,MATCH(F288,'08_Rate_Cards'!$A:$A,0)),"NO RATE"))</x:f>
      </x:c>
      <x:c r="M288" s="70" t="str">
        <x:f>IF(OR(H288="",NOT(ISNUMBER(L288))),"",H288*L288)</x:f>
      </x:c>
      <x:c r="N288" s="15" t="str">
        <x:f>IF(COUNTA(B288:K288)=0,"",TEXTJOIN("; ",TRUE,IF(B288="","Missing work date",""),IF(C288="","Missing project",""),IF(F288="","Missing production code",""),IF(H288="","Missing quantity",""),IF(I288="","Missing unit",""),IF(L288="NO RATE","Missing rate card","")))</x:f>
      </x:c>
    </x:row>
    <x:row r="289" ht="20" customHeight="1">
      <x:c r="A289" s="15"/>
      <x:c r="B289" s="28"/>
      <x:c r="C289" s="15"/>
      <x:c r="D289" s="15"/>
      <x:c r="E289" s="15"/>
      <x:c r="F289" s="15"/>
      <x:c r="G289" s="15"/>
      <x:c r="H289" s="138"/>
      <x:c r="I289" s="15"/>
      <x:c r="J289" s="15"/>
      <x:c r="K289" s="15"/>
      <x:c r="L289" s="70" t="str">
        <x:f>IF(F289="","",IFERROR(INDEX('08_Rate_Cards'!$D:$D,MATCH(F289,'08_Rate_Cards'!$A:$A,0)),"NO RATE"))</x:f>
      </x:c>
      <x:c r="M289" s="70" t="str">
        <x:f>IF(OR(H289="",NOT(ISNUMBER(L289))),"",H289*L289)</x:f>
      </x:c>
      <x:c r="N289" s="15" t="str">
        <x:f>IF(COUNTA(B289:K289)=0,"",TEXTJOIN("; ",TRUE,IF(B289="","Missing work date",""),IF(C289="","Missing project",""),IF(F289="","Missing production code",""),IF(H289="","Missing quantity",""),IF(I289="","Missing unit",""),IF(L289="NO RATE","Missing rate card","")))</x:f>
      </x:c>
    </x:row>
    <x:row r="290" ht="20" customHeight="1">
      <x:c r="A290" s="15"/>
      <x:c r="B290" s="28"/>
      <x:c r="C290" s="15"/>
      <x:c r="D290" s="15"/>
      <x:c r="E290" s="15"/>
      <x:c r="F290" s="15"/>
      <x:c r="G290" s="15"/>
      <x:c r="H290" s="138"/>
      <x:c r="I290" s="15"/>
      <x:c r="J290" s="15"/>
      <x:c r="K290" s="15"/>
      <x:c r="L290" s="70" t="str">
        <x:f>IF(F290="","",IFERROR(INDEX('08_Rate_Cards'!$D:$D,MATCH(F290,'08_Rate_Cards'!$A:$A,0)),"NO RATE"))</x:f>
      </x:c>
      <x:c r="M290" s="70" t="str">
        <x:f>IF(OR(H290="",NOT(ISNUMBER(L290))),"",H290*L290)</x:f>
      </x:c>
      <x:c r="N290" s="15" t="str">
        <x:f>IF(COUNTA(B290:K290)=0,"",TEXTJOIN("; ",TRUE,IF(B290="","Missing work date",""),IF(C290="","Missing project",""),IF(F290="","Missing production code",""),IF(H290="","Missing quantity",""),IF(I290="","Missing unit",""),IF(L290="NO RATE","Missing rate card","")))</x:f>
      </x:c>
    </x:row>
    <x:row r="291" ht="20" customHeight="1">
      <x:c r="A291" s="15"/>
      <x:c r="B291" s="28"/>
      <x:c r="C291" s="15"/>
      <x:c r="D291" s="15"/>
      <x:c r="E291" s="15"/>
      <x:c r="F291" s="15"/>
      <x:c r="G291" s="15"/>
      <x:c r="H291" s="138"/>
      <x:c r="I291" s="15"/>
      <x:c r="J291" s="15"/>
      <x:c r="K291" s="15"/>
      <x:c r="L291" s="70" t="str">
        <x:f>IF(F291="","",IFERROR(INDEX('08_Rate_Cards'!$D:$D,MATCH(F291,'08_Rate_Cards'!$A:$A,0)),"NO RATE"))</x:f>
      </x:c>
      <x:c r="M291" s="70" t="str">
        <x:f>IF(OR(H291="",NOT(ISNUMBER(L291))),"",H291*L291)</x:f>
      </x:c>
      <x:c r="N291" s="15" t="str">
        <x:f>IF(COUNTA(B291:K291)=0,"",TEXTJOIN("; ",TRUE,IF(B291="","Missing work date",""),IF(C291="","Missing project",""),IF(F291="","Missing production code",""),IF(H291="","Missing quantity",""),IF(I291="","Missing unit",""),IF(L291="NO RATE","Missing rate card","")))</x:f>
      </x:c>
    </x:row>
    <x:row r="292" ht="20" customHeight="1">
      <x:c r="A292" s="15"/>
      <x:c r="B292" s="28"/>
      <x:c r="C292" s="15"/>
      <x:c r="D292" s="15"/>
      <x:c r="E292" s="15"/>
      <x:c r="F292" s="15"/>
      <x:c r="G292" s="15"/>
      <x:c r="H292" s="138"/>
      <x:c r="I292" s="15"/>
      <x:c r="J292" s="15"/>
      <x:c r="K292" s="15"/>
      <x:c r="L292" s="70" t="str">
        <x:f>IF(F292="","",IFERROR(INDEX('08_Rate_Cards'!$D:$D,MATCH(F292,'08_Rate_Cards'!$A:$A,0)),"NO RATE"))</x:f>
      </x:c>
      <x:c r="M292" s="70" t="str">
        <x:f>IF(OR(H292="",NOT(ISNUMBER(L292))),"",H292*L292)</x:f>
      </x:c>
      <x:c r="N292" s="15" t="str">
        <x:f>IF(COUNTA(B292:K292)=0,"",TEXTJOIN("; ",TRUE,IF(B292="","Missing work date",""),IF(C292="","Missing project",""),IF(F292="","Missing production code",""),IF(H292="","Missing quantity",""),IF(I292="","Missing unit",""),IF(L292="NO RATE","Missing rate card","")))</x:f>
      </x:c>
    </x:row>
    <x:row r="293" ht="20" customHeight="1">
      <x:c r="A293" s="15"/>
      <x:c r="B293" s="28"/>
      <x:c r="C293" s="15"/>
      <x:c r="D293" s="15"/>
      <x:c r="E293" s="15"/>
      <x:c r="F293" s="15"/>
      <x:c r="G293" s="15"/>
      <x:c r="H293" s="138"/>
      <x:c r="I293" s="15"/>
      <x:c r="J293" s="15"/>
      <x:c r="K293" s="15"/>
      <x:c r="L293" s="70" t="str">
        <x:f>IF(F293="","",IFERROR(INDEX('08_Rate_Cards'!$D:$D,MATCH(F293,'08_Rate_Cards'!$A:$A,0)),"NO RATE"))</x:f>
      </x:c>
      <x:c r="M293" s="70" t="str">
        <x:f>IF(OR(H293="",NOT(ISNUMBER(L293))),"",H293*L293)</x:f>
      </x:c>
      <x:c r="N293" s="15" t="str">
        <x:f>IF(COUNTA(B293:K293)=0,"",TEXTJOIN("; ",TRUE,IF(B293="","Missing work date",""),IF(C293="","Missing project",""),IF(F293="","Missing production code",""),IF(H293="","Missing quantity",""),IF(I293="","Missing unit",""),IF(L293="NO RATE","Missing rate card","")))</x:f>
      </x:c>
    </x:row>
    <x:row r="294" ht="20" customHeight="1">
      <x:c r="A294" s="15"/>
      <x:c r="B294" s="28"/>
      <x:c r="C294" s="15"/>
      <x:c r="D294" s="15"/>
      <x:c r="E294" s="15"/>
      <x:c r="F294" s="15"/>
      <x:c r="G294" s="15"/>
      <x:c r="H294" s="138"/>
      <x:c r="I294" s="15"/>
      <x:c r="J294" s="15"/>
      <x:c r="K294" s="15"/>
      <x:c r="L294" s="70" t="str">
        <x:f>IF(F294="","",IFERROR(INDEX('08_Rate_Cards'!$D:$D,MATCH(F294,'08_Rate_Cards'!$A:$A,0)),"NO RATE"))</x:f>
      </x:c>
      <x:c r="M294" s="70" t="str">
        <x:f>IF(OR(H294="",NOT(ISNUMBER(L294))),"",H294*L294)</x:f>
      </x:c>
      <x:c r="N294" s="15" t="str">
        <x:f>IF(COUNTA(B294:K294)=0,"",TEXTJOIN("; ",TRUE,IF(B294="","Missing work date",""),IF(C294="","Missing project",""),IF(F294="","Missing production code",""),IF(H294="","Missing quantity",""),IF(I294="","Missing unit",""),IF(L294="NO RATE","Missing rate card","")))</x:f>
      </x:c>
    </x:row>
    <x:row r="295" ht="20" customHeight="1">
      <x:c r="A295" s="15"/>
      <x:c r="B295" s="28"/>
      <x:c r="C295" s="15"/>
      <x:c r="D295" s="15"/>
      <x:c r="E295" s="15"/>
      <x:c r="F295" s="15"/>
      <x:c r="G295" s="15"/>
      <x:c r="H295" s="138"/>
      <x:c r="I295" s="15"/>
      <x:c r="J295" s="15"/>
      <x:c r="K295" s="15"/>
      <x:c r="L295" s="70" t="str">
        <x:f>IF(F295="","",IFERROR(INDEX('08_Rate_Cards'!$D:$D,MATCH(F295,'08_Rate_Cards'!$A:$A,0)),"NO RATE"))</x:f>
      </x:c>
      <x:c r="M295" s="70" t="str">
        <x:f>IF(OR(H295="",NOT(ISNUMBER(L295))),"",H295*L295)</x:f>
      </x:c>
      <x:c r="N295" s="15" t="str">
        <x:f>IF(COUNTA(B295:K295)=0,"",TEXTJOIN("; ",TRUE,IF(B295="","Missing work date",""),IF(C295="","Missing project",""),IF(F295="","Missing production code",""),IF(H295="","Missing quantity",""),IF(I295="","Missing unit",""),IF(L295="NO RATE","Missing rate card","")))</x:f>
      </x:c>
    </x:row>
    <x:row r="296" ht="20" customHeight="1">
      <x:c r="A296" s="15"/>
      <x:c r="B296" s="28"/>
      <x:c r="C296" s="15"/>
      <x:c r="D296" s="15"/>
      <x:c r="E296" s="15"/>
      <x:c r="F296" s="15"/>
      <x:c r="G296" s="15"/>
      <x:c r="H296" s="138"/>
      <x:c r="I296" s="15"/>
      <x:c r="J296" s="15"/>
      <x:c r="K296" s="15"/>
      <x:c r="L296" s="70" t="str">
        <x:f>IF(F296="","",IFERROR(INDEX('08_Rate_Cards'!$D:$D,MATCH(F296,'08_Rate_Cards'!$A:$A,0)),"NO RATE"))</x:f>
      </x:c>
      <x:c r="M296" s="70" t="str">
        <x:f>IF(OR(H296="",NOT(ISNUMBER(L296))),"",H296*L296)</x:f>
      </x:c>
      <x:c r="N296" s="15" t="str">
        <x:f>IF(COUNTA(B296:K296)=0,"",TEXTJOIN("; ",TRUE,IF(B296="","Missing work date",""),IF(C296="","Missing project",""),IF(F296="","Missing production code",""),IF(H296="","Missing quantity",""),IF(I296="","Missing unit",""),IF(L296="NO RATE","Missing rate card","")))</x:f>
      </x:c>
    </x:row>
    <x:row r="297" ht="20" customHeight="1">
      <x:c r="A297" s="15"/>
      <x:c r="B297" s="28"/>
      <x:c r="C297" s="15"/>
      <x:c r="D297" s="15"/>
      <x:c r="E297" s="15"/>
      <x:c r="F297" s="15"/>
      <x:c r="G297" s="15"/>
      <x:c r="H297" s="138"/>
      <x:c r="I297" s="15"/>
      <x:c r="J297" s="15"/>
      <x:c r="K297" s="15"/>
      <x:c r="L297" s="70" t="str">
        <x:f>IF(F297="","",IFERROR(INDEX('08_Rate_Cards'!$D:$D,MATCH(F297,'08_Rate_Cards'!$A:$A,0)),"NO RATE"))</x:f>
      </x:c>
      <x:c r="M297" s="70" t="str">
        <x:f>IF(OR(H297="",NOT(ISNUMBER(L297))),"",H297*L297)</x:f>
      </x:c>
      <x:c r="N297" s="15" t="str">
        <x:f>IF(COUNTA(B297:K297)=0,"",TEXTJOIN("; ",TRUE,IF(B297="","Missing work date",""),IF(C297="","Missing project",""),IF(F297="","Missing production code",""),IF(H297="","Missing quantity",""),IF(I297="","Missing unit",""),IF(L297="NO RATE","Missing rate card","")))</x:f>
      </x:c>
    </x:row>
    <x:row r="298" ht="20" customHeight="1">
      <x:c r="A298" s="15"/>
      <x:c r="B298" s="28"/>
      <x:c r="C298" s="15"/>
      <x:c r="D298" s="15"/>
      <x:c r="E298" s="15"/>
      <x:c r="F298" s="15"/>
      <x:c r="G298" s="15"/>
      <x:c r="H298" s="138"/>
      <x:c r="I298" s="15"/>
      <x:c r="J298" s="15"/>
      <x:c r="K298" s="15"/>
      <x:c r="L298" s="70" t="str">
        <x:f>IF(F298="","",IFERROR(INDEX('08_Rate_Cards'!$D:$D,MATCH(F298,'08_Rate_Cards'!$A:$A,0)),"NO RATE"))</x:f>
      </x:c>
      <x:c r="M298" s="70" t="str">
        <x:f>IF(OR(H298="",NOT(ISNUMBER(L298))),"",H298*L298)</x:f>
      </x:c>
      <x:c r="N298" s="15" t="str">
        <x:f>IF(COUNTA(B298:K298)=0,"",TEXTJOIN("; ",TRUE,IF(B298="","Missing work date",""),IF(C298="","Missing project",""),IF(F298="","Missing production code",""),IF(H298="","Missing quantity",""),IF(I298="","Missing unit",""),IF(L298="NO RATE","Missing rate card","")))</x:f>
      </x:c>
    </x:row>
    <x:row r="299" ht="20" customHeight="1">
      <x:c r="A299" s="15"/>
      <x:c r="B299" s="28"/>
      <x:c r="C299" s="15"/>
      <x:c r="D299" s="15"/>
      <x:c r="E299" s="15"/>
      <x:c r="F299" s="15"/>
      <x:c r="G299" s="15"/>
      <x:c r="H299" s="138"/>
      <x:c r="I299" s="15"/>
      <x:c r="J299" s="15"/>
      <x:c r="K299" s="15"/>
      <x:c r="L299" s="70" t="str">
        <x:f>IF(F299="","",IFERROR(INDEX('08_Rate_Cards'!$D:$D,MATCH(F299,'08_Rate_Cards'!$A:$A,0)),"NO RATE"))</x:f>
      </x:c>
      <x:c r="M299" s="70" t="str">
        <x:f>IF(OR(H299="",NOT(ISNUMBER(L299))),"",H299*L299)</x:f>
      </x:c>
      <x:c r="N299" s="15" t="str">
        <x:f>IF(COUNTA(B299:K299)=0,"",TEXTJOIN("; ",TRUE,IF(B299="","Missing work date",""),IF(C299="","Missing project",""),IF(F299="","Missing production code",""),IF(H299="","Missing quantity",""),IF(I299="","Missing unit",""),IF(L299="NO RATE","Missing rate card","")))</x:f>
      </x:c>
    </x:row>
    <x:row r="300" ht="20" customHeight="1">
      <x:c r="A300" s="15"/>
      <x:c r="B300" s="28"/>
      <x:c r="C300" s="15"/>
      <x:c r="D300" s="15"/>
      <x:c r="E300" s="15"/>
      <x:c r="F300" s="15"/>
      <x:c r="G300" s="15"/>
      <x:c r="H300" s="138"/>
      <x:c r="I300" s="15"/>
      <x:c r="J300" s="15"/>
      <x:c r="K300" s="15"/>
      <x:c r="L300" s="70" t="str">
        <x:f>IF(F300="","",IFERROR(INDEX('08_Rate_Cards'!$D:$D,MATCH(F300,'08_Rate_Cards'!$A:$A,0)),"NO RATE"))</x:f>
      </x:c>
      <x:c r="M300" s="70" t="str">
        <x:f>IF(OR(H300="",NOT(ISNUMBER(L300))),"",H300*L300)</x:f>
      </x:c>
      <x:c r="N300" s="15" t="str">
        <x:f>IF(COUNTA(B300:K300)=0,"",TEXTJOIN("; ",TRUE,IF(B300="","Missing work date",""),IF(C300="","Missing project",""),IF(F300="","Missing production code",""),IF(H300="","Missing quantity",""),IF(I300="","Missing unit",""),IF(L300="NO RATE","Missing rate card","")))</x:f>
      </x:c>
    </x:row>
    <x:row r="301" ht="20" customHeight="1">
      <x:c r="A301" s="15"/>
      <x:c r="B301" s="28"/>
      <x:c r="C301" s="15"/>
      <x:c r="D301" s="15"/>
      <x:c r="E301" s="15"/>
      <x:c r="F301" s="15"/>
      <x:c r="G301" s="15"/>
      <x:c r="H301" s="138"/>
      <x:c r="I301" s="15"/>
      <x:c r="J301" s="15"/>
      <x:c r="K301" s="15"/>
      <x:c r="L301" s="70" t="str">
        <x:f>IF(F301="","",IFERROR(INDEX('08_Rate_Cards'!$D:$D,MATCH(F301,'08_Rate_Cards'!$A:$A,0)),"NO RATE"))</x:f>
      </x:c>
      <x:c r="M301" s="70" t="str">
        <x:f>IF(OR(H301="",NOT(ISNUMBER(L301))),"",H301*L301)</x:f>
      </x:c>
      <x:c r="N301" s="15" t="str">
        <x:f>IF(COUNTA(B301:K301)=0,"",TEXTJOIN("; ",TRUE,IF(B301="","Missing work date",""),IF(C301="","Missing project",""),IF(F301="","Missing production code",""),IF(H301="","Missing quantity",""),IF(I301="","Missing unit",""),IF(L301="NO RATE","Missing rate card","")))</x:f>
      </x:c>
    </x:row>
  </x:sheetData>
  <x:conditionalFormatting sqref="N2:N301">
    <x:cfRule type="expression" dxfId="2" priority="1">
      <x:formula>N2&lt;&gt;""</x:formula>
    </x:cfRule>
  </x:conditionalFormatting>
  <x:dataValidations count="3">
    <x:dataValidation type="list" sqref="F2:F301">
      <x:formula1>"UG-FIBER-LF,BORE-LF,HANDHOLE-EA,SPLICE-EA,RESTORE-SQFT,LOCATE-EA"</x:formula1>
    </x:dataValidation>
    <x:dataValidation type="list" sqref="I2:I301">
      <x:formula1>"ft,lf,each,hr,yard,mile,sqft,ton"</x:formula1>
    </x:dataValidation>
    <x:dataValidation type="list" sqref="J2:J30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e331031fcb4d5b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2" hidden="0" customWidth="1"/>
    <x:col min="7" max="7" width="16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14" hidden="0" customWidth="1"/>
    <x:col min="13" max="13" width="18" hidden="0" customWidth="1"/>
    <x:col min="14" max="14" width="48" hidden="0" customWidth="1"/>
  </x:cols>
  <x:sheetData>
    <x:row r="1" ht="30" customHeight="1">
      <x:c r="A1" s="156" t="str">
        <x:v>TimeID</x:v>
      </x:c>
      <x:c r="B1" s="156" t="str">
        <x:v>WorkDate</x:v>
      </x:c>
      <x:c r="C1" s="156" t="str">
        <x:v>ProjectID</x:v>
      </x:c>
      <x:c r="D1" s="156" t="str">
        <x:v>JobID</x:v>
      </x:c>
      <x:c r="E1" s="156" t="str">
        <x:v>EmployeeID</x:v>
      </x:c>
      <x:c r="F1" s="156" t="str">
        <x:v>CrewID</x:v>
      </x:c>
      <x:c r="G1" s="156" t="str">
        <x:v>Role</x:v>
      </x:c>
      <x:c r="H1" s="156" t="str">
        <x:v>RegularHours</x:v>
      </x:c>
      <x:c r="I1" s="156" t="str">
        <x:v>OvertimeHours</x:v>
      </x:c>
      <x:c r="J1" s="156" t="str">
        <x:v>TotalHours</x:v>
      </x:c>
      <x:c r="K1" s="156" t="str">
        <x:v>PayRate</x:v>
      </x:c>
      <x:c r="L1" s="156" t="str">
        <x:v>LaborCost</x:v>
      </x:c>
      <x:c r="M1" s="156" t="str">
        <x:v>SourceSubmissionID</x:v>
      </x:c>
      <x:c r="N1" s="156" t="str">
        <x:v>ValidationIssues</x:v>
      </x:c>
    </x:row>
    <x:row r="2" ht="20" customHeight="1">
      <x:c r="A2" s="15" t="str">
        <x:v>TIME-0001</x:v>
      </x:c>
      <x:c r="B2" s="28" t="n">
        <x:v>46204</x:v>
      </x:c>
      <x:c r="C2" s="15" t="str">
        <x:v>PRJ-1001</x:v>
      </x:c>
      <x:c r="D2" s="15" t="str">
        <x:v>JOB-1001</x:v>
      </x:c>
      <x:c r="E2" s="15" t="str">
        <x:v>EMP-001</x:v>
      </x:c>
      <x:c r="F2" s="15" t="str">
        <x:v>CRW-A</x:v>
      </x:c>
      <x:c r="G2" s="15" t="str">
        <x:v>Foreman</x:v>
      </x:c>
      <x:c r="H2" s="136" t="n">
        <x:v>8</x:v>
      </x:c>
      <x:c r="I2" s="136" t="n">
        <x:v>1</x:v>
      </x:c>
      <x:c r="J2" s="136" t="n">
        <x:f>IF(COUNTA(H2:I2)=0,"",SUM(H2:I2))</x:f>
        <x:v>9</x:v>
      </x:c>
      <x:c r="K2" s="70" t="n">
        <x:f>IF(E2="","",IFERROR(INDEX('05_Employees'!$H:$H,MATCH(E2,'05_Employees'!$A:$A,0)),"NO RATE"))</x:f>
        <x:v>42</x:v>
      </x:c>
      <x:c r="L2" s="70" t="n">
        <x:f>IF(OR(J2="",NOT(ISNUMBER(K2))),"",J2*K2)</x:f>
        <x:v>378</x:v>
      </x:c>
      <x:c r="M2" s="15" t="str">
        <x:v>SUB-0001</x:v>
      </x:c>
      <x:c r="N2" s="15" t="str">
        <x:f>IF(COUNTA(B2:I2,M2:M2)=0,"",TEXTJOIN("; ",TRUE,IF(B2="","Missing work date",""),IF(C2="","Missing project",""),IF(E2="","Missing employee",""),IF(H2="","Missing regular hours",""),IF(K2="NO RATE","Missing pay rate","")))</x:f>
      </x:c>
    </x:row>
    <x:row r="3" ht="20" customHeight="1">
      <x:c r="A3" s="15" t="str">
        <x:v>TIME-0002</x:v>
      </x:c>
      <x:c r="B3" s="28" t="n">
        <x:v>46204</x:v>
      </x:c>
      <x:c r="C3" s="15" t="str">
        <x:v>PRJ-1001</x:v>
      </x:c>
      <x:c r="D3" s="15" t="str">
        <x:v>JOB-1001</x:v>
      </x:c>
      <x:c r="E3" s="15" t="str">
        <x:v>EMP-002</x:v>
      </x:c>
      <x:c r="F3" s="15" t="str">
        <x:v>CRW-A</x:v>
      </x:c>
      <x:c r="G3" s="15" t="str">
        <x:v>Laborer</x:v>
      </x:c>
      <x:c r="H3" s="136" t="n">
        <x:v>8</x:v>
      </x:c>
      <x:c r="I3" s="136" t="n">
        <x:v>1</x:v>
      </x:c>
      <x:c r="J3" s="136" t="n">
        <x:f>IF(COUNTA(H3:I3)=0,"",SUM(H3:I3))</x:f>
        <x:v>9</x:v>
      </x:c>
      <x:c r="K3" s="70" t="n">
        <x:f>IF(E3="","",IFERROR(INDEX('05_Employees'!$H:$H,MATCH(E3,'05_Employees'!$A:$A,0)),"NO RATE"))</x:f>
        <x:v>28</x:v>
      </x:c>
      <x:c r="L3" s="70" t="n">
        <x:f>IF(OR(J3="",NOT(ISNUMBER(K3))),"",J3*K3)</x:f>
        <x:v>252</x:v>
      </x:c>
      <x:c r="M3" s="15" t="str">
        <x:v>SUB-0001</x:v>
      </x:c>
      <x:c r="N3" s="15" t="str">
        <x:f>IF(COUNTA(B3:I3,M3:M3)=0,"",TEXTJOIN("; ",TRUE,IF(B3="","Missing work date",""),IF(C3="","Missing project",""),IF(E3="","Missing employee",""),IF(H3="","Missing regular hours",""),IF(K3="NO RATE","Missing pay rate","")))</x:f>
      </x:c>
    </x:row>
    <x:row r="4" ht="20" customHeight="1">
      <x:c r="A4" s="15" t="str">
        <x:v>TIME-0003</x:v>
      </x:c>
      <x:c r="B4" s="28" t="n">
        <x:v>46204</x:v>
      </x:c>
      <x:c r="C4" s="15" t="str">
        <x:v>PRJ-1001</x:v>
      </x:c>
      <x:c r="D4" s="15" t="str">
        <x:v>JOB-1002</x:v>
      </x:c>
      <x:c r="E4" s="15" t="str">
        <x:v>EMP-003</x:v>
      </x:c>
      <x:c r="F4" s="15" t="str">
        <x:v>CRW-B</x:v>
      </x:c>
      <x:c r="G4" s="15" t="str">
        <x:v>Operator</x:v>
      </x:c>
      <x:c r="H4" s="136" t="n">
        <x:v>8</x:v>
      </x:c>
      <x:c r="I4" s="136" t="n">
        <x:v>0.5</x:v>
      </x:c>
      <x:c r="J4" s="136" t="n">
        <x:f>IF(COUNTA(H4:I4)=0,"",SUM(H4:I4))</x:f>
        <x:v>8.5</x:v>
      </x:c>
      <x:c r="K4" s="70" t="n">
        <x:f>IF(E4="","",IFERROR(INDEX('05_Employees'!$H:$H,MATCH(E4,'05_Employees'!$A:$A,0)),"NO RATE"))</x:f>
        <x:v>36</x:v>
      </x:c>
      <x:c r="L4" s="70" t="n">
        <x:f>IF(OR(J4="",NOT(ISNUMBER(K4))),"",J4*K4)</x:f>
        <x:v>306</x:v>
      </x:c>
      <x:c r="M4" s="15" t="str">
        <x:v>SUB-0002</x:v>
      </x:c>
      <x:c r="N4" s="15" t="str">
        <x:f>IF(COUNTA(B4:I4,M4:M4)=0,"",TEXTJOIN("; ",TRUE,IF(B4="","Missing work date",""),IF(C4="","Missing project",""),IF(E4="","Missing employee",""),IF(H4="","Missing regular hours",""),IF(K4="NO RATE","Missing pay rate","")))</x:f>
      </x:c>
    </x:row>
    <x:row r="5" ht="20" customHeight="1">
      <x:c r="A5" s="15" t="str">
        <x:v>TIME-0004</x:v>
      </x:c>
      <x:c r="B5" s="28" t="n">
        <x:v>46204</x:v>
      </x:c>
      <x:c r="C5" s="15" t="str">
        <x:v>PRJ-1002</x:v>
      </x:c>
      <x:c r="D5" s="15" t="str">
        <x:v>JOB-2001</x:v>
      </x:c>
      <x:c r="E5" s="15" t="str">
        <x:v>EMP-004</x:v>
      </x:c>
      <x:c r="F5" s="15" t="str">
        <x:v>CRW-C</x:v>
      </x:c>
      <x:c r="G5" s="15" t="str">
        <x:v>Splicer</x:v>
      </x:c>
      <x:c r="H5" s="136" t="n">
        <x:v>7</x:v>
      </x:c>
      <x:c r="I5" s="136" t="n">
        <x:v>0</x:v>
      </x:c>
      <x:c r="J5" s="136" t="n">
        <x:f>IF(COUNTA(H5:I5)=0,"",SUM(H5:I5))</x:f>
        <x:v>7</x:v>
      </x:c>
      <x:c r="K5" s="70" t="n">
        <x:f>IF(E5="","",IFERROR(INDEX('05_Employees'!$H:$H,MATCH(E5,'05_Employees'!$A:$A,0)),"NO RATE"))</x:f>
        <x:v>44</x:v>
      </x:c>
      <x:c r="L5" s="70" t="n">
        <x:f>IF(OR(J5="",NOT(ISNUMBER(K5))),"",J5*K5)</x:f>
        <x:v>308</x:v>
      </x:c>
      <x:c r="M5" s="15" t="str">
        <x:v>SUB-0003</x:v>
      </x:c>
      <x:c r="N5" s="15" t="str">
        <x:f>IF(COUNTA(B5:I5,M5:M5)=0,"",TEXTJOIN("; ",TRUE,IF(B5="","Missing work date",""),IF(C5="","Missing project",""),IF(E5="","Missing employee",""),IF(H5="","Missing regular hours",""),IF(K5="NO RATE","Missing pay rate","")))</x:f>
      </x:c>
    </x:row>
    <x:row r="6" ht="20" customHeight="1">
      <x:c r="A6" s="15" t="str">
        <x:v>TIME-0005</x:v>
      </x:c>
      <x:c r="B6" s="28" t="n">
        <x:v>46205</x:v>
      </x:c>
      <x:c r="C6" s="15" t="str">
        <x:v>PRJ-1001</x:v>
      </x:c>
      <x:c r="D6" s="15" t="str">
        <x:v>JOB-1001</x:v>
      </x:c>
      <x:c r="E6" s="15" t="str">
        <x:v>EMP-001</x:v>
      </x:c>
      <x:c r="F6" s="15" t="str">
        <x:v>CRW-A</x:v>
      </x:c>
      <x:c r="G6" s="15" t="str">
        <x:v>Foreman</x:v>
      </x:c>
      <x:c r="H6" s="136" t="n">
        <x:v>8</x:v>
      </x:c>
      <x:c r="I6" s="136" t="n">
        <x:v>1</x:v>
      </x:c>
      <x:c r="J6" s="136" t="n">
        <x:f>IF(COUNTA(H6:I6)=0,"",SUM(H6:I6))</x:f>
        <x:v>9</x:v>
      </x:c>
      <x:c r="K6" s="70" t="n">
        <x:f>IF(E6="","",IFERROR(INDEX('05_Employees'!$H:$H,MATCH(E6,'05_Employees'!$A:$A,0)),"NO RATE"))</x:f>
        <x:v>42</x:v>
      </x:c>
      <x:c r="L6" s="70" t="n">
        <x:f>IF(OR(J6="",NOT(ISNUMBER(K6))),"",J6*K6)</x:f>
        <x:v>378</x:v>
      </x:c>
      <x:c r="M6" s="15" t="str">
        <x:v>SUB-0004</x:v>
      </x:c>
      <x:c r="N6" s="15" t="str">
        <x:f>IF(COUNTA(B6:I6,M6:M6)=0,"",TEXTJOIN("; ",TRUE,IF(B6="","Missing work date",""),IF(C6="","Missing project",""),IF(E6="","Missing employee",""),IF(H6="","Missing regular hours",""),IF(K6="NO RATE","Missing pay rate","")))</x:f>
      </x:c>
    </x:row>
    <x:row r="7" ht="20" customHeight="1">
      <x:c r="A7" s="15" t="str">
        <x:v>TIME-0006</x:v>
      </x:c>
      <x:c r="B7" s="28" t="n">
        <x:v>46205</x:v>
      </x:c>
      <x:c r="C7" s="15" t="str">
        <x:v>PRJ-1001</x:v>
      </x:c>
      <x:c r="D7" s="15" t="str">
        <x:v>JOB-1001</x:v>
      </x:c>
      <x:c r="E7" s="15" t="str">
        <x:v>EMP-002</x:v>
      </x:c>
      <x:c r="F7" s="15" t="str">
        <x:v>CRW-A</x:v>
      </x:c>
      <x:c r="G7" s="15" t="str">
        <x:v>Laborer</x:v>
      </x:c>
      <x:c r="H7" s="136" t="n">
        <x:v>8</x:v>
      </x:c>
      <x:c r="I7" s="136" t="n">
        <x:v>1</x:v>
      </x:c>
      <x:c r="J7" s="136" t="n">
        <x:f>IF(COUNTA(H7:I7)=0,"",SUM(H7:I7))</x:f>
        <x:v>9</x:v>
      </x:c>
      <x:c r="K7" s="70" t="n">
        <x:f>IF(E7="","",IFERROR(INDEX('05_Employees'!$H:$H,MATCH(E7,'05_Employees'!$A:$A,0)),"NO RATE"))</x:f>
        <x:v>28</x:v>
      </x:c>
      <x:c r="L7" s="70" t="n">
        <x:f>IF(OR(J7="",NOT(ISNUMBER(K7))),"",J7*K7)</x:f>
        <x:v>252</x:v>
      </x:c>
      <x:c r="M7" s="15" t="str">
        <x:v>SUB-0004</x:v>
      </x:c>
      <x:c r="N7" s="15" t="str">
        <x:f>IF(COUNTA(B7:I7,M7:M7)=0,"",TEXTJOIN("; ",TRUE,IF(B7="","Missing work date",""),IF(C7="","Missing project",""),IF(E7="","Missing employee",""),IF(H7="","Missing regular hours",""),IF(K7="NO RATE","Missing pay rate","")))</x:f>
      </x:c>
    </x:row>
    <x:row r="8" ht="20" customHeight="1">
      <x:c r="A8" s="15"/>
      <x:c r="B8" s="28"/>
      <x:c r="C8" s="15"/>
      <x:c r="D8" s="15"/>
      <x:c r="E8" s="15"/>
      <x:c r="F8" s="15"/>
      <x:c r="G8" s="15"/>
      <x:c r="H8" s="136"/>
      <x:c r="I8" s="136"/>
      <x:c r="J8" s="136" t="str">
        <x:f>IF(COUNTA(H8:I8)=0,"",SUM(H8:I8))</x:f>
      </x:c>
      <x:c r="K8" s="70" t="str">
        <x:f>IF(E8="","",IFERROR(INDEX('05_Employees'!$H:$H,MATCH(E8,'05_Employees'!$A:$A,0)),"NO RATE"))</x:f>
      </x:c>
      <x:c r="L8" s="70" t="str">
        <x:f>IF(OR(J8="",NOT(ISNUMBER(K8))),"",J8*K8)</x:f>
      </x:c>
      <x:c r="M8" s="15"/>
      <x:c r="N8" s="15" t="str">
        <x:f>IF(COUNTA(B8:I8,M8:M8)=0,"",TEXTJOIN("; ",TRUE,IF(B8="","Missing work date",""),IF(C8="","Missing project",""),IF(E8="","Missing employee",""),IF(H8="","Missing regular hours",""),IF(K8="NO RATE","Missing pay rate","")))</x:f>
      </x:c>
    </x:row>
    <x:row r="9" ht="20" customHeight="1">
      <x:c r="A9" s="15"/>
      <x:c r="B9" s="28"/>
      <x:c r="C9" s="15"/>
      <x:c r="D9" s="15"/>
      <x:c r="E9" s="15"/>
      <x:c r="F9" s="15"/>
      <x:c r="G9" s="15"/>
      <x:c r="H9" s="136"/>
      <x:c r="I9" s="136"/>
      <x:c r="J9" s="136" t="str">
        <x:f>IF(COUNTA(H9:I9)=0,"",SUM(H9:I9))</x:f>
      </x:c>
      <x:c r="K9" s="70" t="str">
        <x:f>IF(E9="","",IFERROR(INDEX('05_Employees'!$H:$H,MATCH(E9,'05_Employees'!$A:$A,0)),"NO RATE"))</x:f>
      </x:c>
      <x:c r="L9" s="70" t="str">
        <x:f>IF(OR(J9="",NOT(ISNUMBER(K9))),"",J9*K9)</x:f>
      </x:c>
      <x:c r="M9" s="15"/>
      <x:c r="N9" s="15" t="str">
        <x:f>IF(COUNTA(B9:I9,M9:M9)=0,"",TEXTJOIN("; ",TRUE,IF(B9="","Missing work date",""),IF(C9="","Missing project",""),IF(E9="","Missing employee",""),IF(H9="","Missing regular hours",""),IF(K9="NO RATE","Missing pay rate","")))</x:f>
      </x:c>
    </x:row>
    <x:row r="10" ht="20" customHeight="1">
      <x:c r="A10" s="15"/>
      <x:c r="B10" s="28"/>
      <x:c r="C10" s="15"/>
      <x:c r="D10" s="15"/>
      <x:c r="E10" s="15"/>
      <x:c r="F10" s="15"/>
      <x:c r="G10" s="15"/>
      <x:c r="H10" s="136"/>
      <x:c r="I10" s="136"/>
      <x:c r="J10" s="136" t="str">
        <x:f>IF(COUNTA(H10:I10)=0,"",SUM(H10:I10))</x:f>
      </x:c>
      <x:c r="K10" s="70" t="str">
        <x:f>IF(E10="","",IFERROR(INDEX('05_Employees'!$H:$H,MATCH(E10,'05_Employees'!$A:$A,0)),"NO RATE"))</x:f>
      </x:c>
      <x:c r="L10" s="70" t="str">
        <x:f>IF(OR(J10="",NOT(ISNUMBER(K10))),"",J10*K10)</x:f>
      </x:c>
      <x:c r="M10" s="15"/>
      <x:c r="N10" s="15" t="str">
        <x:f>IF(COUNTA(B10:I10,M10:M10)=0,"",TEXTJOIN("; ",TRUE,IF(B10="","Missing work date",""),IF(C10="","Missing project",""),IF(E10="","Missing employee",""),IF(H10="","Missing regular hours",""),IF(K10="NO RATE","Missing pay rate","")))</x:f>
      </x:c>
    </x:row>
    <x:row r="11" ht="20" customHeight="1">
      <x:c r="A11" s="15"/>
      <x:c r="B11" s="28"/>
      <x:c r="C11" s="15"/>
      <x:c r="D11" s="15"/>
      <x:c r="E11" s="15"/>
      <x:c r="F11" s="15"/>
      <x:c r="G11" s="15"/>
      <x:c r="H11" s="136"/>
      <x:c r="I11" s="136"/>
      <x:c r="J11" s="136" t="str">
        <x:f>IF(COUNTA(H11:I11)=0,"",SUM(H11:I11))</x:f>
      </x:c>
      <x:c r="K11" s="70" t="str">
        <x:f>IF(E11="","",IFERROR(INDEX('05_Employees'!$H:$H,MATCH(E11,'05_Employees'!$A:$A,0)),"NO RATE"))</x:f>
      </x:c>
      <x:c r="L11" s="70" t="str">
        <x:f>IF(OR(J11="",NOT(ISNUMBER(K11))),"",J11*K11)</x:f>
      </x:c>
      <x:c r="M11" s="15"/>
      <x:c r="N11" s="15" t="str">
        <x:f>IF(COUNTA(B11:I11,M11:M11)=0,"",TEXTJOIN("; ",TRUE,IF(B11="","Missing work date",""),IF(C11="","Missing project",""),IF(E11="","Missing employee",""),IF(H11="","Missing regular hours",""),IF(K11="NO RATE","Missing pay rate","")))</x:f>
      </x:c>
    </x:row>
    <x:row r="12" ht="20" customHeight="1">
      <x:c r="A12" s="15"/>
      <x:c r="B12" s="28"/>
      <x:c r="C12" s="15"/>
      <x:c r="D12" s="15"/>
      <x:c r="E12" s="15"/>
      <x:c r="F12" s="15"/>
      <x:c r="G12" s="15"/>
      <x:c r="H12" s="136"/>
      <x:c r="I12" s="136"/>
      <x:c r="J12" s="136" t="str">
        <x:f>IF(COUNTA(H12:I12)=0,"",SUM(H12:I12))</x:f>
      </x:c>
      <x:c r="K12" s="70" t="str">
        <x:f>IF(E12="","",IFERROR(INDEX('05_Employees'!$H:$H,MATCH(E12,'05_Employees'!$A:$A,0)),"NO RATE"))</x:f>
      </x:c>
      <x:c r="L12" s="70" t="str">
        <x:f>IF(OR(J12="",NOT(ISNUMBER(K12))),"",J12*K12)</x:f>
      </x:c>
      <x:c r="M12" s="15"/>
      <x:c r="N12" s="15" t="str">
        <x:f>IF(COUNTA(B12:I12,M12:M12)=0,"",TEXTJOIN("; ",TRUE,IF(B12="","Missing work date",""),IF(C12="","Missing project",""),IF(E12="","Missing employee",""),IF(H12="","Missing regular hours",""),IF(K12="NO RATE","Missing pay rate","")))</x:f>
      </x:c>
    </x:row>
    <x:row r="13" ht="20" customHeight="1">
      <x:c r="A13" s="15"/>
      <x:c r="B13" s="28"/>
      <x:c r="C13" s="15"/>
      <x:c r="D13" s="15"/>
      <x:c r="E13" s="15"/>
      <x:c r="F13" s="15"/>
      <x:c r="G13" s="15"/>
      <x:c r="H13" s="136"/>
      <x:c r="I13" s="136"/>
      <x:c r="J13" s="136" t="str">
        <x:f>IF(COUNTA(H13:I13)=0,"",SUM(H13:I13))</x:f>
      </x:c>
      <x:c r="K13" s="70" t="str">
        <x:f>IF(E13="","",IFERROR(INDEX('05_Employees'!$H:$H,MATCH(E13,'05_Employees'!$A:$A,0)),"NO RATE"))</x:f>
      </x:c>
      <x:c r="L13" s="70" t="str">
        <x:f>IF(OR(J13="",NOT(ISNUMBER(K13))),"",J13*K13)</x:f>
      </x:c>
      <x:c r="M13" s="15"/>
      <x:c r="N13" s="15" t="str">
        <x:f>IF(COUNTA(B13:I13,M13:M13)=0,"",TEXTJOIN("; ",TRUE,IF(B13="","Missing work date",""),IF(C13="","Missing project",""),IF(E13="","Missing employee",""),IF(H13="","Missing regular hours",""),IF(K13="NO RATE","Missing pay rate","")))</x:f>
      </x:c>
    </x:row>
    <x:row r="14" ht="20" customHeight="1">
      <x:c r="A14" s="15"/>
      <x:c r="B14" s="28"/>
      <x:c r="C14" s="15"/>
      <x:c r="D14" s="15"/>
      <x:c r="E14" s="15"/>
      <x:c r="F14" s="15"/>
      <x:c r="G14" s="15"/>
      <x:c r="H14" s="136"/>
      <x:c r="I14" s="136"/>
      <x:c r="J14" s="136" t="str">
        <x:f>IF(COUNTA(H14:I14)=0,"",SUM(H14:I14))</x:f>
      </x:c>
      <x:c r="K14" s="70" t="str">
        <x:f>IF(E14="","",IFERROR(INDEX('05_Employees'!$H:$H,MATCH(E14,'05_Employees'!$A:$A,0)),"NO RATE"))</x:f>
      </x:c>
      <x:c r="L14" s="70" t="str">
        <x:f>IF(OR(J14="",NOT(ISNUMBER(K14))),"",J14*K14)</x:f>
      </x:c>
      <x:c r="M14" s="15"/>
      <x:c r="N14" s="15" t="str">
        <x:f>IF(COUNTA(B14:I14,M14:M14)=0,"",TEXTJOIN("; ",TRUE,IF(B14="","Missing work date",""),IF(C14="","Missing project",""),IF(E14="","Missing employee",""),IF(H14="","Missing regular hours",""),IF(K14="NO RATE","Missing pay rate","")))</x:f>
      </x:c>
    </x:row>
    <x:row r="15" ht="20" customHeight="1">
      <x:c r="A15" s="15"/>
      <x:c r="B15" s="28"/>
      <x:c r="C15" s="15"/>
      <x:c r="D15" s="15"/>
      <x:c r="E15" s="15"/>
      <x:c r="F15" s="15"/>
      <x:c r="G15" s="15"/>
      <x:c r="H15" s="136"/>
      <x:c r="I15" s="136"/>
      <x:c r="J15" s="136" t="str">
        <x:f>IF(COUNTA(H15:I15)=0,"",SUM(H15:I15))</x:f>
      </x:c>
      <x:c r="K15" s="70" t="str">
        <x:f>IF(E15="","",IFERROR(INDEX('05_Employees'!$H:$H,MATCH(E15,'05_Employees'!$A:$A,0)),"NO RATE"))</x:f>
      </x:c>
      <x:c r="L15" s="70" t="str">
        <x:f>IF(OR(J15="",NOT(ISNUMBER(K15))),"",J15*K15)</x:f>
      </x:c>
      <x:c r="M15" s="15"/>
      <x:c r="N15" s="15" t="str">
        <x:f>IF(COUNTA(B15:I15,M15:M15)=0,"",TEXTJOIN("; ",TRUE,IF(B15="","Missing work date",""),IF(C15="","Missing project",""),IF(E15="","Missing employee",""),IF(H15="","Missing regular hours",""),IF(K15="NO RATE","Missing pay rate","")))</x:f>
      </x:c>
    </x:row>
    <x:row r="16" ht="20" customHeight="1">
      <x:c r="A16" s="15"/>
      <x:c r="B16" s="28"/>
      <x:c r="C16" s="15"/>
      <x:c r="D16" s="15"/>
      <x:c r="E16" s="15"/>
      <x:c r="F16" s="15"/>
      <x:c r="G16" s="15"/>
      <x:c r="H16" s="136"/>
      <x:c r="I16" s="136"/>
      <x:c r="J16" s="136" t="str">
        <x:f>IF(COUNTA(H16:I16)=0,"",SUM(H16:I16))</x:f>
      </x:c>
      <x:c r="K16" s="70" t="str">
        <x:f>IF(E16="","",IFERROR(INDEX('05_Employees'!$H:$H,MATCH(E16,'05_Employees'!$A:$A,0)),"NO RATE"))</x:f>
      </x:c>
      <x:c r="L16" s="70" t="str">
        <x:f>IF(OR(J16="",NOT(ISNUMBER(K16))),"",J16*K16)</x:f>
      </x:c>
      <x:c r="M16" s="15"/>
      <x:c r="N16" s="15" t="str">
        <x:f>IF(COUNTA(B16:I16,M16:M16)=0,"",TEXTJOIN("; ",TRUE,IF(B16="","Missing work date",""),IF(C16="","Missing project",""),IF(E16="","Missing employee",""),IF(H16="","Missing regular hours",""),IF(K16="NO RATE","Missing pay rate","")))</x:f>
      </x:c>
    </x:row>
    <x:row r="17" ht="20" customHeight="1">
      <x:c r="A17" s="15"/>
      <x:c r="B17" s="28"/>
      <x:c r="C17" s="15"/>
      <x:c r="D17" s="15"/>
      <x:c r="E17" s="15"/>
      <x:c r="F17" s="15"/>
      <x:c r="G17" s="15"/>
      <x:c r="H17" s="136"/>
      <x:c r="I17" s="136"/>
      <x:c r="J17" s="136" t="str">
        <x:f>IF(COUNTA(H17:I17)=0,"",SUM(H17:I17))</x:f>
      </x:c>
      <x:c r="K17" s="70" t="str">
        <x:f>IF(E17="","",IFERROR(INDEX('05_Employees'!$H:$H,MATCH(E17,'05_Employees'!$A:$A,0)),"NO RATE"))</x:f>
      </x:c>
      <x:c r="L17" s="70" t="str">
        <x:f>IF(OR(J17="",NOT(ISNUMBER(K17))),"",J17*K17)</x:f>
      </x:c>
      <x:c r="M17" s="15"/>
      <x:c r="N17" s="15" t="str">
        <x:f>IF(COUNTA(B17:I17,M17:M17)=0,"",TEXTJOIN("; ",TRUE,IF(B17="","Missing work date",""),IF(C17="","Missing project",""),IF(E17="","Missing employee",""),IF(H17="","Missing regular hours",""),IF(K17="NO RATE","Missing pay rate","")))</x:f>
      </x:c>
    </x:row>
    <x:row r="18" ht="20" customHeight="1">
      <x:c r="A18" s="15"/>
      <x:c r="B18" s="28"/>
      <x:c r="C18" s="15"/>
      <x:c r="D18" s="15"/>
      <x:c r="E18" s="15"/>
      <x:c r="F18" s="15"/>
      <x:c r="G18" s="15"/>
      <x:c r="H18" s="136"/>
      <x:c r="I18" s="136"/>
      <x:c r="J18" s="136" t="str">
        <x:f>IF(COUNTA(H18:I18)=0,"",SUM(H18:I18))</x:f>
      </x:c>
      <x:c r="K18" s="70" t="str">
        <x:f>IF(E18="","",IFERROR(INDEX('05_Employees'!$H:$H,MATCH(E18,'05_Employees'!$A:$A,0)),"NO RATE"))</x:f>
      </x:c>
      <x:c r="L18" s="70" t="str">
        <x:f>IF(OR(J18="",NOT(ISNUMBER(K18))),"",J18*K18)</x:f>
      </x:c>
      <x:c r="M18" s="15"/>
      <x:c r="N18" s="15" t="str">
        <x:f>IF(COUNTA(B18:I18,M18:M18)=0,"",TEXTJOIN("; ",TRUE,IF(B18="","Missing work date",""),IF(C18="","Missing project",""),IF(E18="","Missing employee",""),IF(H18="","Missing regular hours",""),IF(K18="NO RATE","Missing pay rate","")))</x:f>
      </x:c>
    </x:row>
    <x:row r="19" ht="20" customHeight="1">
      <x:c r="A19" s="15"/>
      <x:c r="B19" s="28"/>
      <x:c r="C19" s="15"/>
      <x:c r="D19" s="15"/>
      <x:c r="E19" s="15"/>
      <x:c r="F19" s="15"/>
      <x:c r="G19" s="15"/>
      <x:c r="H19" s="136"/>
      <x:c r="I19" s="136"/>
      <x:c r="J19" s="136" t="str">
        <x:f>IF(COUNTA(H19:I19)=0,"",SUM(H19:I19))</x:f>
      </x:c>
      <x:c r="K19" s="70" t="str">
        <x:f>IF(E19="","",IFERROR(INDEX('05_Employees'!$H:$H,MATCH(E19,'05_Employees'!$A:$A,0)),"NO RATE"))</x:f>
      </x:c>
      <x:c r="L19" s="70" t="str">
        <x:f>IF(OR(J19="",NOT(ISNUMBER(K19))),"",J19*K19)</x:f>
      </x:c>
      <x:c r="M19" s="15"/>
      <x:c r="N19" s="15" t="str">
        <x:f>IF(COUNTA(B19:I19,M19:M19)=0,"",TEXTJOIN("; ",TRUE,IF(B19="","Missing work date",""),IF(C19="","Missing project",""),IF(E19="","Missing employee",""),IF(H19="","Missing regular hours",""),IF(K19="NO RATE","Missing pay rate","")))</x:f>
      </x:c>
    </x:row>
    <x:row r="20" ht="20" customHeight="1">
      <x:c r="A20" s="15"/>
      <x:c r="B20" s="28"/>
      <x:c r="C20" s="15"/>
      <x:c r="D20" s="15"/>
      <x:c r="E20" s="15"/>
      <x:c r="F20" s="15"/>
      <x:c r="G20" s="15"/>
      <x:c r="H20" s="136"/>
      <x:c r="I20" s="136"/>
      <x:c r="J20" s="136" t="str">
        <x:f>IF(COUNTA(H20:I20)=0,"",SUM(H20:I20))</x:f>
      </x:c>
      <x:c r="K20" s="70" t="str">
        <x:f>IF(E20="","",IFERROR(INDEX('05_Employees'!$H:$H,MATCH(E20,'05_Employees'!$A:$A,0)),"NO RATE"))</x:f>
      </x:c>
      <x:c r="L20" s="70" t="str">
        <x:f>IF(OR(J20="",NOT(ISNUMBER(K20))),"",J20*K20)</x:f>
      </x:c>
      <x:c r="M20" s="15"/>
      <x:c r="N20" s="15" t="str">
        <x:f>IF(COUNTA(B20:I20,M20:M20)=0,"",TEXTJOIN("; ",TRUE,IF(B20="","Missing work date",""),IF(C20="","Missing project",""),IF(E20="","Missing employee",""),IF(H20="","Missing regular hours",""),IF(K20="NO RATE","Missing pay rate","")))</x:f>
      </x:c>
    </x:row>
    <x:row r="21" ht="20" customHeight="1">
      <x:c r="A21" s="15"/>
      <x:c r="B21" s="28"/>
      <x:c r="C21" s="15"/>
      <x:c r="D21" s="15"/>
      <x:c r="E21" s="15"/>
      <x:c r="F21" s="15"/>
      <x:c r="G21" s="15"/>
      <x:c r="H21" s="136"/>
      <x:c r="I21" s="136"/>
      <x:c r="J21" s="136" t="str">
        <x:f>IF(COUNTA(H21:I21)=0,"",SUM(H21:I21))</x:f>
      </x:c>
      <x:c r="K21" s="70" t="str">
        <x:f>IF(E21="","",IFERROR(INDEX('05_Employees'!$H:$H,MATCH(E21,'05_Employees'!$A:$A,0)),"NO RATE"))</x:f>
      </x:c>
      <x:c r="L21" s="70" t="str">
        <x:f>IF(OR(J21="",NOT(ISNUMBER(K21))),"",J21*K21)</x:f>
      </x:c>
      <x:c r="M21" s="15"/>
      <x:c r="N21" s="15" t="str">
        <x:f>IF(COUNTA(B21:I21,M21:M21)=0,"",TEXTJOIN("; ",TRUE,IF(B21="","Missing work date",""),IF(C21="","Missing project",""),IF(E21="","Missing employee",""),IF(H21="","Missing regular hours",""),IF(K21="NO RATE","Missing pay rate","")))</x:f>
      </x:c>
    </x:row>
    <x:row r="22" ht="20" customHeight="1">
      <x:c r="A22" s="15"/>
      <x:c r="B22" s="28"/>
      <x:c r="C22" s="15"/>
      <x:c r="D22" s="15"/>
      <x:c r="E22" s="15"/>
      <x:c r="F22" s="15"/>
      <x:c r="G22" s="15"/>
      <x:c r="H22" s="136"/>
      <x:c r="I22" s="136"/>
      <x:c r="J22" s="136" t="str">
        <x:f>IF(COUNTA(H22:I22)=0,"",SUM(H22:I22))</x:f>
      </x:c>
      <x:c r="K22" s="70" t="str">
        <x:f>IF(E22="","",IFERROR(INDEX('05_Employees'!$H:$H,MATCH(E22,'05_Employees'!$A:$A,0)),"NO RATE"))</x:f>
      </x:c>
      <x:c r="L22" s="70" t="str">
        <x:f>IF(OR(J22="",NOT(ISNUMBER(K22))),"",J22*K22)</x:f>
      </x:c>
      <x:c r="M22" s="15"/>
      <x:c r="N22" s="15" t="str">
        <x:f>IF(COUNTA(B22:I22,M22:M22)=0,"",TEXTJOIN("; ",TRUE,IF(B22="","Missing work date",""),IF(C22="","Missing project",""),IF(E22="","Missing employee",""),IF(H22="","Missing regular hours",""),IF(K22="NO RATE","Missing pay rate","")))</x:f>
      </x:c>
    </x:row>
    <x:row r="23" ht="20" customHeight="1">
      <x:c r="A23" s="15"/>
      <x:c r="B23" s="28"/>
      <x:c r="C23" s="15"/>
      <x:c r="D23" s="15"/>
      <x:c r="E23" s="15"/>
      <x:c r="F23" s="15"/>
      <x:c r="G23" s="15"/>
      <x:c r="H23" s="136"/>
      <x:c r="I23" s="136"/>
      <x:c r="J23" s="136" t="str">
        <x:f>IF(COUNTA(H23:I23)=0,"",SUM(H23:I23))</x:f>
      </x:c>
      <x:c r="K23" s="70" t="str">
        <x:f>IF(E23="","",IFERROR(INDEX('05_Employees'!$H:$H,MATCH(E23,'05_Employees'!$A:$A,0)),"NO RATE"))</x:f>
      </x:c>
      <x:c r="L23" s="70" t="str">
        <x:f>IF(OR(J23="",NOT(ISNUMBER(K23))),"",J23*K23)</x:f>
      </x:c>
      <x:c r="M23" s="15"/>
      <x:c r="N23" s="15" t="str">
        <x:f>IF(COUNTA(B23:I23,M23:M23)=0,"",TEXTJOIN("; ",TRUE,IF(B23="","Missing work date",""),IF(C23="","Missing project",""),IF(E23="","Missing employee",""),IF(H23="","Missing regular hours",""),IF(K23="NO RATE","Missing pay rate","")))</x:f>
      </x:c>
    </x:row>
    <x:row r="24" ht="20" customHeight="1">
      <x:c r="A24" s="15"/>
      <x:c r="B24" s="28"/>
      <x:c r="C24" s="15"/>
      <x:c r="D24" s="15"/>
      <x:c r="E24" s="15"/>
      <x:c r="F24" s="15"/>
      <x:c r="G24" s="15"/>
      <x:c r="H24" s="136"/>
      <x:c r="I24" s="136"/>
      <x:c r="J24" s="136" t="str">
        <x:f>IF(COUNTA(H24:I24)=0,"",SUM(H24:I24))</x:f>
      </x:c>
      <x:c r="K24" s="70" t="str">
        <x:f>IF(E24="","",IFERROR(INDEX('05_Employees'!$H:$H,MATCH(E24,'05_Employees'!$A:$A,0)),"NO RATE"))</x:f>
      </x:c>
      <x:c r="L24" s="70" t="str">
        <x:f>IF(OR(J24="",NOT(ISNUMBER(K24))),"",J24*K24)</x:f>
      </x:c>
      <x:c r="M24" s="15"/>
      <x:c r="N24" s="15" t="str">
        <x:f>IF(COUNTA(B24:I24,M24:M24)=0,"",TEXTJOIN("; ",TRUE,IF(B24="","Missing work date",""),IF(C24="","Missing project",""),IF(E24="","Missing employee",""),IF(H24="","Missing regular hours",""),IF(K24="NO RATE","Missing pay rate","")))</x:f>
      </x:c>
    </x:row>
    <x:row r="25" ht="20" customHeight="1">
      <x:c r="A25" s="15"/>
      <x:c r="B25" s="28"/>
      <x:c r="C25" s="15"/>
      <x:c r="D25" s="15"/>
      <x:c r="E25" s="15"/>
      <x:c r="F25" s="15"/>
      <x:c r="G25" s="15"/>
      <x:c r="H25" s="136"/>
      <x:c r="I25" s="136"/>
      <x:c r="J25" s="136" t="str">
        <x:f>IF(COUNTA(H25:I25)=0,"",SUM(H25:I25))</x:f>
      </x:c>
      <x:c r="K25" s="70" t="str">
        <x:f>IF(E25="","",IFERROR(INDEX('05_Employees'!$H:$H,MATCH(E25,'05_Employees'!$A:$A,0)),"NO RATE"))</x:f>
      </x:c>
      <x:c r="L25" s="70" t="str">
        <x:f>IF(OR(J25="",NOT(ISNUMBER(K25))),"",J25*K25)</x:f>
      </x:c>
      <x:c r="M25" s="15"/>
      <x:c r="N25" s="15" t="str">
        <x:f>IF(COUNTA(B25:I25,M25:M25)=0,"",TEXTJOIN("; ",TRUE,IF(B25="","Missing work date",""),IF(C25="","Missing project",""),IF(E25="","Missing employee",""),IF(H25="","Missing regular hours",""),IF(K25="NO RATE","Missing pay rate","")))</x:f>
      </x:c>
    </x:row>
    <x:row r="26" ht="20" customHeight="1">
      <x:c r="A26" s="15"/>
      <x:c r="B26" s="28"/>
      <x:c r="C26" s="15"/>
      <x:c r="D26" s="15"/>
      <x:c r="E26" s="15"/>
      <x:c r="F26" s="15"/>
      <x:c r="G26" s="15"/>
      <x:c r="H26" s="136"/>
      <x:c r="I26" s="136"/>
      <x:c r="J26" s="136" t="str">
        <x:f>IF(COUNTA(H26:I26)=0,"",SUM(H26:I26))</x:f>
      </x:c>
      <x:c r="K26" s="70" t="str">
        <x:f>IF(E26="","",IFERROR(INDEX('05_Employees'!$H:$H,MATCH(E26,'05_Employees'!$A:$A,0)),"NO RATE"))</x:f>
      </x:c>
      <x:c r="L26" s="70" t="str">
        <x:f>IF(OR(J26="",NOT(ISNUMBER(K26))),"",J26*K26)</x:f>
      </x:c>
      <x:c r="M26" s="15"/>
      <x:c r="N26" s="15" t="str">
        <x:f>IF(COUNTA(B26:I26,M26:M26)=0,"",TEXTJOIN("; ",TRUE,IF(B26="","Missing work date",""),IF(C26="","Missing project",""),IF(E26="","Missing employee",""),IF(H26="","Missing regular hours",""),IF(K26="NO RATE","Missing pay rate","")))</x:f>
      </x:c>
    </x:row>
    <x:row r="27" ht="20" customHeight="1">
      <x:c r="A27" s="15"/>
      <x:c r="B27" s="28"/>
      <x:c r="C27" s="15"/>
      <x:c r="D27" s="15"/>
      <x:c r="E27" s="15"/>
      <x:c r="F27" s="15"/>
      <x:c r="G27" s="15"/>
      <x:c r="H27" s="136"/>
      <x:c r="I27" s="136"/>
      <x:c r="J27" s="136" t="str">
        <x:f>IF(COUNTA(H27:I27)=0,"",SUM(H27:I27))</x:f>
      </x:c>
      <x:c r="K27" s="70" t="str">
        <x:f>IF(E27="","",IFERROR(INDEX('05_Employees'!$H:$H,MATCH(E27,'05_Employees'!$A:$A,0)),"NO RATE"))</x:f>
      </x:c>
      <x:c r="L27" s="70" t="str">
        <x:f>IF(OR(J27="",NOT(ISNUMBER(K27))),"",J27*K27)</x:f>
      </x:c>
      <x:c r="M27" s="15"/>
      <x:c r="N27" s="15" t="str">
        <x:f>IF(COUNTA(B27:I27,M27:M27)=0,"",TEXTJOIN("; ",TRUE,IF(B27="","Missing work date",""),IF(C27="","Missing project",""),IF(E27="","Missing employee",""),IF(H27="","Missing regular hours",""),IF(K27="NO RATE","Missing pay rate","")))</x:f>
      </x:c>
    </x:row>
    <x:row r="28" ht="20" customHeight="1">
      <x:c r="A28" s="15"/>
      <x:c r="B28" s="28"/>
      <x:c r="C28" s="15"/>
      <x:c r="D28" s="15"/>
      <x:c r="E28" s="15"/>
      <x:c r="F28" s="15"/>
      <x:c r="G28" s="15"/>
      <x:c r="H28" s="136"/>
      <x:c r="I28" s="136"/>
      <x:c r="J28" s="136" t="str">
        <x:f>IF(COUNTA(H28:I28)=0,"",SUM(H28:I28))</x:f>
      </x:c>
      <x:c r="K28" s="70" t="str">
        <x:f>IF(E28="","",IFERROR(INDEX('05_Employees'!$H:$H,MATCH(E28,'05_Employees'!$A:$A,0)),"NO RATE"))</x:f>
      </x:c>
      <x:c r="L28" s="70" t="str">
        <x:f>IF(OR(J28="",NOT(ISNUMBER(K28))),"",J28*K28)</x:f>
      </x:c>
      <x:c r="M28" s="15"/>
      <x:c r="N28" s="15" t="str">
        <x:f>IF(COUNTA(B28:I28,M28:M28)=0,"",TEXTJOIN("; ",TRUE,IF(B28="","Missing work date",""),IF(C28="","Missing project",""),IF(E28="","Missing employee",""),IF(H28="","Missing regular hours",""),IF(K28="NO RATE","Missing pay rate","")))</x:f>
      </x:c>
    </x:row>
    <x:row r="29" ht="20" customHeight="1">
      <x:c r="A29" s="15"/>
      <x:c r="B29" s="28"/>
      <x:c r="C29" s="15"/>
      <x:c r="D29" s="15"/>
      <x:c r="E29" s="15"/>
      <x:c r="F29" s="15"/>
      <x:c r="G29" s="15"/>
      <x:c r="H29" s="136"/>
      <x:c r="I29" s="136"/>
      <x:c r="J29" s="136" t="str">
        <x:f>IF(COUNTA(H29:I29)=0,"",SUM(H29:I29))</x:f>
      </x:c>
      <x:c r="K29" s="70" t="str">
        <x:f>IF(E29="","",IFERROR(INDEX('05_Employees'!$H:$H,MATCH(E29,'05_Employees'!$A:$A,0)),"NO RATE"))</x:f>
      </x:c>
      <x:c r="L29" s="70" t="str">
        <x:f>IF(OR(J29="",NOT(ISNUMBER(K29))),"",J29*K29)</x:f>
      </x:c>
      <x:c r="M29" s="15"/>
      <x:c r="N29" s="15" t="str">
        <x:f>IF(COUNTA(B29:I29,M29:M29)=0,"",TEXTJOIN("; ",TRUE,IF(B29="","Missing work date",""),IF(C29="","Missing project",""),IF(E29="","Missing employee",""),IF(H29="","Missing regular hours",""),IF(K29="NO RATE","Missing pay rate","")))</x:f>
      </x:c>
    </x:row>
    <x:row r="30" ht="20" customHeight="1">
      <x:c r="A30" s="15"/>
      <x:c r="B30" s="28"/>
      <x:c r="C30" s="15"/>
      <x:c r="D30" s="15"/>
      <x:c r="E30" s="15"/>
      <x:c r="F30" s="15"/>
      <x:c r="G30" s="15"/>
      <x:c r="H30" s="136"/>
      <x:c r="I30" s="136"/>
      <x:c r="J30" s="136" t="str">
        <x:f>IF(COUNTA(H30:I30)=0,"",SUM(H30:I30))</x:f>
      </x:c>
      <x:c r="K30" s="70" t="str">
        <x:f>IF(E30="","",IFERROR(INDEX('05_Employees'!$H:$H,MATCH(E30,'05_Employees'!$A:$A,0)),"NO RATE"))</x:f>
      </x:c>
      <x:c r="L30" s="70" t="str">
        <x:f>IF(OR(J30="",NOT(ISNUMBER(K30))),"",J30*K30)</x:f>
      </x:c>
      <x:c r="M30" s="15"/>
      <x:c r="N30" s="15" t="str">
        <x:f>IF(COUNTA(B30:I30,M30:M30)=0,"",TEXTJOIN("; ",TRUE,IF(B30="","Missing work date",""),IF(C30="","Missing project",""),IF(E30="","Missing employee",""),IF(H30="","Missing regular hours",""),IF(K30="NO RATE","Missing pay rate","")))</x:f>
      </x:c>
    </x:row>
    <x:row r="31" ht="20" customHeight="1">
      <x:c r="A31" s="15"/>
      <x:c r="B31" s="28"/>
      <x:c r="C31" s="15"/>
      <x:c r="D31" s="15"/>
      <x:c r="E31" s="15"/>
      <x:c r="F31" s="15"/>
      <x:c r="G31" s="15"/>
      <x:c r="H31" s="136"/>
      <x:c r="I31" s="136"/>
      <x:c r="J31" s="136" t="str">
        <x:f>IF(COUNTA(H31:I31)=0,"",SUM(H31:I31))</x:f>
      </x:c>
      <x:c r="K31" s="70" t="str">
        <x:f>IF(E31="","",IFERROR(INDEX('05_Employees'!$H:$H,MATCH(E31,'05_Employees'!$A:$A,0)),"NO RATE"))</x:f>
      </x:c>
      <x:c r="L31" s="70" t="str">
        <x:f>IF(OR(J31="",NOT(ISNUMBER(K31))),"",J31*K31)</x:f>
      </x:c>
      <x:c r="M31" s="15"/>
      <x:c r="N31" s="15" t="str">
        <x:f>IF(COUNTA(B31:I31,M31:M31)=0,"",TEXTJOIN("; ",TRUE,IF(B31="","Missing work date",""),IF(C31="","Missing project",""),IF(E31="","Missing employee",""),IF(H31="","Missing regular hours",""),IF(K31="NO RATE","Missing pay rate","")))</x:f>
      </x:c>
    </x:row>
    <x:row r="32" ht="20" customHeight="1">
      <x:c r="A32" s="15"/>
      <x:c r="B32" s="28"/>
      <x:c r="C32" s="15"/>
      <x:c r="D32" s="15"/>
      <x:c r="E32" s="15"/>
      <x:c r="F32" s="15"/>
      <x:c r="G32" s="15"/>
      <x:c r="H32" s="136"/>
      <x:c r="I32" s="136"/>
      <x:c r="J32" s="136" t="str">
        <x:f>IF(COUNTA(H32:I32)=0,"",SUM(H32:I32))</x:f>
      </x:c>
      <x:c r="K32" s="70" t="str">
        <x:f>IF(E32="","",IFERROR(INDEX('05_Employees'!$H:$H,MATCH(E32,'05_Employees'!$A:$A,0)),"NO RATE"))</x:f>
      </x:c>
      <x:c r="L32" s="70" t="str">
        <x:f>IF(OR(J32="",NOT(ISNUMBER(K32))),"",J32*K32)</x:f>
      </x:c>
      <x:c r="M32" s="15"/>
      <x:c r="N32" s="15" t="str">
        <x:f>IF(COUNTA(B32:I32,M32:M32)=0,"",TEXTJOIN("; ",TRUE,IF(B32="","Missing work date",""),IF(C32="","Missing project",""),IF(E32="","Missing employee",""),IF(H32="","Missing regular hours",""),IF(K32="NO RATE","Missing pay rate","")))</x:f>
      </x:c>
    </x:row>
    <x:row r="33" ht="20" customHeight="1">
      <x:c r="A33" s="15"/>
      <x:c r="B33" s="28"/>
      <x:c r="C33" s="15"/>
      <x:c r="D33" s="15"/>
      <x:c r="E33" s="15"/>
      <x:c r="F33" s="15"/>
      <x:c r="G33" s="15"/>
      <x:c r="H33" s="136"/>
      <x:c r="I33" s="136"/>
      <x:c r="J33" s="136" t="str">
        <x:f>IF(COUNTA(H33:I33)=0,"",SUM(H33:I33))</x:f>
      </x:c>
      <x:c r="K33" s="70" t="str">
        <x:f>IF(E33="","",IFERROR(INDEX('05_Employees'!$H:$H,MATCH(E33,'05_Employees'!$A:$A,0)),"NO RATE"))</x:f>
      </x:c>
      <x:c r="L33" s="70" t="str">
        <x:f>IF(OR(J33="",NOT(ISNUMBER(K33))),"",J33*K33)</x:f>
      </x:c>
      <x:c r="M33" s="15"/>
      <x:c r="N33" s="15" t="str">
        <x:f>IF(COUNTA(B33:I33,M33:M33)=0,"",TEXTJOIN("; ",TRUE,IF(B33="","Missing work date",""),IF(C33="","Missing project",""),IF(E33="","Missing employee",""),IF(H33="","Missing regular hours",""),IF(K33="NO RATE","Missing pay rate","")))</x:f>
      </x:c>
    </x:row>
    <x:row r="34" ht="20" customHeight="1">
      <x:c r="A34" s="15"/>
      <x:c r="B34" s="28"/>
      <x:c r="C34" s="15"/>
      <x:c r="D34" s="15"/>
      <x:c r="E34" s="15"/>
      <x:c r="F34" s="15"/>
      <x:c r="G34" s="15"/>
      <x:c r="H34" s="136"/>
      <x:c r="I34" s="136"/>
      <x:c r="J34" s="136" t="str">
        <x:f>IF(COUNTA(H34:I34)=0,"",SUM(H34:I34))</x:f>
      </x:c>
      <x:c r="K34" s="70" t="str">
        <x:f>IF(E34="","",IFERROR(INDEX('05_Employees'!$H:$H,MATCH(E34,'05_Employees'!$A:$A,0)),"NO RATE"))</x:f>
      </x:c>
      <x:c r="L34" s="70" t="str">
        <x:f>IF(OR(J34="",NOT(ISNUMBER(K34))),"",J34*K34)</x:f>
      </x:c>
      <x:c r="M34" s="15"/>
      <x:c r="N34" s="15" t="str">
        <x:f>IF(COUNTA(B34:I34,M34:M34)=0,"",TEXTJOIN("; ",TRUE,IF(B34="","Missing work date",""),IF(C34="","Missing project",""),IF(E34="","Missing employee",""),IF(H34="","Missing regular hours",""),IF(K34="NO RATE","Missing pay rate","")))</x:f>
      </x:c>
    </x:row>
    <x:row r="35" ht="20" customHeight="1">
      <x:c r="A35" s="15"/>
      <x:c r="B35" s="28"/>
      <x:c r="C35" s="15"/>
      <x:c r="D35" s="15"/>
      <x:c r="E35" s="15"/>
      <x:c r="F35" s="15"/>
      <x:c r="G35" s="15"/>
      <x:c r="H35" s="136"/>
      <x:c r="I35" s="136"/>
      <x:c r="J35" s="136" t="str">
        <x:f>IF(COUNTA(H35:I35)=0,"",SUM(H35:I35))</x:f>
      </x:c>
      <x:c r="K35" s="70" t="str">
        <x:f>IF(E35="","",IFERROR(INDEX('05_Employees'!$H:$H,MATCH(E35,'05_Employees'!$A:$A,0)),"NO RATE"))</x:f>
      </x:c>
      <x:c r="L35" s="70" t="str">
        <x:f>IF(OR(J35="",NOT(ISNUMBER(K35))),"",J35*K35)</x:f>
      </x:c>
      <x:c r="M35" s="15"/>
      <x:c r="N35" s="15" t="str">
        <x:f>IF(COUNTA(B35:I35,M35:M35)=0,"",TEXTJOIN("; ",TRUE,IF(B35="","Missing work date",""),IF(C35="","Missing project",""),IF(E35="","Missing employee",""),IF(H35="","Missing regular hours",""),IF(K35="NO RATE","Missing pay rate","")))</x:f>
      </x:c>
    </x:row>
    <x:row r="36" ht="20" customHeight="1">
      <x:c r="A36" s="15"/>
      <x:c r="B36" s="28"/>
      <x:c r="C36" s="15"/>
      <x:c r="D36" s="15"/>
      <x:c r="E36" s="15"/>
      <x:c r="F36" s="15"/>
      <x:c r="G36" s="15"/>
      <x:c r="H36" s="136"/>
      <x:c r="I36" s="136"/>
      <x:c r="J36" s="136" t="str">
        <x:f>IF(COUNTA(H36:I36)=0,"",SUM(H36:I36))</x:f>
      </x:c>
      <x:c r="K36" s="70" t="str">
        <x:f>IF(E36="","",IFERROR(INDEX('05_Employees'!$H:$H,MATCH(E36,'05_Employees'!$A:$A,0)),"NO RATE"))</x:f>
      </x:c>
      <x:c r="L36" s="70" t="str">
        <x:f>IF(OR(J36="",NOT(ISNUMBER(K36))),"",J36*K36)</x:f>
      </x:c>
      <x:c r="M36" s="15"/>
      <x:c r="N36" s="15" t="str">
        <x:f>IF(COUNTA(B36:I36,M36:M36)=0,"",TEXTJOIN("; ",TRUE,IF(B36="","Missing work date",""),IF(C36="","Missing project",""),IF(E36="","Missing employee",""),IF(H36="","Missing regular hours",""),IF(K36="NO RATE","Missing pay rate","")))</x:f>
      </x:c>
    </x:row>
    <x:row r="37" ht="20" customHeight="1">
      <x:c r="A37" s="15"/>
      <x:c r="B37" s="28"/>
      <x:c r="C37" s="15"/>
      <x:c r="D37" s="15"/>
      <x:c r="E37" s="15"/>
      <x:c r="F37" s="15"/>
      <x:c r="G37" s="15"/>
      <x:c r="H37" s="136"/>
      <x:c r="I37" s="136"/>
      <x:c r="J37" s="136" t="str">
        <x:f>IF(COUNTA(H37:I37)=0,"",SUM(H37:I37))</x:f>
      </x:c>
      <x:c r="K37" s="70" t="str">
        <x:f>IF(E37="","",IFERROR(INDEX('05_Employees'!$H:$H,MATCH(E37,'05_Employees'!$A:$A,0)),"NO RATE"))</x:f>
      </x:c>
      <x:c r="L37" s="70" t="str">
        <x:f>IF(OR(J37="",NOT(ISNUMBER(K37))),"",J37*K37)</x:f>
      </x:c>
      <x:c r="M37" s="15"/>
      <x:c r="N37" s="15" t="str">
        <x:f>IF(COUNTA(B37:I37,M37:M37)=0,"",TEXTJOIN("; ",TRUE,IF(B37="","Missing work date",""),IF(C37="","Missing project",""),IF(E37="","Missing employee",""),IF(H37="","Missing regular hours",""),IF(K37="NO RATE","Missing pay rate","")))</x:f>
      </x:c>
    </x:row>
    <x:row r="38" ht="20" customHeight="1">
      <x:c r="A38" s="15"/>
      <x:c r="B38" s="28"/>
      <x:c r="C38" s="15"/>
      <x:c r="D38" s="15"/>
      <x:c r="E38" s="15"/>
      <x:c r="F38" s="15"/>
      <x:c r="G38" s="15"/>
      <x:c r="H38" s="136"/>
      <x:c r="I38" s="136"/>
      <x:c r="J38" s="136" t="str">
        <x:f>IF(COUNTA(H38:I38)=0,"",SUM(H38:I38))</x:f>
      </x:c>
      <x:c r="K38" s="70" t="str">
        <x:f>IF(E38="","",IFERROR(INDEX('05_Employees'!$H:$H,MATCH(E38,'05_Employees'!$A:$A,0)),"NO RATE"))</x:f>
      </x:c>
      <x:c r="L38" s="70" t="str">
        <x:f>IF(OR(J38="",NOT(ISNUMBER(K38))),"",J38*K38)</x:f>
      </x:c>
      <x:c r="M38" s="15"/>
      <x:c r="N38" s="15" t="str">
        <x:f>IF(COUNTA(B38:I38,M38:M38)=0,"",TEXTJOIN("; ",TRUE,IF(B38="","Missing work date",""),IF(C38="","Missing project",""),IF(E38="","Missing employee",""),IF(H38="","Missing regular hours",""),IF(K38="NO RATE","Missing pay rate","")))</x:f>
      </x:c>
    </x:row>
    <x:row r="39" ht="20" customHeight="1">
      <x:c r="A39" s="15"/>
      <x:c r="B39" s="28"/>
      <x:c r="C39" s="15"/>
      <x:c r="D39" s="15"/>
      <x:c r="E39" s="15"/>
      <x:c r="F39" s="15"/>
      <x:c r="G39" s="15"/>
      <x:c r="H39" s="136"/>
      <x:c r="I39" s="136"/>
      <x:c r="J39" s="136" t="str">
        <x:f>IF(COUNTA(H39:I39)=0,"",SUM(H39:I39))</x:f>
      </x:c>
      <x:c r="K39" s="70" t="str">
        <x:f>IF(E39="","",IFERROR(INDEX('05_Employees'!$H:$H,MATCH(E39,'05_Employees'!$A:$A,0)),"NO RATE"))</x:f>
      </x:c>
      <x:c r="L39" s="70" t="str">
        <x:f>IF(OR(J39="",NOT(ISNUMBER(K39))),"",J39*K39)</x:f>
      </x:c>
      <x:c r="M39" s="15"/>
      <x:c r="N39" s="15" t="str">
        <x:f>IF(COUNTA(B39:I39,M39:M39)=0,"",TEXTJOIN("; ",TRUE,IF(B39="","Missing work date",""),IF(C39="","Missing project",""),IF(E39="","Missing employee",""),IF(H39="","Missing regular hours",""),IF(K39="NO RATE","Missing pay rate","")))</x:f>
      </x:c>
    </x:row>
    <x:row r="40" ht="20" customHeight="1">
      <x:c r="A40" s="15"/>
      <x:c r="B40" s="28"/>
      <x:c r="C40" s="15"/>
      <x:c r="D40" s="15"/>
      <x:c r="E40" s="15"/>
      <x:c r="F40" s="15"/>
      <x:c r="G40" s="15"/>
      <x:c r="H40" s="136"/>
      <x:c r="I40" s="136"/>
      <x:c r="J40" s="136" t="str">
        <x:f>IF(COUNTA(H40:I40)=0,"",SUM(H40:I40))</x:f>
      </x:c>
      <x:c r="K40" s="70" t="str">
        <x:f>IF(E40="","",IFERROR(INDEX('05_Employees'!$H:$H,MATCH(E40,'05_Employees'!$A:$A,0)),"NO RATE"))</x:f>
      </x:c>
      <x:c r="L40" s="70" t="str">
        <x:f>IF(OR(J40="",NOT(ISNUMBER(K40))),"",J40*K40)</x:f>
      </x:c>
      <x:c r="M40" s="15"/>
      <x:c r="N40" s="15" t="str">
        <x:f>IF(COUNTA(B40:I40,M40:M40)=0,"",TEXTJOIN("; ",TRUE,IF(B40="","Missing work date",""),IF(C40="","Missing project",""),IF(E40="","Missing employee",""),IF(H40="","Missing regular hours",""),IF(K40="NO RATE","Missing pay rate","")))</x:f>
      </x:c>
    </x:row>
    <x:row r="41" ht="20" customHeight="1">
      <x:c r="A41" s="15"/>
      <x:c r="B41" s="28"/>
      <x:c r="C41" s="15"/>
      <x:c r="D41" s="15"/>
      <x:c r="E41" s="15"/>
      <x:c r="F41" s="15"/>
      <x:c r="G41" s="15"/>
      <x:c r="H41" s="136"/>
      <x:c r="I41" s="136"/>
      <x:c r="J41" s="136" t="str">
        <x:f>IF(COUNTA(H41:I41)=0,"",SUM(H41:I41))</x:f>
      </x:c>
      <x:c r="K41" s="70" t="str">
        <x:f>IF(E41="","",IFERROR(INDEX('05_Employees'!$H:$H,MATCH(E41,'05_Employees'!$A:$A,0)),"NO RATE"))</x:f>
      </x:c>
      <x:c r="L41" s="70" t="str">
        <x:f>IF(OR(J41="",NOT(ISNUMBER(K41))),"",J41*K41)</x:f>
      </x:c>
      <x:c r="M41" s="15"/>
      <x:c r="N41" s="15" t="str">
        <x:f>IF(COUNTA(B41:I41,M41:M41)=0,"",TEXTJOIN("; ",TRUE,IF(B41="","Missing work date",""),IF(C41="","Missing project",""),IF(E41="","Missing employee",""),IF(H41="","Missing regular hours",""),IF(K41="NO RATE","Missing pay rate","")))</x:f>
      </x:c>
    </x:row>
    <x:row r="42" ht="20" customHeight="1">
      <x:c r="A42" s="15"/>
      <x:c r="B42" s="28"/>
      <x:c r="C42" s="15"/>
      <x:c r="D42" s="15"/>
      <x:c r="E42" s="15"/>
      <x:c r="F42" s="15"/>
      <x:c r="G42" s="15"/>
      <x:c r="H42" s="136"/>
      <x:c r="I42" s="136"/>
      <x:c r="J42" s="136" t="str">
        <x:f>IF(COUNTA(H42:I42)=0,"",SUM(H42:I42))</x:f>
      </x:c>
      <x:c r="K42" s="70" t="str">
        <x:f>IF(E42="","",IFERROR(INDEX('05_Employees'!$H:$H,MATCH(E42,'05_Employees'!$A:$A,0)),"NO RATE"))</x:f>
      </x:c>
      <x:c r="L42" s="70" t="str">
        <x:f>IF(OR(J42="",NOT(ISNUMBER(K42))),"",J42*K42)</x:f>
      </x:c>
      <x:c r="M42" s="15"/>
      <x:c r="N42" s="15" t="str">
        <x:f>IF(COUNTA(B42:I42,M42:M42)=0,"",TEXTJOIN("; ",TRUE,IF(B42="","Missing work date",""),IF(C42="","Missing project",""),IF(E42="","Missing employee",""),IF(H42="","Missing regular hours",""),IF(K42="NO RATE","Missing pay rate","")))</x:f>
      </x:c>
    </x:row>
    <x:row r="43" ht="20" customHeight="1">
      <x:c r="A43" s="15"/>
      <x:c r="B43" s="28"/>
      <x:c r="C43" s="15"/>
      <x:c r="D43" s="15"/>
      <x:c r="E43" s="15"/>
      <x:c r="F43" s="15"/>
      <x:c r="G43" s="15"/>
      <x:c r="H43" s="136"/>
      <x:c r="I43" s="136"/>
      <x:c r="J43" s="136" t="str">
        <x:f>IF(COUNTA(H43:I43)=0,"",SUM(H43:I43))</x:f>
      </x:c>
      <x:c r="K43" s="70" t="str">
        <x:f>IF(E43="","",IFERROR(INDEX('05_Employees'!$H:$H,MATCH(E43,'05_Employees'!$A:$A,0)),"NO RATE"))</x:f>
      </x:c>
      <x:c r="L43" s="70" t="str">
        <x:f>IF(OR(J43="",NOT(ISNUMBER(K43))),"",J43*K43)</x:f>
      </x:c>
      <x:c r="M43" s="15"/>
      <x:c r="N43" s="15" t="str">
        <x:f>IF(COUNTA(B43:I43,M43:M43)=0,"",TEXTJOIN("; ",TRUE,IF(B43="","Missing work date",""),IF(C43="","Missing project",""),IF(E43="","Missing employee",""),IF(H43="","Missing regular hours",""),IF(K43="NO RATE","Missing pay rate","")))</x:f>
      </x:c>
    </x:row>
    <x:row r="44" ht="20" customHeight="1">
      <x:c r="A44" s="15"/>
      <x:c r="B44" s="28"/>
      <x:c r="C44" s="15"/>
      <x:c r="D44" s="15"/>
      <x:c r="E44" s="15"/>
      <x:c r="F44" s="15"/>
      <x:c r="G44" s="15"/>
      <x:c r="H44" s="136"/>
      <x:c r="I44" s="136"/>
      <x:c r="J44" s="136" t="str">
        <x:f>IF(COUNTA(H44:I44)=0,"",SUM(H44:I44))</x:f>
      </x:c>
      <x:c r="K44" s="70" t="str">
        <x:f>IF(E44="","",IFERROR(INDEX('05_Employees'!$H:$H,MATCH(E44,'05_Employees'!$A:$A,0)),"NO RATE"))</x:f>
      </x:c>
      <x:c r="L44" s="70" t="str">
        <x:f>IF(OR(J44="",NOT(ISNUMBER(K44))),"",J44*K44)</x:f>
      </x:c>
      <x:c r="M44" s="15"/>
      <x:c r="N44" s="15" t="str">
        <x:f>IF(COUNTA(B44:I44,M44:M44)=0,"",TEXTJOIN("; ",TRUE,IF(B44="","Missing work date",""),IF(C44="","Missing project",""),IF(E44="","Missing employee",""),IF(H44="","Missing regular hours",""),IF(K44="NO RATE","Missing pay rate","")))</x:f>
      </x:c>
    </x:row>
    <x:row r="45" ht="20" customHeight="1">
      <x:c r="A45" s="15"/>
      <x:c r="B45" s="28"/>
      <x:c r="C45" s="15"/>
      <x:c r="D45" s="15"/>
      <x:c r="E45" s="15"/>
      <x:c r="F45" s="15"/>
      <x:c r="G45" s="15"/>
      <x:c r="H45" s="136"/>
      <x:c r="I45" s="136"/>
      <x:c r="J45" s="136" t="str">
        <x:f>IF(COUNTA(H45:I45)=0,"",SUM(H45:I45))</x:f>
      </x:c>
      <x:c r="K45" s="70" t="str">
        <x:f>IF(E45="","",IFERROR(INDEX('05_Employees'!$H:$H,MATCH(E45,'05_Employees'!$A:$A,0)),"NO RATE"))</x:f>
      </x:c>
      <x:c r="L45" s="70" t="str">
        <x:f>IF(OR(J45="",NOT(ISNUMBER(K45))),"",J45*K45)</x:f>
      </x:c>
      <x:c r="M45" s="15"/>
      <x:c r="N45" s="15" t="str">
        <x:f>IF(COUNTA(B45:I45,M45:M45)=0,"",TEXTJOIN("; ",TRUE,IF(B45="","Missing work date",""),IF(C45="","Missing project",""),IF(E45="","Missing employee",""),IF(H45="","Missing regular hours",""),IF(K45="NO RATE","Missing pay rate","")))</x:f>
      </x:c>
    </x:row>
    <x:row r="46" ht="20" customHeight="1">
      <x:c r="A46" s="15"/>
      <x:c r="B46" s="28"/>
      <x:c r="C46" s="15"/>
      <x:c r="D46" s="15"/>
      <x:c r="E46" s="15"/>
      <x:c r="F46" s="15"/>
      <x:c r="G46" s="15"/>
      <x:c r="H46" s="136"/>
      <x:c r="I46" s="136"/>
      <x:c r="J46" s="136" t="str">
        <x:f>IF(COUNTA(H46:I46)=0,"",SUM(H46:I46))</x:f>
      </x:c>
      <x:c r="K46" s="70" t="str">
        <x:f>IF(E46="","",IFERROR(INDEX('05_Employees'!$H:$H,MATCH(E46,'05_Employees'!$A:$A,0)),"NO RATE"))</x:f>
      </x:c>
      <x:c r="L46" s="70" t="str">
        <x:f>IF(OR(J46="",NOT(ISNUMBER(K46))),"",J46*K46)</x:f>
      </x:c>
      <x:c r="M46" s="15"/>
      <x:c r="N46" s="15" t="str">
        <x:f>IF(COUNTA(B46:I46,M46:M46)=0,"",TEXTJOIN("; ",TRUE,IF(B46="","Missing work date",""),IF(C46="","Missing project",""),IF(E46="","Missing employee",""),IF(H46="","Missing regular hours",""),IF(K46="NO RATE","Missing pay rate","")))</x:f>
      </x:c>
    </x:row>
    <x:row r="47" ht="20" customHeight="1">
      <x:c r="A47" s="15"/>
      <x:c r="B47" s="28"/>
      <x:c r="C47" s="15"/>
      <x:c r="D47" s="15"/>
      <x:c r="E47" s="15"/>
      <x:c r="F47" s="15"/>
      <x:c r="G47" s="15"/>
      <x:c r="H47" s="136"/>
      <x:c r="I47" s="136"/>
      <x:c r="J47" s="136" t="str">
        <x:f>IF(COUNTA(H47:I47)=0,"",SUM(H47:I47))</x:f>
      </x:c>
      <x:c r="K47" s="70" t="str">
        <x:f>IF(E47="","",IFERROR(INDEX('05_Employees'!$H:$H,MATCH(E47,'05_Employees'!$A:$A,0)),"NO RATE"))</x:f>
      </x:c>
      <x:c r="L47" s="70" t="str">
        <x:f>IF(OR(J47="",NOT(ISNUMBER(K47))),"",J47*K47)</x:f>
      </x:c>
      <x:c r="M47" s="15"/>
      <x:c r="N47" s="15" t="str">
        <x:f>IF(COUNTA(B47:I47,M47:M47)=0,"",TEXTJOIN("; ",TRUE,IF(B47="","Missing work date",""),IF(C47="","Missing project",""),IF(E47="","Missing employee",""),IF(H47="","Missing regular hours",""),IF(K47="NO RATE","Missing pay rate","")))</x:f>
      </x:c>
    </x:row>
    <x:row r="48" ht="20" customHeight="1">
      <x:c r="A48" s="15"/>
      <x:c r="B48" s="28"/>
      <x:c r="C48" s="15"/>
      <x:c r="D48" s="15"/>
      <x:c r="E48" s="15"/>
      <x:c r="F48" s="15"/>
      <x:c r="G48" s="15"/>
      <x:c r="H48" s="136"/>
      <x:c r="I48" s="136"/>
      <x:c r="J48" s="136" t="str">
        <x:f>IF(COUNTA(H48:I48)=0,"",SUM(H48:I48))</x:f>
      </x:c>
      <x:c r="K48" s="70" t="str">
        <x:f>IF(E48="","",IFERROR(INDEX('05_Employees'!$H:$H,MATCH(E48,'05_Employees'!$A:$A,0)),"NO RATE"))</x:f>
      </x:c>
      <x:c r="L48" s="70" t="str">
        <x:f>IF(OR(J48="",NOT(ISNUMBER(K48))),"",J48*K48)</x:f>
      </x:c>
      <x:c r="M48" s="15"/>
      <x:c r="N48" s="15" t="str">
        <x:f>IF(COUNTA(B48:I48,M48:M48)=0,"",TEXTJOIN("; ",TRUE,IF(B48="","Missing work date",""),IF(C48="","Missing project",""),IF(E48="","Missing employee",""),IF(H48="","Missing regular hours",""),IF(K48="NO RATE","Missing pay rate","")))</x:f>
      </x:c>
    </x:row>
    <x:row r="49" ht="20" customHeight="1">
      <x:c r="A49" s="15"/>
      <x:c r="B49" s="28"/>
      <x:c r="C49" s="15"/>
      <x:c r="D49" s="15"/>
      <x:c r="E49" s="15"/>
      <x:c r="F49" s="15"/>
      <x:c r="G49" s="15"/>
      <x:c r="H49" s="136"/>
      <x:c r="I49" s="136"/>
      <x:c r="J49" s="136" t="str">
        <x:f>IF(COUNTA(H49:I49)=0,"",SUM(H49:I49))</x:f>
      </x:c>
      <x:c r="K49" s="70" t="str">
        <x:f>IF(E49="","",IFERROR(INDEX('05_Employees'!$H:$H,MATCH(E49,'05_Employees'!$A:$A,0)),"NO RATE"))</x:f>
      </x:c>
      <x:c r="L49" s="70" t="str">
        <x:f>IF(OR(J49="",NOT(ISNUMBER(K49))),"",J49*K49)</x:f>
      </x:c>
      <x:c r="M49" s="15"/>
      <x:c r="N49" s="15" t="str">
        <x:f>IF(COUNTA(B49:I49,M49:M49)=0,"",TEXTJOIN("; ",TRUE,IF(B49="","Missing work date",""),IF(C49="","Missing project",""),IF(E49="","Missing employee",""),IF(H49="","Missing regular hours",""),IF(K49="NO RATE","Missing pay rate","")))</x:f>
      </x:c>
    </x:row>
    <x:row r="50" ht="20" customHeight="1">
      <x:c r="A50" s="15"/>
      <x:c r="B50" s="28"/>
      <x:c r="C50" s="15"/>
      <x:c r="D50" s="15"/>
      <x:c r="E50" s="15"/>
      <x:c r="F50" s="15"/>
      <x:c r="G50" s="15"/>
      <x:c r="H50" s="136"/>
      <x:c r="I50" s="136"/>
      <x:c r="J50" s="136" t="str">
        <x:f>IF(COUNTA(H50:I50)=0,"",SUM(H50:I50))</x:f>
      </x:c>
      <x:c r="K50" s="70" t="str">
        <x:f>IF(E50="","",IFERROR(INDEX('05_Employees'!$H:$H,MATCH(E50,'05_Employees'!$A:$A,0)),"NO RATE"))</x:f>
      </x:c>
      <x:c r="L50" s="70" t="str">
        <x:f>IF(OR(J50="",NOT(ISNUMBER(K50))),"",J50*K50)</x:f>
      </x:c>
      <x:c r="M50" s="15"/>
      <x:c r="N50" s="15" t="str">
        <x:f>IF(COUNTA(B50:I50,M50:M50)=0,"",TEXTJOIN("; ",TRUE,IF(B50="","Missing work date",""),IF(C50="","Missing project",""),IF(E50="","Missing employee",""),IF(H50="","Missing regular hours",""),IF(K50="NO RATE","Missing pay rate","")))</x:f>
      </x:c>
    </x:row>
    <x:row r="51" ht="20" customHeight="1">
      <x:c r="A51" s="15"/>
      <x:c r="B51" s="28"/>
      <x:c r="C51" s="15"/>
      <x:c r="D51" s="15"/>
      <x:c r="E51" s="15"/>
      <x:c r="F51" s="15"/>
      <x:c r="G51" s="15"/>
      <x:c r="H51" s="136"/>
      <x:c r="I51" s="136"/>
      <x:c r="J51" s="136" t="str">
        <x:f>IF(COUNTA(H51:I51)=0,"",SUM(H51:I51))</x:f>
      </x:c>
      <x:c r="K51" s="70" t="str">
        <x:f>IF(E51="","",IFERROR(INDEX('05_Employees'!$H:$H,MATCH(E51,'05_Employees'!$A:$A,0)),"NO RATE"))</x:f>
      </x:c>
      <x:c r="L51" s="70" t="str">
        <x:f>IF(OR(J51="",NOT(ISNUMBER(K51))),"",J51*K51)</x:f>
      </x:c>
      <x:c r="M51" s="15"/>
      <x:c r="N51" s="15" t="str">
        <x:f>IF(COUNTA(B51:I51,M51:M51)=0,"",TEXTJOIN("; ",TRUE,IF(B51="","Missing work date",""),IF(C51="","Missing project",""),IF(E51="","Missing employee",""),IF(H51="","Missing regular hours",""),IF(K51="NO RATE","Missing pay rate","")))</x:f>
      </x:c>
    </x:row>
    <x:row r="52" ht="20" customHeight="1">
      <x:c r="A52" s="15"/>
      <x:c r="B52" s="28"/>
      <x:c r="C52" s="15"/>
      <x:c r="D52" s="15"/>
      <x:c r="E52" s="15"/>
      <x:c r="F52" s="15"/>
      <x:c r="G52" s="15"/>
      <x:c r="H52" s="136"/>
      <x:c r="I52" s="136"/>
      <x:c r="J52" s="136" t="str">
        <x:f>IF(COUNTA(H52:I52)=0,"",SUM(H52:I52))</x:f>
      </x:c>
      <x:c r="K52" s="70" t="str">
        <x:f>IF(E52="","",IFERROR(INDEX('05_Employees'!$H:$H,MATCH(E52,'05_Employees'!$A:$A,0)),"NO RATE"))</x:f>
      </x:c>
      <x:c r="L52" s="70" t="str">
        <x:f>IF(OR(J52="",NOT(ISNUMBER(K52))),"",J52*K52)</x:f>
      </x:c>
      <x:c r="M52" s="15"/>
      <x:c r="N52" s="15" t="str">
        <x:f>IF(COUNTA(B52:I52,M52:M52)=0,"",TEXTJOIN("; ",TRUE,IF(B52="","Missing work date",""),IF(C52="","Missing project",""),IF(E52="","Missing employee",""),IF(H52="","Missing regular hours",""),IF(K52="NO RATE","Missing pay rate","")))</x:f>
      </x:c>
    </x:row>
    <x:row r="53" ht="20" customHeight="1">
      <x:c r="A53" s="15"/>
      <x:c r="B53" s="28"/>
      <x:c r="C53" s="15"/>
      <x:c r="D53" s="15"/>
      <x:c r="E53" s="15"/>
      <x:c r="F53" s="15"/>
      <x:c r="G53" s="15"/>
      <x:c r="H53" s="136"/>
      <x:c r="I53" s="136"/>
      <x:c r="J53" s="136" t="str">
        <x:f>IF(COUNTA(H53:I53)=0,"",SUM(H53:I53))</x:f>
      </x:c>
      <x:c r="K53" s="70" t="str">
        <x:f>IF(E53="","",IFERROR(INDEX('05_Employees'!$H:$H,MATCH(E53,'05_Employees'!$A:$A,0)),"NO RATE"))</x:f>
      </x:c>
      <x:c r="L53" s="70" t="str">
        <x:f>IF(OR(J53="",NOT(ISNUMBER(K53))),"",J53*K53)</x:f>
      </x:c>
      <x:c r="M53" s="15"/>
      <x:c r="N53" s="15" t="str">
        <x:f>IF(COUNTA(B53:I53,M53:M53)=0,"",TEXTJOIN("; ",TRUE,IF(B53="","Missing work date",""),IF(C53="","Missing project",""),IF(E53="","Missing employee",""),IF(H53="","Missing regular hours",""),IF(K53="NO RATE","Missing pay rate","")))</x:f>
      </x:c>
    </x:row>
    <x:row r="54" ht="20" customHeight="1">
      <x:c r="A54" s="15"/>
      <x:c r="B54" s="28"/>
      <x:c r="C54" s="15"/>
      <x:c r="D54" s="15"/>
      <x:c r="E54" s="15"/>
      <x:c r="F54" s="15"/>
      <x:c r="G54" s="15"/>
      <x:c r="H54" s="136"/>
      <x:c r="I54" s="136"/>
      <x:c r="J54" s="136" t="str">
        <x:f>IF(COUNTA(H54:I54)=0,"",SUM(H54:I54))</x:f>
      </x:c>
      <x:c r="K54" s="70" t="str">
        <x:f>IF(E54="","",IFERROR(INDEX('05_Employees'!$H:$H,MATCH(E54,'05_Employees'!$A:$A,0)),"NO RATE"))</x:f>
      </x:c>
      <x:c r="L54" s="70" t="str">
        <x:f>IF(OR(J54="",NOT(ISNUMBER(K54))),"",J54*K54)</x:f>
      </x:c>
      <x:c r="M54" s="15"/>
      <x:c r="N54" s="15" t="str">
        <x:f>IF(COUNTA(B54:I54,M54:M54)=0,"",TEXTJOIN("; ",TRUE,IF(B54="","Missing work date",""),IF(C54="","Missing project",""),IF(E54="","Missing employee",""),IF(H54="","Missing regular hours",""),IF(K54="NO RATE","Missing pay rate","")))</x:f>
      </x:c>
    </x:row>
    <x:row r="55" ht="20" customHeight="1">
      <x:c r="A55" s="15"/>
      <x:c r="B55" s="28"/>
      <x:c r="C55" s="15"/>
      <x:c r="D55" s="15"/>
      <x:c r="E55" s="15"/>
      <x:c r="F55" s="15"/>
      <x:c r="G55" s="15"/>
      <x:c r="H55" s="136"/>
      <x:c r="I55" s="136"/>
      <x:c r="J55" s="136" t="str">
        <x:f>IF(COUNTA(H55:I55)=0,"",SUM(H55:I55))</x:f>
      </x:c>
      <x:c r="K55" s="70" t="str">
        <x:f>IF(E55="","",IFERROR(INDEX('05_Employees'!$H:$H,MATCH(E55,'05_Employees'!$A:$A,0)),"NO RATE"))</x:f>
      </x:c>
      <x:c r="L55" s="70" t="str">
        <x:f>IF(OR(J55="",NOT(ISNUMBER(K55))),"",J55*K55)</x:f>
      </x:c>
      <x:c r="M55" s="15"/>
      <x:c r="N55" s="15" t="str">
        <x:f>IF(COUNTA(B55:I55,M55:M55)=0,"",TEXTJOIN("; ",TRUE,IF(B55="","Missing work date",""),IF(C55="","Missing project",""),IF(E55="","Missing employee",""),IF(H55="","Missing regular hours",""),IF(K55="NO RATE","Missing pay rate","")))</x:f>
      </x:c>
    </x:row>
    <x:row r="56" ht="20" customHeight="1">
      <x:c r="A56" s="15"/>
      <x:c r="B56" s="28"/>
      <x:c r="C56" s="15"/>
      <x:c r="D56" s="15"/>
      <x:c r="E56" s="15"/>
      <x:c r="F56" s="15"/>
      <x:c r="G56" s="15"/>
      <x:c r="H56" s="136"/>
      <x:c r="I56" s="136"/>
      <x:c r="J56" s="136" t="str">
        <x:f>IF(COUNTA(H56:I56)=0,"",SUM(H56:I56))</x:f>
      </x:c>
      <x:c r="K56" s="70" t="str">
        <x:f>IF(E56="","",IFERROR(INDEX('05_Employees'!$H:$H,MATCH(E56,'05_Employees'!$A:$A,0)),"NO RATE"))</x:f>
      </x:c>
      <x:c r="L56" s="70" t="str">
        <x:f>IF(OR(J56="",NOT(ISNUMBER(K56))),"",J56*K56)</x:f>
      </x:c>
      <x:c r="M56" s="15"/>
      <x:c r="N56" s="15" t="str">
        <x:f>IF(COUNTA(B56:I56,M56:M56)=0,"",TEXTJOIN("; ",TRUE,IF(B56="","Missing work date",""),IF(C56="","Missing project",""),IF(E56="","Missing employee",""),IF(H56="","Missing regular hours",""),IF(K56="NO RATE","Missing pay rate","")))</x:f>
      </x:c>
    </x:row>
    <x:row r="57" ht="20" customHeight="1">
      <x:c r="A57" s="15"/>
      <x:c r="B57" s="28"/>
      <x:c r="C57" s="15"/>
      <x:c r="D57" s="15"/>
      <x:c r="E57" s="15"/>
      <x:c r="F57" s="15"/>
      <x:c r="G57" s="15"/>
      <x:c r="H57" s="136"/>
      <x:c r="I57" s="136"/>
      <x:c r="J57" s="136" t="str">
        <x:f>IF(COUNTA(H57:I57)=0,"",SUM(H57:I57))</x:f>
      </x:c>
      <x:c r="K57" s="70" t="str">
        <x:f>IF(E57="","",IFERROR(INDEX('05_Employees'!$H:$H,MATCH(E57,'05_Employees'!$A:$A,0)),"NO RATE"))</x:f>
      </x:c>
      <x:c r="L57" s="70" t="str">
        <x:f>IF(OR(J57="",NOT(ISNUMBER(K57))),"",J57*K57)</x:f>
      </x:c>
      <x:c r="M57" s="15"/>
      <x:c r="N57" s="15" t="str">
        <x:f>IF(COUNTA(B57:I57,M57:M57)=0,"",TEXTJOIN("; ",TRUE,IF(B57="","Missing work date",""),IF(C57="","Missing project",""),IF(E57="","Missing employee",""),IF(H57="","Missing regular hours",""),IF(K57="NO RATE","Missing pay rate","")))</x:f>
      </x:c>
    </x:row>
    <x:row r="58" ht="20" customHeight="1">
      <x:c r="A58" s="15"/>
      <x:c r="B58" s="28"/>
      <x:c r="C58" s="15"/>
      <x:c r="D58" s="15"/>
      <x:c r="E58" s="15"/>
      <x:c r="F58" s="15"/>
      <x:c r="G58" s="15"/>
      <x:c r="H58" s="136"/>
      <x:c r="I58" s="136"/>
      <x:c r="J58" s="136" t="str">
        <x:f>IF(COUNTA(H58:I58)=0,"",SUM(H58:I58))</x:f>
      </x:c>
      <x:c r="K58" s="70" t="str">
        <x:f>IF(E58="","",IFERROR(INDEX('05_Employees'!$H:$H,MATCH(E58,'05_Employees'!$A:$A,0)),"NO RATE"))</x:f>
      </x:c>
      <x:c r="L58" s="70" t="str">
        <x:f>IF(OR(J58="",NOT(ISNUMBER(K58))),"",J58*K58)</x:f>
      </x:c>
      <x:c r="M58" s="15"/>
      <x:c r="N58" s="15" t="str">
        <x:f>IF(COUNTA(B58:I58,M58:M58)=0,"",TEXTJOIN("; ",TRUE,IF(B58="","Missing work date",""),IF(C58="","Missing project",""),IF(E58="","Missing employee",""),IF(H58="","Missing regular hours",""),IF(K58="NO RATE","Missing pay rate","")))</x:f>
      </x:c>
    </x:row>
    <x:row r="59" ht="20" customHeight="1">
      <x:c r="A59" s="15"/>
      <x:c r="B59" s="28"/>
      <x:c r="C59" s="15"/>
      <x:c r="D59" s="15"/>
      <x:c r="E59" s="15"/>
      <x:c r="F59" s="15"/>
      <x:c r="G59" s="15"/>
      <x:c r="H59" s="136"/>
      <x:c r="I59" s="136"/>
      <x:c r="J59" s="136" t="str">
        <x:f>IF(COUNTA(H59:I59)=0,"",SUM(H59:I59))</x:f>
      </x:c>
      <x:c r="K59" s="70" t="str">
        <x:f>IF(E59="","",IFERROR(INDEX('05_Employees'!$H:$H,MATCH(E59,'05_Employees'!$A:$A,0)),"NO RATE"))</x:f>
      </x:c>
      <x:c r="L59" s="70" t="str">
        <x:f>IF(OR(J59="",NOT(ISNUMBER(K59))),"",J59*K59)</x:f>
      </x:c>
      <x:c r="M59" s="15"/>
      <x:c r="N59" s="15" t="str">
        <x:f>IF(COUNTA(B59:I59,M59:M59)=0,"",TEXTJOIN("; ",TRUE,IF(B59="","Missing work date",""),IF(C59="","Missing project",""),IF(E59="","Missing employee",""),IF(H59="","Missing regular hours",""),IF(K59="NO RATE","Missing pay rate","")))</x:f>
      </x:c>
    </x:row>
    <x:row r="60" ht="20" customHeight="1">
      <x:c r="A60" s="15"/>
      <x:c r="B60" s="28"/>
      <x:c r="C60" s="15"/>
      <x:c r="D60" s="15"/>
      <x:c r="E60" s="15"/>
      <x:c r="F60" s="15"/>
      <x:c r="G60" s="15"/>
      <x:c r="H60" s="136"/>
      <x:c r="I60" s="136"/>
      <x:c r="J60" s="136" t="str">
        <x:f>IF(COUNTA(H60:I60)=0,"",SUM(H60:I60))</x:f>
      </x:c>
      <x:c r="K60" s="70" t="str">
        <x:f>IF(E60="","",IFERROR(INDEX('05_Employees'!$H:$H,MATCH(E60,'05_Employees'!$A:$A,0)),"NO RATE"))</x:f>
      </x:c>
      <x:c r="L60" s="70" t="str">
        <x:f>IF(OR(J60="",NOT(ISNUMBER(K60))),"",J60*K60)</x:f>
      </x:c>
      <x:c r="M60" s="15"/>
      <x:c r="N60" s="15" t="str">
        <x:f>IF(COUNTA(B60:I60,M60:M60)=0,"",TEXTJOIN("; ",TRUE,IF(B60="","Missing work date",""),IF(C60="","Missing project",""),IF(E60="","Missing employee",""),IF(H60="","Missing regular hours",""),IF(K60="NO RATE","Missing pay rate","")))</x:f>
      </x:c>
    </x:row>
    <x:row r="61" ht="20" customHeight="1">
      <x:c r="A61" s="15"/>
      <x:c r="B61" s="28"/>
      <x:c r="C61" s="15"/>
      <x:c r="D61" s="15"/>
      <x:c r="E61" s="15"/>
      <x:c r="F61" s="15"/>
      <x:c r="G61" s="15"/>
      <x:c r="H61" s="136"/>
      <x:c r="I61" s="136"/>
      <x:c r="J61" s="136" t="str">
        <x:f>IF(COUNTA(H61:I61)=0,"",SUM(H61:I61))</x:f>
      </x:c>
      <x:c r="K61" s="70" t="str">
        <x:f>IF(E61="","",IFERROR(INDEX('05_Employees'!$H:$H,MATCH(E61,'05_Employees'!$A:$A,0)),"NO RATE"))</x:f>
      </x:c>
      <x:c r="L61" s="70" t="str">
        <x:f>IF(OR(J61="",NOT(ISNUMBER(K61))),"",J61*K61)</x:f>
      </x:c>
      <x:c r="M61" s="15"/>
      <x:c r="N61" s="15" t="str">
        <x:f>IF(COUNTA(B61:I61,M61:M61)=0,"",TEXTJOIN("; ",TRUE,IF(B61="","Missing work date",""),IF(C61="","Missing project",""),IF(E61="","Missing employee",""),IF(H61="","Missing regular hours",""),IF(K61="NO RATE","Missing pay rate","")))</x:f>
      </x:c>
    </x:row>
    <x:row r="62" ht="20" customHeight="1">
      <x:c r="A62" s="15"/>
      <x:c r="B62" s="28"/>
      <x:c r="C62" s="15"/>
      <x:c r="D62" s="15"/>
      <x:c r="E62" s="15"/>
      <x:c r="F62" s="15"/>
      <x:c r="G62" s="15"/>
      <x:c r="H62" s="136"/>
      <x:c r="I62" s="136"/>
      <x:c r="J62" s="136" t="str">
        <x:f>IF(COUNTA(H62:I62)=0,"",SUM(H62:I62))</x:f>
      </x:c>
      <x:c r="K62" s="70" t="str">
        <x:f>IF(E62="","",IFERROR(INDEX('05_Employees'!$H:$H,MATCH(E62,'05_Employees'!$A:$A,0)),"NO RATE"))</x:f>
      </x:c>
      <x:c r="L62" s="70" t="str">
        <x:f>IF(OR(J62="",NOT(ISNUMBER(K62))),"",J62*K62)</x:f>
      </x:c>
      <x:c r="M62" s="15"/>
      <x:c r="N62" s="15" t="str">
        <x:f>IF(COUNTA(B62:I62,M62:M62)=0,"",TEXTJOIN("; ",TRUE,IF(B62="","Missing work date",""),IF(C62="","Missing project",""),IF(E62="","Missing employee",""),IF(H62="","Missing regular hours",""),IF(K62="NO RATE","Missing pay rate","")))</x:f>
      </x:c>
    </x:row>
    <x:row r="63" ht="20" customHeight="1">
      <x:c r="A63" s="15"/>
      <x:c r="B63" s="28"/>
      <x:c r="C63" s="15"/>
      <x:c r="D63" s="15"/>
      <x:c r="E63" s="15"/>
      <x:c r="F63" s="15"/>
      <x:c r="G63" s="15"/>
      <x:c r="H63" s="136"/>
      <x:c r="I63" s="136"/>
      <x:c r="J63" s="136" t="str">
        <x:f>IF(COUNTA(H63:I63)=0,"",SUM(H63:I63))</x:f>
      </x:c>
      <x:c r="K63" s="70" t="str">
        <x:f>IF(E63="","",IFERROR(INDEX('05_Employees'!$H:$H,MATCH(E63,'05_Employees'!$A:$A,0)),"NO RATE"))</x:f>
      </x:c>
      <x:c r="L63" s="70" t="str">
        <x:f>IF(OR(J63="",NOT(ISNUMBER(K63))),"",J63*K63)</x:f>
      </x:c>
      <x:c r="M63" s="15"/>
      <x:c r="N63" s="15" t="str">
        <x:f>IF(COUNTA(B63:I63,M63:M63)=0,"",TEXTJOIN("; ",TRUE,IF(B63="","Missing work date",""),IF(C63="","Missing project",""),IF(E63="","Missing employee",""),IF(H63="","Missing regular hours",""),IF(K63="NO RATE","Missing pay rate","")))</x:f>
      </x:c>
    </x:row>
    <x:row r="64" ht="20" customHeight="1">
      <x:c r="A64" s="15"/>
      <x:c r="B64" s="28"/>
      <x:c r="C64" s="15"/>
      <x:c r="D64" s="15"/>
      <x:c r="E64" s="15"/>
      <x:c r="F64" s="15"/>
      <x:c r="G64" s="15"/>
      <x:c r="H64" s="136"/>
      <x:c r="I64" s="136"/>
      <x:c r="J64" s="136" t="str">
        <x:f>IF(COUNTA(H64:I64)=0,"",SUM(H64:I64))</x:f>
      </x:c>
      <x:c r="K64" s="70" t="str">
        <x:f>IF(E64="","",IFERROR(INDEX('05_Employees'!$H:$H,MATCH(E64,'05_Employees'!$A:$A,0)),"NO RATE"))</x:f>
      </x:c>
      <x:c r="L64" s="70" t="str">
        <x:f>IF(OR(J64="",NOT(ISNUMBER(K64))),"",J64*K64)</x:f>
      </x:c>
      <x:c r="M64" s="15"/>
      <x:c r="N64" s="15" t="str">
        <x:f>IF(COUNTA(B64:I64,M64:M64)=0,"",TEXTJOIN("; ",TRUE,IF(B64="","Missing work date",""),IF(C64="","Missing project",""),IF(E64="","Missing employee",""),IF(H64="","Missing regular hours",""),IF(K64="NO RATE","Missing pay rate","")))</x:f>
      </x:c>
    </x:row>
    <x:row r="65" ht="20" customHeight="1">
      <x:c r="A65" s="15"/>
      <x:c r="B65" s="28"/>
      <x:c r="C65" s="15"/>
      <x:c r="D65" s="15"/>
      <x:c r="E65" s="15"/>
      <x:c r="F65" s="15"/>
      <x:c r="G65" s="15"/>
      <x:c r="H65" s="136"/>
      <x:c r="I65" s="136"/>
      <x:c r="J65" s="136" t="str">
        <x:f>IF(COUNTA(H65:I65)=0,"",SUM(H65:I65))</x:f>
      </x:c>
      <x:c r="K65" s="70" t="str">
        <x:f>IF(E65="","",IFERROR(INDEX('05_Employees'!$H:$H,MATCH(E65,'05_Employees'!$A:$A,0)),"NO RATE"))</x:f>
      </x:c>
      <x:c r="L65" s="70" t="str">
        <x:f>IF(OR(J65="",NOT(ISNUMBER(K65))),"",J65*K65)</x:f>
      </x:c>
      <x:c r="M65" s="15"/>
      <x:c r="N65" s="15" t="str">
        <x:f>IF(COUNTA(B65:I65,M65:M65)=0,"",TEXTJOIN("; ",TRUE,IF(B65="","Missing work date",""),IF(C65="","Missing project",""),IF(E65="","Missing employee",""),IF(H65="","Missing regular hours",""),IF(K65="NO RATE","Missing pay rate","")))</x:f>
      </x:c>
    </x:row>
    <x:row r="66" ht="20" customHeight="1">
      <x:c r="A66" s="15"/>
      <x:c r="B66" s="28"/>
      <x:c r="C66" s="15"/>
      <x:c r="D66" s="15"/>
      <x:c r="E66" s="15"/>
      <x:c r="F66" s="15"/>
      <x:c r="G66" s="15"/>
      <x:c r="H66" s="136"/>
      <x:c r="I66" s="136"/>
      <x:c r="J66" s="136" t="str">
        <x:f>IF(COUNTA(H66:I66)=0,"",SUM(H66:I66))</x:f>
      </x:c>
      <x:c r="K66" s="70" t="str">
        <x:f>IF(E66="","",IFERROR(INDEX('05_Employees'!$H:$H,MATCH(E66,'05_Employees'!$A:$A,0)),"NO RATE"))</x:f>
      </x:c>
      <x:c r="L66" s="70" t="str">
        <x:f>IF(OR(J66="",NOT(ISNUMBER(K66))),"",J66*K66)</x:f>
      </x:c>
      <x:c r="M66" s="15"/>
      <x:c r="N66" s="15" t="str">
        <x:f>IF(COUNTA(B66:I66,M66:M66)=0,"",TEXTJOIN("; ",TRUE,IF(B66="","Missing work date",""),IF(C66="","Missing project",""),IF(E66="","Missing employee",""),IF(H66="","Missing regular hours",""),IF(K66="NO RATE","Missing pay rate","")))</x:f>
      </x:c>
    </x:row>
    <x:row r="67" ht="20" customHeight="1">
      <x:c r="A67" s="15"/>
      <x:c r="B67" s="28"/>
      <x:c r="C67" s="15"/>
      <x:c r="D67" s="15"/>
      <x:c r="E67" s="15"/>
      <x:c r="F67" s="15"/>
      <x:c r="G67" s="15"/>
      <x:c r="H67" s="136"/>
      <x:c r="I67" s="136"/>
      <x:c r="J67" s="136" t="str">
        <x:f>IF(COUNTA(H67:I67)=0,"",SUM(H67:I67))</x:f>
      </x:c>
      <x:c r="K67" s="70" t="str">
        <x:f>IF(E67="","",IFERROR(INDEX('05_Employees'!$H:$H,MATCH(E67,'05_Employees'!$A:$A,0)),"NO RATE"))</x:f>
      </x:c>
      <x:c r="L67" s="70" t="str">
        <x:f>IF(OR(J67="",NOT(ISNUMBER(K67))),"",J67*K67)</x:f>
      </x:c>
      <x:c r="M67" s="15"/>
      <x:c r="N67" s="15" t="str">
        <x:f>IF(COUNTA(B67:I67,M67:M67)=0,"",TEXTJOIN("; ",TRUE,IF(B67="","Missing work date",""),IF(C67="","Missing project",""),IF(E67="","Missing employee",""),IF(H67="","Missing regular hours",""),IF(K67="NO RATE","Missing pay rate","")))</x:f>
      </x:c>
    </x:row>
    <x:row r="68" ht="20" customHeight="1">
      <x:c r="A68" s="15"/>
      <x:c r="B68" s="28"/>
      <x:c r="C68" s="15"/>
      <x:c r="D68" s="15"/>
      <x:c r="E68" s="15"/>
      <x:c r="F68" s="15"/>
      <x:c r="G68" s="15"/>
      <x:c r="H68" s="136"/>
      <x:c r="I68" s="136"/>
      <x:c r="J68" s="136" t="str">
        <x:f>IF(COUNTA(H68:I68)=0,"",SUM(H68:I68))</x:f>
      </x:c>
      <x:c r="K68" s="70" t="str">
        <x:f>IF(E68="","",IFERROR(INDEX('05_Employees'!$H:$H,MATCH(E68,'05_Employees'!$A:$A,0)),"NO RATE"))</x:f>
      </x:c>
      <x:c r="L68" s="70" t="str">
        <x:f>IF(OR(J68="",NOT(ISNUMBER(K68))),"",J68*K68)</x:f>
      </x:c>
      <x:c r="M68" s="15"/>
      <x:c r="N68" s="15" t="str">
        <x:f>IF(COUNTA(B68:I68,M68:M68)=0,"",TEXTJOIN("; ",TRUE,IF(B68="","Missing work date",""),IF(C68="","Missing project",""),IF(E68="","Missing employee",""),IF(H68="","Missing regular hours",""),IF(K68="NO RATE","Missing pay rate","")))</x:f>
      </x:c>
    </x:row>
    <x:row r="69" ht="20" customHeight="1">
      <x:c r="A69" s="15"/>
      <x:c r="B69" s="28"/>
      <x:c r="C69" s="15"/>
      <x:c r="D69" s="15"/>
      <x:c r="E69" s="15"/>
      <x:c r="F69" s="15"/>
      <x:c r="G69" s="15"/>
      <x:c r="H69" s="136"/>
      <x:c r="I69" s="136"/>
      <x:c r="J69" s="136" t="str">
        <x:f>IF(COUNTA(H69:I69)=0,"",SUM(H69:I69))</x:f>
      </x:c>
      <x:c r="K69" s="70" t="str">
        <x:f>IF(E69="","",IFERROR(INDEX('05_Employees'!$H:$H,MATCH(E69,'05_Employees'!$A:$A,0)),"NO RATE"))</x:f>
      </x:c>
      <x:c r="L69" s="70" t="str">
        <x:f>IF(OR(J69="",NOT(ISNUMBER(K69))),"",J69*K69)</x:f>
      </x:c>
      <x:c r="M69" s="15"/>
      <x:c r="N69" s="15" t="str">
        <x:f>IF(COUNTA(B69:I69,M69:M69)=0,"",TEXTJOIN("; ",TRUE,IF(B69="","Missing work date",""),IF(C69="","Missing project",""),IF(E69="","Missing employee",""),IF(H69="","Missing regular hours",""),IF(K69="NO RATE","Missing pay rate","")))</x:f>
      </x:c>
    </x:row>
    <x:row r="70" ht="20" customHeight="1">
      <x:c r="A70" s="15"/>
      <x:c r="B70" s="28"/>
      <x:c r="C70" s="15"/>
      <x:c r="D70" s="15"/>
      <x:c r="E70" s="15"/>
      <x:c r="F70" s="15"/>
      <x:c r="G70" s="15"/>
      <x:c r="H70" s="136"/>
      <x:c r="I70" s="136"/>
      <x:c r="J70" s="136" t="str">
        <x:f>IF(COUNTA(H70:I70)=0,"",SUM(H70:I70))</x:f>
      </x:c>
      <x:c r="K70" s="70" t="str">
        <x:f>IF(E70="","",IFERROR(INDEX('05_Employees'!$H:$H,MATCH(E70,'05_Employees'!$A:$A,0)),"NO RATE"))</x:f>
      </x:c>
      <x:c r="L70" s="70" t="str">
        <x:f>IF(OR(J70="",NOT(ISNUMBER(K70))),"",J70*K70)</x:f>
      </x:c>
      <x:c r="M70" s="15"/>
      <x:c r="N70" s="15" t="str">
        <x:f>IF(COUNTA(B70:I70,M70:M70)=0,"",TEXTJOIN("; ",TRUE,IF(B70="","Missing work date",""),IF(C70="","Missing project",""),IF(E70="","Missing employee",""),IF(H70="","Missing regular hours",""),IF(K70="NO RATE","Missing pay rate","")))</x:f>
      </x:c>
    </x:row>
    <x:row r="71" ht="20" customHeight="1">
      <x:c r="A71" s="15"/>
      <x:c r="B71" s="28"/>
      <x:c r="C71" s="15"/>
      <x:c r="D71" s="15"/>
      <x:c r="E71" s="15"/>
      <x:c r="F71" s="15"/>
      <x:c r="G71" s="15"/>
      <x:c r="H71" s="136"/>
      <x:c r="I71" s="136"/>
      <x:c r="J71" s="136" t="str">
        <x:f>IF(COUNTA(H71:I71)=0,"",SUM(H71:I71))</x:f>
      </x:c>
      <x:c r="K71" s="70" t="str">
        <x:f>IF(E71="","",IFERROR(INDEX('05_Employees'!$H:$H,MATCH(E71,'05_Employees'!$A:$A,0)),"NO RATE"))</x:f>
      </x:c>
      <x:c r="L71" s="70" t="str">
        <x:f>IF(OR(J71="",NOT(ISNUMBER(K71))),"",J71*K71)</x:f>
      </x:c>
      <x:c r="M71" s="15"/>
      <x:c r="N71" s="15" t="str">
        <x:f>IF(COUNTA(B71:I71,M71:M71)=0,"",TEXTJOIN("; ",TRUE,IF(B71="","Missing work date",""),IF(C71="","Missing project",""),IF(E71="","Missing employee",""),IF(H71="","Missing regular hours",""),IF(K71="NO RATE","Missing pay rate","")))</x:f>
      </x:c>
    </x:row>
    <x:row r="72" ht="20" customHeight="1">
      <x:c r="A72" s="15"/>
      <x:c r="B72" s="28"/>
      <x:c r="C72" s="15"/>
      <x:c r="D72" s="15"/>
      <x:c r="E72" s="15"/>
      <x:c r="F72" s="15"/>
      <x:c r="G72" s="15"/>
      <x:c r="H72" s="136"/>
      <x:c r="I72" s="136"/>
      <x:c r="J72" s="136" t="str">
        <x:f>IF(COUNTA(H72:I72)=0,"",SUM(H72:I72))</x:f>
      </x:c>
      <x:c r="K72" s="70" t="str">
        <x:f>IF(E72="","",IFERROR(INDEX('05_Employees'!$H:$H,MATCH(E72,'05_Employees'!$A:$A,0)),"NO RATE"))</x:f>
      </x:c>
      <x:c r="L72" s="70" t="str">
        <x:f>IF(OR(J72="",NOT(ISNUMBER(K72))),"",J72*K72)</x:f>
      </x:c>
      <x:c r="M72" s="15"/>
      <x:c r="N72" s="15" t="str">
        <x:f>IF(COUNTA(B72:I72,M72:M72)=0,"",TEXTJOIN("; ",TRUE,IF(B72="","Missing work date",""),IF(C72="","Missing project",""),IF(E72="","Missing employee",""),IF(H72="","Missing regular hours",""),IF(K72="NO RATE","Missing pay rate","")))</x:f>
      </x:c>
    </x:row>
    <x:row r="73" ht="20" customHeight="1">
      <x:c r="A73" s="15"/>
      <x:c r="B73" s="28"/>
      <x:c r="C73" s="15"/>
      <x:c r="D73" s="15"/>
      <x:c r="E73" s="15"/>
      <x:c r="F73" s="15"/>
      <x:c r="G73" s="15"/>
      <x:c r="H73" s="136"/>
      <x:c r="I73" s="136"/>
      <x:c r="J73" s="136" t="str">
        <x:f>IF(COUNTA(H73:I73)=0,"",SUM(H73:I73))</x:f>
      </x:c>
      <x:c r="K73" s="70" t="str">
        <x:f>IF(E73="","",IFERROR(INDEX('05_Employees'!$H:$H,MATCH(E73,'05_Employees'!$A:$A,0)),"NO RATE"))</x:f>
      </x:c>
      <x:c r="L73" s="70" t="str">
        <x:f>IF(OR(J73="",NOT(ISNUMBER(K73))),"",J73*K73)</x:f>
      </x:c>
      <x:c r="M73" s="15"/>
      <x:c r="N73" s="15" t="str">
        <x:f>IF(COUNTA(B73:I73,M73:M73)=0,"",TEXTJOIN("; ",TRUE,IF(B73="","Missing work date",""),IF(C73="","Missing project",""),IF(E73="","Missing employee",""),IF(H73="","Missing regular hours",""),IF(K73="NO RATE","Missing pay rate","")))</x:f>
      </x:c>
    </x:row>
    <x:row r="74" ht="20" customHeight="1">
      <x:c r="A74" s="15"/>
      <x:c r="B74" s="28"/>
      <x:c r="C74" s="15"/>
      <x:c r="D74" s="15"/>
      <x:c r="E74" s="15"/>
      <x:c r="F74" s="15"/>
      <x:c r="G74" s="15"/>
      <x:c r="H74" s="136"/>
      <x:c r="I74" s="136"/>
      <x:c r="J74" s="136" t="str">
        <x:f>IF(COUNTA(H74:I74)=0,"",SUM(H74:I74))</x:f>
      </x:c>
      <x:c r="K74" s="70" t="str">
        <x:f>IF(E74="","",IFERROR(INDEX('05_Employees'!$H:$H,MATCH(E74,'05_Employees'!$A:$A,0)),"NO RATE"))</x:f>
      </x:c>
      <x:c r="L74" s="70" t="str">
        <x:f>IF(OR(J74="",NOT(ISNUMBER(K74))),"",J74*K74)</x:f>
      </x:c>
      <x:c r="M74" s="15"/>
      <x:c r="N74" s="15" t="str">
        <x:f>IF(COUNTA(B74:I74,M74:M74)=0,"",TEXTJOIN("; ",TRUE,IF(B74="","Missing work date",""),IF(C74="","Missing project",""),IF(E74="","Missing employee",""),IF(H74="","Missing regular hours",""),IF(K74="NO RATE","Missing pay rate","")))</x:f>
      </x:c>
    </x:row>
    <x:row r="75" ht="20" customHeight="1">
      <x:c r="A75" s="15"/>
      <x:c r="B75" s="28"/>
      <x:c r="C75" s="15"/>
      <x:c r="D75" s="15"/>
      <x:c r="E75" s="15"/>
      <x:c r="F75" s="15"/>
      <x:c r="G75" s="15"/>
      <x:c r="H75" s="136"/>
      <x:c r="I75" s="136"/>
      <x:c r="J75" s="136" t="str">
        <x:f>IF(COUNTA(H75:I75)=0,"",SUM(H75:I75))</x:f>
      </x:c>
      <x:c r="K75" s="70" t="str">
        <x:f>IF(E75="","",IFERROR(INDEX('05_Employees'!$H:$H,MATCH(E75,'05_Employees'!$A:$A,0)),"NO RATE"))</x:f>
      </x:c>
      <x:c r="L75" s="70" t="str">
        <x:f>IF(OR(J75="",NOT(ISNUMBER(K75))),"",J75*K75)</x:f>
      </x:c>
      <x:c r="M75" s="15"/>
      <x:c r="N75" s="15" t="str">
        <x:f>IF(COUNTA(B75:I75,M75:M75)=0,"",TEXTJOIN("; ",TRUE,IF(B75="","Missing work date",""),IF(C75="","Missing project",""),IF(E75="","Missing employee",""),IF(H75="","Missing regular hours",""),IF(K75="NO RATE","Missing pay rate","")))</x:f>
      </x:c>
    </x:row>
    <x:row r="76" ht="20" customHeight="1">
      <x:c r="A76" s="15"/>
      <x:c r="B76" s="28"/>
      <x:c r="C76" s="15"/>
      <x:c r="D76" s="15"/>
      <x:c r="E76" s="15"/>
      <x:c r="F76" s="15"/>
      <x:c r="G76" s="15"/>
      <x:c r="H76" s="136"/>
      <x:c r="I76" s="136"/>
      <x:c r="J76" s="136" t="str">
        <x:f>IF(COUNTA(H76:I76)=0,"",SUM(H76:I76))</x:f>
      </x:c>
      <x:c r="K76" s="70" t="str">
        <x:f>IF(E76="","",IFERROR(INDEX('05_Employees'!$H:$H,MATCH(E76,'05_Employees'!$A:$A,0)),"NO RATE"))</x:f>
      </x:c>
      <x:c r="L76" s="70" t="str">
        <x:f>IF(OR(J76="",NOT(ISNUMBER(K76))),"",J76*K76)</x:f>
      </x:c>
      <x:c r="M76" s="15"/>
      <x:c r="N76" s="15" t="str">
        <x:f>IF(COUNTA(B76:I76,M76:M76)=0,"",TEXTJOIN("; ",TRUE,IF(B76="","Missing work date",""),IF(C76="","Missing project",""),IF(E76="","Missing employee",""),IF(H76="","Missing regular hours",""),IF(K76="NO RATE","Missing pay rate","")))</x:f>
      </x:c>
    </x:row>
    <x:row r="77" ht="20" customHeight="1">
      <x:c r="A77" s="15"/>
      <x:c r="B77" s="28"/>
      <x:c r="C77" s="15"/>
      <x:c r="D77" s="15"/>
      <x:c r="E77" s="15"/>
      <x:c r="F77" s="15"/>
      <x:c r="G77" s="15"/>
      <x:c r="H77" s="136"/>
      <x:c r="I77" s="136"/>
      <x:c r="J77" s="136" t="str">
        <x:f>IF(COUNTA(H77:I77)=0,"",SUM(H77:I77))</x:f>
      </x:c>
      <x:c r="K77" s="70" t="str">
        <x:f>IF(E77="","",IFERROR(INDEX('05_Employees'!$H:$H,MATCH(E77,'05_Employees'!$A:$A,0)),"NO RATE"))</x:f>
      </x:c>
      <x:c r="L77" s="70" t="str">
        <x:f>IF(OR(J77="",NOT(ISNUMBER(K77))),"",J77*K77)</x:f>
      </x:c>
      <x:c r="M77" s="15"/>
      <x:c r="N77" s="15" t="str">
        <x:f>IF(COUNTA(B77:I77,M77:M77)=0,"",TEXTJOIN("; ",TRUE,IF(B77="","Missing work date",""),IF(C77="","Missing project",""),IF(E77="","Missing employee",""),IF(H77="","Missing regular hours",""),IF(K77="NO RATE","Missing pay rate","")))</x:f>
      </x:c>
    </x:row>
    <x:row r="78" ht="20" customHeight="1">
      <x:c r="A78" s="15"/>
      <x:c r="B78" s="28"/>
      <x:c r="C78" s="15"/>
      <x:c r="D78" s="15"/>
      <x:c r="E78" s="15"/>
      <x:c r="F78" s="15"/>
      <x:c r="G78" s="15"/>
      <x:c r="H78" s="136"/>
      <x:c r="I78" s="136"/>
      <x:c r="J78" s="136" t="str">
        <x:f>IF(COUNTA(H78:I78)=0,"",SUM(H78:I78))</x:f>
      </x:c>
      <x:c r="K78" s="70" t="str">
        <x:f>IF(E78="","",IFERROR(INDEX('05_Employees'!$H:$H,MATCH(E78,'05_Employees'!$A:$A,0)),"NO RATE"))</x:f>
      </x:c>
      <x:c r="L78" s="70" t="str">
        <x:f>IF(OR(J78="",NOT(ISNUMBER(K78))),"",J78*K78)</x:f>
      </x:c>
      <x:c r="M78" s="15"/>
      <x:c r="N78" s="15" t="str">
        <x:f>IF(COUNTA(B78:I78,M78:M78)=0,"",TEXTJOIN("; ",TRUE,IF(B78="","Missing work date",""),IF(C78="","Missing project",""),IF(E78="","Missing employee",""),IF(H78="","Missing regular hours",""),IF(K78="NO RATE","Missing pay rate","")))</x:f>
      </x:c>
    </x:row>
    <x:row r="79" ht="20" customHeight="1">
      <x:c r="A79" s="15"/>
      <x:c r="B79" s="28"/>
      <x:c r="C79" s="15"/>
      <x:c r="D79" s="15"/>
      <x:c r="E79" s="15"/>
      <x:c r="F79" s="15"/>
      <x:c r="G79" s="15"/>
      <x:c r="H79" s="136"/>
      <x:c r="I79" s="136"/>
      <x:c r="J79" s="136" t="str">
        <x:f>IF(COUNTA(H79:I79)=0,"",SUM(H79:I79))</x:f>
      </x:c>
      <x:c r="K79" s="70" t="str">
        <x:f>IF(E79="","",IFERROR(INDEX('05_Employees'!$H:$H,MATCH(E79,'05_Employees'!$A:$A,0)),"NO RATE"))</x:f>
      </x:c>
      <x:c r="L79" s="70" t="str">
        <x:f>IF(OR(J79="",NOT(ISNUMBER(K79))),"",J79*K79)</x:f>
      </x:c>
      <x:c r="M79" s="15"/>
      <x:c r="N79" s="15" t="str">
        <x:f>IF(COUNTA(B79:I79,M79:M79)=0,"",TEXTJOIN("; ",TRUE,IF(B79="","Missing work date",""),IF(C79="","Missing project",""),IF(E79="","Missing employee",""),IF(H79="","Missing regular hours",""),IF(K79="NO RATE","Missing pay rate","")))</x:f>
      </x:c>
    </x:row>
    <x:row r="80" ht="20" customHeight="1">
      <x:c r="A80" s="15"/>
      <x:c r="B80" s="28"/>
      <x:c r="C80" s="15"/>
      <x:c r="D80" s="15"/>
      <x:c r="E80" s="15"/>
      <x:c r="F80" s="15"/>
      <x:c r="G80" s="15"/>
      <x:c r="H80" s="136"/>
      <x:c r="I80" s="136"/>
      <x:c r="J80" s="136" t="str">
        <x:f>IF(COUNTA(H80:I80)=0,"",SUM(H80:I80))</x:f>
      </x:c>
      <x:c r="K80" s="70" t="str">
        <x:f>IF(E80="","",IFERROR(INDEX('05_Employees'!$H:$H,MATCH(E80,'05_Employees'!$A:$A,0)),"NO RATE"))</x:f>
      </x:c>
      <x:c r="L80" s="70" t="str">
        <x:f>IF(OR(J80="",NOT(ISNUMBER(K80))),"",J80*K80)</x:f>
      </x:c>
      <x:c r="M80" s="15"/>
      <x:c r="N80" s="15" t="str">
        <x:f>IF(COUNTA(B80:I80,M80:M80)=0,"",TEXTJOIN("; ",TRUE,IF(B80="","Missing work date",""),IF(C80="","Missing project",""),IF(E80="","Missing employee",""),IF(H80="","Missing regular hours",""),IF(K80="NO RATE","Missing pay rate","")))</x:f>
      </x:c>
    </x:row>
    <x:row r="81" ht="20" customHeight="1">
      <x:c r="A81" s="15"/>
      <x:c r="B81" s="28"/>
      <x:c r="C81" s="15"/>
      <x:c r="D81" s="15"/>
      <x:c r="E81" s="15"/>
      <x:c r="F81" s="15"/>
      <x:c r="G81" s="15"/>
      <x:c r="H81" s="136"/>
      <x:c r="I81" s="136"/>
      <x:c r="J81" s="136" t="str">
        <x:f>IF(COUNTA(H81:I81)=0,"",SUM(H81:I81))</x:f>
      </x:c>
      <x:c r="K81" s="70" t="str">
        <x:f>IF(E81="","",IFERROR(INDEX('05_Employees'!$H:$H,MATCH(E81,'05_Employees'!$A:$A,0)),"NO RATE"))</x:f>
      </x:c>
      <x:c r="L81" s="70" t="str">
        <x:f>IF(OR(J81="",NOT(ISNUMBER(K81))),"",J81*K81)</x:f>
      </x:c>
      <x:c r="M81" s="15"/>
      <x:c r="N81" s="15" t="str">
        <x:f>IF(COUNTA(B81:I81,M81:M81)=0,"",TEXTJOIN("; ",TRUE,IF(B81="","Missing work date",""),IF(C81="","Missing project",""),IF(E81="","Missing employee",""),IF(H81="","Missing regular hours",""),IF(K81="NO RATE","Missing pay rate","")))</x:f>
      </x:c>
    </x:row>
    <x:row r="82" ht="20" customHeight="1">
      <x:c r="A82" s="15"/>
      <x:c r="B82" s="28"/>
      <x:c r="C82" s="15"/>
      <x:c r="D82" s="15"/>
      <x:c r="E82" s="15"/>
      <x:c r="F82" s="15"/>
      <x:c r="G82" s="15"/>
      <x:c r="H82" s="136"/>
      <x:c r="I82" s="136"/>
      <x:c r="J82" s="136" t="str">
        <x:f>IF(COUNTA(H82:I82)=0,"",SUM(H82:I82))</x:f>
      </x:c>
      <x:c r="K82" s="70" t="str">
        <x:f>IF(E82="","",IFERROR(INDEX('05_Employees'!$H:$H,MATCH(E82,'05_Employees'!$A:$A,0)),"NO RATE"))</x:f>
      </x:c>
      <x:c r="L82" s="70" t="str">
        <x:f>IF(OR(J82="",NOT(ISNUMBER(K82))),"",J82*K82)</x:f>
      </x:c>
      <x:c r="M82" s="15"/>
      <x:c r="N82" s="15" t="str">
        <x:f>IF(COUNTA(B82:I82,M82:M82)=0,"",TEXTJOIN("; ",TRUE,IF(B82="","Missing work date",""),IF(C82="","Missing project",""),IF(E82="","Missing employee",""),IF(H82="","Missing regular hours",""),IF(K82="NO RATE","Missing pay rate","")))</x:f>
      </x:c>
    </x:row>
    <x:row r="83" ht="20" customHeight="1">
      <x:c r="A83" s="15"/>
      <x:c r="B83" s="28"/>
      <x:c r="C83" s="15"/>
      <x:c r="D83" s="15"/>
      <x:c r="E83" s="15"/>
      <x:c r="F83" s="15"/>
      <x:c r="G83" s="15"/>
      <x:c r="H83" s="136"/>
      <x:c r="I83" s="136"/>
      <x:c r="J83" s="136" t="str">
        <x:f>IF(COUNTA(H83:I83)=0,"",SUM(H83:I83))</x:f>
      </x:c>
      <x:c r="K83" s="70" t="str">
        <x:f>IF(E83="","",IFERROR(INDEX('05_Employees'!$H:$H,MATCH(E83,'05_Employees'!$A:$A,0)),"NO RATE"))</x:f>
      </x:c>
      <x:c r="L83" s="70" t="str">
        <x:f>IF(OR(J83="",NOT(ISNUMBER(K83))),"",J83*K83)</x:f>
      </x:c>
      <x:c r="M83" s="15"/>
      <x:c r="N83" s="15" t="str">
        <x:f>IF(COUNTA(B83:I83,M83:M83)=0,"",TEXTJOIN("; ",TRUE,IF(B83="","Missing work date",""),IF(C83="","Missing project",""),IF(E83="","Missing employee",""),IF(H83="","Missing regular hours",""),IF(K83="NO RATE","Missing pay rate","")))</x:f>
      </x:c>
    </x:row>
    <x:row r="84" ht="20" customHeight="1">
      <x:c r="A84" s="15"/>
      <x:c r="B84" s="28"/>
      <x:c r="C84" s="15"/>
      <x:c r="D84" s="15"/>
      <x:c r="E84" s="15"/>
      <x:c r="F84" s="15"/>
      <x:c r="G84" s="15"/>
      <x:c r="H84" s="136"/>
      <x:c r="I84" s="136"/>
      <x:c r="J84" s="136" t="str">
        <x:f>IF(COUNTA(H84:I84)=0,"",SUM(H84:I84))</x:f>
      </x:c>
      <x:c r="K84" s="70" t="str">
        <x:f>IF(E84="","",IFERROR(INDEX('05_Employees'!$H:$H,MATCH(E84,'05_Employees'!$A:$A,0)),"NO RATE"))</x:f>
      </x:c>
      <x:c r="L84" s="70" t="str">
        <x:f>IF(OR(J84="",NOT(ISNUMBER(K84))),"",J84*K84)</x:f>
      </x:c>
      <x:c r="M84" s="15"/>
      <x:c r="N84" s="15" t="str">
        <x:f>IF(COUNTA(B84:I84,M84:M84)=0,"",TEXTJOIN("; ",TRUE,IF(B84="","Missing work date",""),IF(C84="","Missing project",""),IF(E84="","Missing employee",""),IF(H84="","Missing regular hours",""),IF(K84="NO RATE","Missing pay rate","")))</x:f>
      </x:c>
    </x:row>
    <x:row r="85" ht="20" customHeight="1">
      <x:c r="A85" s="15"/>
      <x:c r="B85" s="28"/>
      <x:c r="C85" s="15"/>
      <x:c r="D85" s="15"/>
      <x:c r="E85" s="15"/>
      <x:c r="F85" s="15"/>
      <x:c r="G85" s="15"/>
      <x:c r="H85" s="136"/>
      <x:c r="I85" s="136"/>
      <x:c r="J85" s="136" t="str">
        <x:f>IF(COUNTA(H85:I85)=0,"",SUM(H85:I85))</x:f>
      </x:c>
      <x:c r="K85" s="70" t="str">
        <x:f>IF(E85="","",IFERROR(INDEX('05_Employees'!$H:$H,MATCH(E85,'05_Employees'!$A:$A,0)),"NO RATE"))</x:f>
      </x:c>
      <x:c r="L85" s="70" t="str">
        <x:f>IF(OR(J85="",NOT(ISNUMBER(K85))),"",J85*K85)</x:f>
      </x:c>
      <x:c r="M85" s="15"/>
      <x:c r="N85" s="15" t="str">
        <x:f>IF(COUNTA(B85:I85,M85:M85)=0,"",TEXTJOIN("; ",TRUE,IF(B85="","Missing work date",""),IF(C85="","Missing project",""),IF(E85="","Missing employee",""),IF(H85="","Missing regular hours",""),IF(K85="NO RATE","Missing pay rate","")))</x:f>
      </x:c>
    </x:row>
    <x:row r="86" ht="20" customHeight="1">
      <x:c r="A86" s="15"/>
      <x:c r="B86" s="28"/>
      <x:c r="C86" s="15"/>
      <x:c r="D86" s="15"/>
      <x:c r="E86" s="15"/>
      <x:c r="F86" s="15"/>
      <x:c r="G86" s="15"/>
      <x:c r="H86" s="136"/>
      <x:c r="I86" s="136"/>
      <x:c r="J86" s="136" t="str">
        <x:f>IF(COUNTA(H86:I86)=0,"",SUM(H86:I86))</x:f>
      </x:c>
      <x:c r="K86" s="70" t="str">
        <x:f>IF(E86="","",IFERROR(INDEX('05_Employees'!$H:$H,MATCH(E86,'05_Employees'!$A:$A,0)),"NO RATE"))</x:f>
      </x:c>
      <x:c r="L86" s="70" t="str">
        <x:f>IF(OR(J86="",NOT(ISNUMBER(K86))),"",J86*K86)</x:f>
      </x:c>
      <x:c r="M86" s="15"/>
      <x:c r="N86" s="15" t="str">
        <x:f>IF(COUNTA(B86:I86,M86:M86)=0,"",TEXTJOIN("; ",TRUE,IF(B86="","Missing work date",""),IF(C86="","Missing project",""),IF(E86="","Missing employee",""),IF(H86="","Missing regular hours",""),IF(K86="NO RATE","Missing pay rate","")))</x:f>
      </x:c>
    </x:row>
    <x:row r="87" ht="20" customHeight="1">
      <x:c r="A87" s="15"/>
      <x:c r="B87" s="28"/>
      <x:c r="C87" s="15"/>
      <x:c r="D87" s="15"/>
      <x:c r="E87" s="15"/>
      <x:c r="F87" s="15"/>
      <x:c r="G87" s="15"/>
      <x:c r="H87" s="136"/>
      <x:c r="I87" s="136"/>
      <x:c r="J87" s="136" t="str">
        <x:f>IF(COUNTA(H87:I87)=0,"",SUM(H87:I87))</x:f>
      </x:c>
      <x:c r="K87" s="70" t="str">
        <x:f>IF(E87="","",IFERROR(INDEX('05_Employees'!$H:$H,MATCH(E87,'05_Employees'!$A:$A,0)),"NO RATE"))</x:f>
      </x:c>
      <x:c r="L87" s="70" t="str">
        <x:f>IF(OR(J87="",NOT(ISNUMBER(K87))),"",J87*K87)</x:f>
      </x:c>
      <x:c r="M87" s="15"/>
      <x:c r="N87" s="15" t="str">
        <x:f>IF(COUNTA(B87:I87,M87:M87)=0,"",TEXTJOIN("; ",TRUE,IF(B87="","Missing work date",""),IF(C87="","Missing project",""),IF(E87="","Missing employee",""),IF(H87="","Missing regular hours",""),IF(K87="NO RATE","Missing pay rate","")))</x:f>
      </x:c>
    </x:row>
    <x:row r="88" ht="20" customHeight="1">
      <x:c r="A88" s="15"/>
      <x:c r="B88" s="28"/>
      <x:c r="C88" s="15"/>
      <x:c r="D88" s="15"/>
      <x:c r="E88" s="15"/>
      <x:c r="F88" s="15"/>
      <x:c r="G88" s="15"/>
      <x:c r="H88" s="136"/>
      <x:c r="I88" s="136"/>
      <x:c r="J88" s="136" t="str">
        <x:f>IF(COUNTA(H88:I88)=0,"",SUM(H88:I88))</x:f>
      </x:c>
      <x:c r="K88" s="70" t="str">
        <x:f>IF(E88="","",IFERROR(INDEX('05_Employees'!$H:$H,MATCH(E88,'05_Employees'!$A:$A,0)),"NO RATE"))</x:f>
      </x:c>
      <x:c r="L88" s="70" t="str">
        <x:f>IF(OR(J88="",NOT(ISNUMBER(K88))),"",J88*K88)</x:f>
      </x:c>
      <x:c r="M88" s="15"/>
      <x:c r="N88" s="15" t="str">
        <x:f>IF(COUNTA(B88:I88,M88:M88)=0,"",TEXTJOIN("; ",TRUE,IF(B88="","Missing work date",""),IF(C88="","Missing project",""),IF(E88="","Missing employee",""),IF(H88="","Missing regular hours",""),IF(K88="NO RATE","Missing pay rate","")))</x:f>
      </x:c>
    </x:row>
    <x:row r="89" ht="20" customHeight="1">
      <x:c r="A89" s="15"/>
      <x:c r="B89" s="28"/>
      <x:c r="C89" s="15"/>
      <x:c r="D89" s="15"/>
      <x:c r="E89" s="15"/>
      <x:c r="F89" s="15"/>
      <x:c r="G89" s="15"/>
      <x:c r="H89" s="136"/>
      <x:c r="I89" s="136"/>
      <x:c r="J89" s="136" t="str">
        <x:f>IF(COUNTA(H89:I89)=0,"",SUM(H89:I89))</x:f>
      </x:c>
      <x:c r="K89" s="70" t="str">
        <x:f>IF(E89="","",IFERROR(INDEX('05_Employees'!$H:$H,MATCH(E89,'05_Employees'!$A:$A,0)),"NO RATE"))</x:f>
      </x:c>
      <x:c r="L89" s="70" t="str">
        <x:f>IF(OR(J89="",NOT(ISNUMBER(K89))),"",J89*K89)</x:f>
      </x:c>
      <x:c r="M89" s="15"/>
      <x:c r="N89" s="15" t="str">
        <x:f>IF(COUNTA(B89:I89,M89:M89)=0,"",TEXTJOIN("; ",TRUE,IF(B89="","Missing work date",""),IF(C89="","Missing project",""),IF(E89="","Missing employee",""),IF(H89="","Missing regular hours",""),IF(K89="NO RATE","Missing pay rate","")))</x:f>
      </x:c>
    </x:row>
    <x:row r="90" ht="20" customHeight="1">
      <x:c r="A90" s="15"/>
      <x:c r="B90" s="28"/>
      <x:c r="C90" s="15"/>
      <x:c r="D90" s="15"/>
      <x:c r="E90" s="15"/>
      <x:c r="F90" s="15"/>
      <x:c r="G90" s="15"/>
      <x:c r="H90" s="136"/>
      <x:c r="I90" s="136"/>
      <x:c r="J90" s="136" t="str">
        <x:f>IF(COUNTA(H90:I90)=0,"",SUM(H90:I90))</x:f>
      </x:c>
      <x:c r="K90" s="70" t="str">
        <x:f>IF(E90="","",IFERROR(INDEX('05_Employees'!$H:$H,MATCH(E90,'05_Employees'!$A:$A,0)),"NO RATE"))</x:f>
      </x:c>
      <x:c r="L90" s="70" t="str">
        <x:f>IF(OR(J90="",NOT(ISNUMBER(K90))),"",J90*K90)</x:f>
      </x:c>
      <x:c r="M90" s="15"/>
      <x:c r="N90" s="15" t="str">
        <x:f>IF(COUNTA(B90:I90,M90:M90)=0,"",TEXTJOIN("; ",TRUE,IF(B90="","Missing work date",""),IF(C90="","Missing project",""),IF(E90="","Missing employee",""),IF(H90="","Missing regular hours",""),IF(K90="NO RATE","Missing pay rate","")))</x:f>
      </x:c>
    </x:row>
    <x:row r="91" ht="20" customHeight="1">
      <x:c r="A91" s="15"/>
      <x:c r="B91" s="28"/>
      <x:c r="C91" s="15"/>
      <x:c r="D91" s="15"/>
      <x:c r="E91" s="15"/>
      <x:c r="F91" s="15"/>
      <x:c r="G91" s="15"/>
      <x:c r="H91" s="136"/>
      <x:c r="I91" s="136"/>
      <x:c r="J91" s="136" t="str">
        <x:f>IF(COUNTA(H91:I91)=0,"",SUM(H91:I91))</x:f>
      </x:c>
      <x:c r="K91" s="70" t="str">
        <x:f>IF(E91="","",IFERROR(INDEX('05_Employees'!$H:$H,MATCH(E91,'05_Employees'!$A:$A,0)),"NO RATE"))</x:f>
      </x:c>
      <x:c r="L91" s="70" t="str">
        <x:f>IF(OR(J91="",NOT(ISNUMBER(K91))),"",J91*K91)</x:f>
      </x:c>
      <x:c r="M91" s="15"/>
      <x:c r="N91" s="15" t="str">
        <x:f>IF(COUNTA(B91:I91,M91:M91)=0,"",TEXTJOIN("; ",TRUE,IF(B91="","Missing work date",""),IF(C91="","Missing project",""),IF(E91="","Missing employee",""),IF(H91="","Missing regular hours",""),IF(K91="NO RATE","Missing pay rate","")))</x:f>
      </x:c>
    </x:row>
    <x:row r="92" ht="20" customHeight="1">
      <x:c r="A92" s="15"/>
      <x:c r="B92" s="28"/>
      <x:c r="C92" s="15"/>
      <x:c r="D92" s="15"/>
      <x:c r="E92" s="15"/>
      <x:c r="F92" s="15"/>
      <x:c r="G92" s="15"/>
      <x:c r="H92" s="136"/>
      <x:c r="I92" s="136"/>
      <x:c r="J92" s="136" t="str">
        <x:f>IF(COUNTA(H92:I92)=0,"",SUM(H92:I92))</x:f>
      </x:c>
      <x:c r="K92" s="70" t="str">
        <x:f>IF(E92="","",IFERROR(INDEX('05_Employees'!$H:$H,MATCH(E92,'05_Employees'!$A:$A,0)),"NO RATE"))</x:f>
      </x:c>
      <x:c r="L92" s="70" t="str">
        <x:f>IF(OR(J92="",NOT(ISNUMBER(K92))),"",J92*K92)</x:f>
      </x:c>
      <x:c r="M92" s="15"/>
      <x:c r="N92" s="15" t="str">
        <x:f>IF(COUNTA(B92:I92,M92:M92)=0,"",TEXTJOIN("; ",TRUE,IF(B92="","Missing work date",""),IF(C92="","Missing project",""),IF(E92="","Missing employee",""),IF(H92="","Missing regular hours",""),IF(K92="NO RATE","Missing pay rate","")))</x:f>
      </x:c>
    </x:row>
    <x:row r="93" ht="20" customHeight="1">
      <x:c r="A93" s="15"/>
      <x:c r="B93" s="28"/>
      <x:c r="C93" s="15"/>
      <x:c r="D93" s="15"/>
      <x:c r="E93" s="15"/>
      <x:c r="F93" s="15"/>
      <x:c r="G93" s="15"/>
      <x:c r="H93" s="136"/>
      <x:c r="I93" s="136"/>
      <x:c r="J93" s="136" t="str">
        <x:f>IF(COUNTA(H93:I93)=0,"",SUM(H93:I93))</x:f>
      </x:c>
      <x:c r="K93" s="70" t="str">
        <x:f>IF(E93="","",IFERROR(INDEX('05_Employees'!$H:$H,MATCH(E93,'05_Employees'!$A:$A,0)),"NO RATE"))</x:f>
      </x:c>
      <x:c r="L93" s="70" t="str">
        <x:f>IF(OR(J93="",NOT(ISNUMBER(K93))),"",J93*K93)</x:f>
      </x:c>
      <x:c r="M93" s="15"/>
      <x:c r="N93" s="15" t="str">
        <x:f>IF(COUNTA(B93:I93,M93:M93)=0,"",TEXTJOIN("; ",TRUE,IF(B93="","Missing work date",""),IF(C93="","Missing project",""),IF(E93="","Missing employee",""),IF(H93="","Missing regular hours",""),IF(K93="NO RATE","Missing pay rate","")))</x:f>
      </x:c>
    </x:row>
    <x:row r="94" ht="20" customHeight="1">
      <x:c r="A94" s="15"/>
      <x:c r="B94" s="28"/>
      <x:c r="C94" s="15"/>
      <x:c r="D94" s="15"/>
      <x:c r="E94" s="15"/>
      <x:c r="F94" s="15"/>
      <x:c r="G94" s="15"/>
      <x:c r="H94" s="136"/>
      <x:c r="I94" s="136"/>
      <x:c r="J94" s="136" t="str">
        <x:f>IF(COUNTA(H94:I94)=0,"",SUM(H94:I94))</x:f>
      </x:c>
      <x:c r="K94" s="70" t="str">
        <x:f>IF(E94="","",IFERROR(INDEX('05_Employees'!$H:$H,MATCH(E94,'05_Employees'!$A:$A,0)),"NO RATE"))</x:f>
      </x:c>
      <x:c r="L94" s="70" t="str">
        <x:f>IF(OR(J94="",NOT(ISNUMBER(K94))),"",J94*K94)</x:f>
      </x:c>
      <x:c r="M94" s="15"/>
      <x:c r="N94" s="15" t="str">
        <x:f>IF(COUNTA(B94:I94,M94:M94)=0,"",TEXTJOIN("; ",TRUE,IF(B94="","Missing work date",""),IF(C94="","Missing project",""),IF(E94="","Missing employee",""),IF(H94="","Missing regular hours",""),IF(K94="NO RATE","Missing pay rate","")))</x:f>
      </x:c>
    </x:row>
    <x:row r="95" ht="20" customHeight="1">
      <x:c r="A95" s="15"/>
      <x:c r="B95" s="28"/>
      <x:c r="C95" s="15"/>
      <x:c r="D95" s="15"/>
      <x:c r="E95" s="15"/>
      <x:c r="F95" s="15"/>
      <x:c r="G95" s="15"/>
      <x:c r="H95" s="136"/>
      <x:c r="I95" s="136"/>
      <x:c r="J95" s="136" t="str">
        <x:f>IF(COUNTA(H95:I95)=0,"",SUM(H95:I95))</x:f>
      </x:c>
      <x:c r="K95" s="70" t="str">
        <x:f>IF(E95="","",IFERROR(INDEX('05_Employees'!$H:$H,MATCH(E95,'05_Employees'!$A:$A,0)),"NO RATE"))</x:f>
      </x:c>
      <x:c r="L95" s="70" t="str">
        <x:f>IF(OR(J95="",NOT(ISNUMBER(K95))),"",J95*K95)</x:f>
      </x:c>
      <x:c r="M95" s="15"/>
      <x:c r="N95" s="15" t="str">
        <x:f>IF(COUNTA(B95:I95,M95:M95)=0,"",TEXTJOIN("; ",TRUE,IF(B95="","Missing work date",""),IF(C95="","Missing project",""),IF(E95="","Missing employee",""),IF(H95="","Missing regular hours",""),IF(K95="NO RATE","Missing pay rate","")))</x:f>
      </x:c>
    </x:row>
    <x:row r="96" ht="20" customHeight="1">
      <x:c r="A96" s="15"/>
      <x:c r="B96" s="28"/>
      <x:c r="C96" s="15"/>
      <x:c r="D96" s="15"/>
      <x:c r="E96" s="15"/>
      <x:c r="F96" s="15"/>
      <x:c r="G96" s="15"/>
      <x:c r="H96" s="136"/>
      <x:c r="I96" s="136"/>
      <x:c r="J96" s="136" t="str">
        <x:f>IF(COUNTA(H96:I96)=0,"",SUM(H96:I96))</x:f>
      </x:c>
      <x:c r="K96" s="70" t="str">
        <x:f>IF(E96="","",IFERROR(INDEX('05_Employees'!$H:$H,MATCH(E96,'05_Employees'!$A:$A,0)),"NO RATE"))</x:f>
      </x:c>
      <x:c r="L96" s="70" t="str">
        <x:f>IF(OR(J96="",NOT(ISNUMBER(K96))),"",J96*K96)</x:f>
      </x:c>
      <x:c r="M96" s="15"/>
      <x:c r="N96" s="15" t="str">
        <x:f>IF(COUNTA(B96:I96,M96:M96)=0,"",TEXTJOIN("; ",TRUE,IF(B96="","Missing work date",""),IF(C96="","Missing project",""),IF(E96="","Missing employee",""),IF(H96="","Missing regular hours",""),IF(K96="NO RATE","Missing pay rate","")))</x:f>
      </x:c>
    </x:row>
    <x:row r="97" ht="20" customHeight="1">
      <x:c r="A97" s="15"/>
      <x:c r="B97" s="28"/>
      <x:c r="C97" s="15"/>
      <x:c r="D97" s="15"/>
      <x:c r="E97" s="15"/>
      <x:c r="F97" s="15"/>
      <x:c r="G97" s="15"/>
      <x:c r="H97" s="136"/>
      <x:c r="I97" s="136"/>
      <x:c r="J97" s="136" t="str">
        <x:f>IF(COUNTA(H97:I97)=0,"",SUM(H97:I97))</x:f>
      </x:c>
      <x:c r="K97" s="70" t="str">
        <x:f>IF(E97="","",IFERROR(INDEX('05_Employees'!$H:$H,MATCH(E97,'05_Employees'!$A:$A,0)),"NO RATE"))</x:f>
      </x:c>
      <x:c r="L97" s="70" t="str">
        <x:f>IF(OR(J97="",NOT(ISNUMBER(K97))),"",J97*K97)</x:f>
      </x:c>
      <x:c r="M97" s="15"/>
      <x:c r="N97" s="15" t="str">
        <x:f>IF(COUNTA(B97:I97,M97:M97)=0,"",TEXTJOIN("; ",TRUE,IF(B97="","Missing work date",""),IF(C97="","Missing project",""),IF(E97="","Missing employee",""),IF(H97="","Missing regular hours",""),IF(K97="NO RATE","Missing pay rate","")))</x:f>
      </x:c>
    </x:row>
    <x:row r="98" ht="20" customHeight="1">
      <x:c r="A98" s="15"/>
      <x:c r="B98" s="28"/>
      <x:c r="C98" s="15"/>
      <x:c r="D98" s="15"/>
      <x:c r="E98" s="15"/>
      <x:c r="F98" s="15"/>
      <x:c r="G98" s="15"/>
      <x:c r="H98" s="136"/>
      <x:c r="I98" s="136"/>
      <x:c r="J98" s="136" t="str">
        <x:f>IF(COUNTA(H98:I98)=0,"",SUM(H98:I98))</x:f>
      </x:c>
      <x:c r="K98" s="70" t="str">
        <x:f>IF(E98="","",IFERROR(INDEX('05_Employees'!$H:$H,MATCH(E98,'05_Employees'!$A:$A,0)),"NO RATE"))</x:f>
      </x:c>
      <x:c r="L98" s="70" t="str">
        <x:f>IF(OR(J98="",NOT(ISNUMBER(K98))),"",J98*K98)</x:f>
      </x:c>
      <x:c r="M98" s="15"/>
      <x:c r="N98" s="15" t="str">
        <x:f>IF(COUNTA(B98:I98,M98:M98)=0,"",TEXTJOIN("; ",TRUE,IF(B98="","Missing work date",""),IF(C98="","Missing project",""),IF(E98="","Missing employee",""),IF(H98="","Missing regular hours",""),IF(K98="NO RATE","Missing pay rate","")))</x:f>
      </x:c>
    </x:row>
    <x:row r="99" ht="20" customHeight="1">
      <x:c r="A99" s="15"/>
      <x:c r="B99" s="28"/>
      <x:c r="C99" s="15"/>
      <x:c r="D99" s="15"/>
      <x:c r="E99" s="15"/>
      <x:c r="F99" s="15"/>
      <x:c r="G99" s="15"/>
      <x:c r="H99" s="136"/>
      <x:c r="I99" s="136"/>
      <x:c r="J99" s="136" t="str">
        <x:f>IF(COUNTA(H99:I99)=0,"",SUM(H99:I99))</x:f>
      </x:c>
      <x:c r="K99" s="70" t="str">
        <x:f>IF(E99="","",IFERROR(INDEX('05_Employees'!$H:$H,MATCH(E99,'05_Employees'!$A:$A,0)),"NO RATE"))</x:f>
      </x:c>
      <x:c r="L99" s="70" t="str">
        <x:f>IF(OR(J99="",NOT(ISNUMBER(K99))),"",J99*K99)</x:f>
      </x:c>
      <x:c r="M99" s="15"/>
      <x:c r="N99" s="15" t="str">
        <x:f>IF(COUNTA(B99:I99,M99:M99)=0,"",TEXTJOIN("; ",TRUE,IF(B99="","Missing work date",""),IF(C99="","Missing project",""),IF(E99="","Missing employee",""),IF(H99="","Missing regular hours",""),IF(K99="NO RATE","Missing pay rate","")))</x:f>
      </x:c>
    </x:row>
    <x:row r="100" ht="20" customHeight="1">
      <x:c r="A100" s="15"/>
      <x:c r="B100" s="28"/>
      <x:c r="C100" s="15"/>
      <x:c r="D100" s="15"/>
      <x:c r="E100" s="15"/>
      <x:c r="F100" s="15"/>
      <x:c r="G100" s="15"/>
      <x:c r="H100" s="136"/>
      <x:c r="I100" s="136"/>
      <x:c r="J100" s="136" t="str">
        <x:f>IF(COUNTA(H100:I100)=0,"",SUM(H100:I100))</x:f>
      </x:c>
      <x:c r="K100" s="70" t="str">
        <x:f>IF(E100="","",IFERROR(INDEX('05_Employees'!$H:$H,MATCH(E100,'05_Employees'!$A:$A,0)),"NO RATE"))</x:f>
      </x:c>
      <x:c r="L100" s="70" t="str">
        <x:f>IF(OR(J100="",NOT(ISNUMBER(K100))),"",J100*K100)</x:f>
      </x:c>
      <x:c r="M100" s="15"/>
      <x:c r="N100" s="15" t="str">
        <x:f>IF(COUNTA(B100:I100,M100:M100)=0,"",TEXTJOIN("; ",TRUE,IF(B100="","Missing work date",""),IF(C100="","Missing project",""),IF(E100="","Missing employee",""),IF(H100="","Missing regular hours",""),IF(K100="NO RATE","Missing pay rate","")))</x:f>
      </x:c>
    </x:row>
    <x:row r="101" ht="20" customHeight="1">
      <x:c r="A101" s="15"/>
      <x:c r="B101" s="28"/>
      <x:c r="C101" s="15"/>
      <x:c r="D101" s="15"/>
      <x:c r="E101" s="15"/>
      <x:c r="F101" s="15"/>
      <x:c r="G101" s="15"/>
      <x:c r="H101" s="136"/>
      <x:c r="I101" s="136"/>
      <x:c r="J101" s="136" t="str">
        <x:f>IF(COUNTA(H101:I101)=0,"",SUM(H101:I101))</x:f>
      </x:c>
      <x:c r="K101" s="70" t="str">
        <x:f>IF(E101="","",IFERROR(INDEX('05_Employees'!$H:$H,MATCH(E101,'05_Employees'!$A:$A,0)),"NO RATE"))</x:f>
      </x:c>
      <x:c r="L101" s="70" t="str">
        <x:f>IF(OR(J101="",NOT(ISNUMBER(K101))),"",J101*K101)</x:f>
      </x:c>
      <x:c r="M101" s="15"/>
      <x:c r="N101" s="15" t="str">
        <x:f>IF(COUNTA(B101:I101,M101:M101)=0,"",TEXTJOIN("; ",TRUE,IF(B101="","Missing work date",""),IF(C101="","Missing project",""),IF(E101="","Missing employee",""),IF(H101="","Missing regular hours",""),IF(K101="NO RATE","Missing pay rate","")))</x:f>
      </x:c>
    </x:row>
    <x:row r="102" ht="20" customHeight="1">
      <x:c r="A102" s="15"/>
      <x:c r="B102" s="28"/>
      <x:c r="C102" s="15"/>
      <x:c r="D102" s="15"/>
      <x:c r="E102" s="15"/>
      <x:c r="F102" s="15"/>
      <x:c r="G102" s="15"/>
      <x:c r="H102" s="136"/>
      <x:c r="I102" s="136"/>
      <x:c r="J102" s="136" t="str">
        <x:f>IF(COUNTA(H102:I102)=0,"",SUM(H102:I102))</x:f>
      </x:c>
      <x:c r="K102" s="70" t="str">
        <x:f>IF(E102="","",IFERROR(INDEX('05_Employees'!$H:$H,MATCH(E102,'05_Employees'!$A:$A,0)),"NO RATE"))</x:f>
      </x:c>
      <x:c r="L102" s="70" t="str">
        <x:f>IF(OR(J102="",NOT(ISNUMBER(K102))),"",J102*K102)</x:f>
      </x:c>
      <x:c r="M102" s="15"/>
      <x:c r="N102" s="15" t="str">
        <x:f>IF(COUNTA(B102:I102,M102:M102)=0,"",TEXTJOIN("; ",TRUE,IF(B102="","Missing work date",""),IF(C102="","Missing project",""),IF(E102="","Missing employee",""),IF(H102="","Missing regular hours",""),IF(K102="NO RATE","Missing pay rate","")))</x:f>
      </x:c>
    </x:row>
    <x:row r="103" ht="20" customHeight="1">
      <x:c r="A103" s="15"/>
      <x:c r="B103" s="28"/>
      <x:c r="C103" s="15"/>
      <x:c r="D103" s="15"/>
      <x:c r="E103" s="15"/>
      <x:c r="F103" s="15"/>
      <x:c r="G103" s="15"/>
      <x:c r="H103" s="136"/>
      <x:c r="I103" s="136"/>
      <x:c r="J103" s="136" t="str">
        <x:f>IF(COUNTA(H103:I103)=0,"",SUM(H103:I103))</x:f>
      </x:c>
      <x:c r="K103" s="70" t="str">
        <x:f>IF(E103="","",IFERROR(INDEX('05_Employees'!$H:$H,MATCH(E103,'05_Employees'!$A:$A,0)),"NO RATE"))</x:f>
      </x:c>
      <x:c r="L103" s="70" t="str">
        <x:f>IF(OR(J103="",NOT(ISNUMBER(K103))),"",J103*K103)</x:f>
      </x:c>
      <x:c r="M103" s="15"/>
      <x:c r="N103" s="15" t="str">
        <x:f>IF(COUNTA(B103:I103,M103:M103)=0,"",TEXTJOIN("; ",TRUE,IF(B103="","Missing work date",""),IF(C103="","Missing project",""),IF(E103="","Missing employee",""),IF(H103="","Missing regular hours",""),IF(K103="NO RATE","Missing pay rate","")))</x:f>
      </x:c>
    </x:row>
    <x:row r="104" ht="20" customHeight="1">
      <x:c r="A104" s="15"/>
      <x:c r="B104" s="28"/>
      <x:c r="C104" s="15"/>
      <x:c r="D104" s="15"/>
      <x:c r="E104" s="15"/>
      <x:c r="F104" s="15"/>
      <x:c r="G104" s="15"/>
      <x:c r="H104" s="136"/>
      <x:c r="I104" s="136"/>
      <x:c r="J104" s="136" t="str">
        <x:f>IF(COUNTA(H104:I104)=0,"",SUM(H104:I104))</x:f>
      </x:c>
      <x:c r="K104" s="70" t="str">
        <x:f>IF(E104="","",IFERROR(INDEX('05_Employees'!$H:$H,MATCH(E104,'05_Employees'!$A:$A,0)),"NO RATE"))</x:f>
      </x:c>
      <x:c r="L104" s="70" t="str">
        <x:f>IF(OR(J104="",NOT(ISNUMBER(K104))),"",J104*K104)</x:f>
      </x:c>
      <x:c r="M104" s="15"/>
      <x:c r="N104" s="15" t="str">
        <x:f>IF(COUNTA(B104:I104,M104:M104)=0,"",TEXTJOIN("; ",TRUE,IF(B104="","Missing work date",""),IF(C104="","Missing project",""),IF(E104="","Missing employee",""),IF(H104="","Missing regular hours",""),IF(K104="NO RATE","Missing pay rate","")))</x:f>
      </x:c>
    </x:row>
    <x:row r="105" ht="20" customHeight="1">
      <x:c r="A105" s="15"/>
      <x:c r="B105" s="28"/>
      <x:c r="C105" s="15"/>
      <x:c r="D105" s="15"/>
      <x:c r="E105" s="15"/>
      <x:c r="F105" s="15"/>
      <x:c r="G105" s="15"/>
      <x:c r="H105" s="136"/>
      <x:c r="I105" s="136"/>
      <x:c r="J105" s="136" t="str">
        <x:f>IF(COUNTA(H105:I105)=0,"",SUM(H105:I105))</x:f>
      </x:c>
      <x:c r="K105" s="70" t="str">
        <x:f>IF(E105="","",IFERROR(INDEX('05_Employees'!$H:$H,MATCH(E105,'05_Employees'!$A:$A,0)),"NO RATE"))</x:f>
      </x:c>
      <x:c r="L105" s="70" t="str">
        <x:f>IF(OR(J105="",NOT(ISNUMBER(K105))),"",J105*K105)</x:f>
      </x:c>
      <x:c r="M105" s="15"/>
      <x:c r="N105" s="15" t="str">
        <x:f>IF(COUNTA(B105:I105,M105:M105)=0,"",TEXTJOIN("; ",TRUE,IF(B105="","Missing work date",""),IF(C105="","Missing project",""),IF(E105="","Missing employee",""),IF(H105="","Missing regular hours",""),IF(K105="NO RATE","Missing pay rate","")))</x:f>
      </x:c>
    </x:row>
    <x:row r="106" ht="20" customHeight="1">
      <x:c r="A106" s="15"/>
      <x:c r="B106" s="28"/>
      <x:c r="C106" s="15"/>
      <x:c r="D106" s="15"/>
      <x:c r="E106" s="15"/>
      <x:c r="F106" s="15"/>
      <x:c r="G106" s="15"/>
      <x:c r="H106" s="136"/>
      <x:c r="I106" s="136"/>
      <x:c r="J106" s="136" t="str">
        <x:f>IF(COUNTA(H106:I106)=0,"",SUM(H106:I106))</x:f>
      </x:c>
      <x:c r="K106" s="70" t="str">
        <x:f>IF(E106="","",IFERROR(INDEX('05_Employees'!$H:$H,MATCH(E106,'05_Employees'!$A:$A,0)),"NO RATE"))</x:f>
      </x:c>
      <x:c r="L106" s="70" t="str">
        <x:f>IF(OR(J106="",NOT(ISNUMBER(K106))),"",J106*K106)</x:f>
      </x:c>
      <x:c r="M106" s="15"/>
      <x:c r="N106" s="15" t="str">
        <x:f>IF(COUNTA(B106:I106,M106:M106)=0,"",TEXTJOIN("; ",TRUE,IF(B106="","Missing work date",""),IF(C106="","Missing project",""),IF(E106="","Missing employee",""),IF(H106="","Missing regular hours",""),IF(K106="NO RATE","Missing pay rate","")))</x:f>
      </x:c>
    </x:row>
    <x:row r="107" ht="20" customHeight="1">
      <x:c r="A107" s="15"/>
      <x:c r="B107" s="28"/>
      <x:c r="C107" s="15"/>
      <x:c r="D107" s="15"/>
      <x:c r="E107" s="15"/>
      <x:c r="F107" s="15"/>
      <x:c r="G107" s="15"/>
      <x:c r="H107" s="136"/>
      <x:c r="I107" s="136"/>
      <x:c r="J107" s="136" t="str">
        <x:f>IF(COUNTA(H107:I107)=0,"",SUM(H107:I107))</x:f>
      </x:c>
      <x:c r="K107" s="70" t="str">
        <x:f>IF(E107="","",IFERROR(INDEX('05_Employees'!$H:$H,MATCH(E107,'05_Employees'!$A:$A,0)),"NO RATE"))</x:f>
      </x:c>
      <x:c r="L107" s="70" t="str">
        <x:f>IF(OR(J107="",NOT(ISNUMBER(K107))),"",J107*K107)</x:f>
      </x:c>
      <x:c r="M107" s="15"/>
      <x:c r="N107" s="15" t="str">
        <x:f>IF(COUNTA(B107:I107,M107:M107)=0,"",TEXTJOIN("; ",TRUE,IF(B107="","Missing work date",""),IF(C107="","Missing project",""),IF(E107="","Missing employee",""),IF(H107="","Missing regular hours",""),IF(K107="NO RATE","Missing pay rate","")))</x:f>
      </x:c>
    </x:row>
    <x:row r="108" ht="20" customHeight="1">
      <x:c r="A108" s="15"/>
      <x:c r="B108" s="28"/>
      <x:c r="C108" s="15"/>
      <x:c r="D108" s="15"/>
      <x:c r="E108" s="15"/>
      <x:c r="F108" s="15"/>
      <x:c r="G108" s="15"/>
      <x:c r="H108" s="136"/>
      <x:c r="I108" s="136"/>
      <x:c r="J108" s="136" t="str">
        <x:f>IF(COUNTA(H108:I108)=0,"",SUM(H108:I108))</x:f>
      </x:c>
      <x:c r="K108" s="70" t="str">
        <x:f>IF(E108="","",IFERROR(INDEX('05_Employees'!$H:$H,MATCH(E108,'05_Employees'!$A:$A,0)),"NO RATE"))</x:f>
      </x:c>
      <x:c r="L108" s="70" t="str">
        <x:f>IF(OR(J108="",NOT(ISNUMBER(K108))),"",J108*K108)</x:f>
      </x:c>
      <x:c r="M108" s="15"/>
      <x:c r="N108" s="15" t="str">
        <x:f>IF(COUNTA(B108:I108,M108:M108)=0,"",TEXTJOIN("; ",TRUE,IF(B108="","Missing work date",""),IF(C108="","Missing project",""),IF(E108="","Missing employee",""),IF(H108="","Missing regular hours",""),IF(K108="NO RATE","Missing pay rate","")))</x:f>
      </x:c>
    </x:row>
    <x:row r="109" ht="20" customHeight="1">
      <x:c r="A109" s="15"/>
      <x:c r="B109" s="28"/>
      <x:c r="C109" s="15"/>
      <x:c r="D109" s="15"/>
      <x:c r="E109" s="15"/>
      <x:c r="F109" s="15"/>
      <x:c r="G109" s="15"/>
      <x:c r="H109" s="136"/>
      <x:c r="I109" s="136"/>
      <x:c r="J109" s="136" t="str">
        <x:f>IF(COUNTA(H109:I109)=0,"",SUM(H109:I109))</x:f>
      </x:c>
      <x:c r="K109" s="70" t="str">
        <x:f>IF(E109="","",IFERROR(INDEX('05_Employees'!$H:$H,MATCH(E109,'05_Employees'!$A:$A,0)),"NO RATE"))</x:f>
      </x:c>
      <x:c r="L109" s="70" t="str">
        <x:f>IF(OR(J109="",NOT(ISNUMBER(K109))),"",J109*K109)</x:f>
      </x:c>
      <x:c r="M109" s="15"/>
      <x:c r="N109" s="15" t="str">
        <x:f>IF(COUNTA(B109:I109,M109:M109)=0,"",TEXTJOIN("; ",TRUE,IF(B109="","Missing work date",""),IF(C109="","Missing project",""),IF(E109="","Missing employee",""),IF(H109="","Missing regular hours",""),IF(K109="NO RATE","Missing pay rate","")))</x:f>
      </x:c>
    </x:row>
    <x:row r="110" ht="20" customHeight="1">
      <x:c r="A110" s="15"/>
      <x:c r="B110" s="28"/>
      <x:c r="C110" s="15"/>
      <x:c r="D110" s="15"/>
      <x:c r="E110" s="15"/>
      <x:c r="F110" s="15"/>
      <x:c r="G110" s="15"/>
      <x:c r="H110" s="136"/>
      <x:c r="I110" s="136"/>
      <x:c r="J110" s="136" t="str">
        <x:f>IF(COUNTA(H110:I110)=0,"",SUM(H110:I110))</x:f>
      </x:c>
      <x:c r="K110" s="70" t="str">
        <x:f>IF(E110="","",IFERROR(INDEX('05_Employees'!$H:$H,MATCH(E110,'05_Employees'!$A:$A,0)),"NO RATE"))</x:f>
      </x:c>
      <x:c r="L110" s="70" t="str">
        <x:f>IF(OR(J110="",NOT(ISNUMBER(K110))),"",J110*K110)</x:f>
      </x:c>
      <x:c r="M110" s="15"/>
      <x:c r="N110" s="15" t="str">
        <x:f>IF(COUNTA(B110:I110,M110:M110)=0,"",TEXTJOIN("; ",TRUE,IF(B110="","Missing work date",""),IF(C110="","Missing project",""),IF(E110="","Missing employee",""),IF(H110="","Missing regular hours",""),IF(K110="NO RATE","Missing pay rate","")))</x:f>
      </x:c>
    </x:row>
    <x:row r="111" ht="20" customHeight="1">
      <x:c r="A111" s="15"/>
      <x:c r="B111" s="28"/>
      <x:c r="C111" s="15"/>
      <x:c r="D111" s="15"/>
      <x:c r="E111" s="15"/>
      <x:c r="F111" s="15"/>
      <x:c r="G111" s="15"/>
      <x:c r="H111" s="136"/>
      <x:c r="I111" s="136"/>
      <x:c r="J111" s="136" t="str">
        <x:f>IF(COUNTA(H111:I111)=0,"",SUM(H111:I111))</x:f>
      </x:c>
      <x:c r="K111" s="70" t="str">
        <x:f>IF(E111="","",IFERROR(INDEX('05_Employees'!$H:$H,MATCH(E111,'05_Employees'!$A:$A,0)),"NO RATE"))</x:f>
      </x:c>
      <x:c r="L111" s="70" t="str">
        <x:f>IF(OR(J111="",NOT(ISNUMBER(K111))),"",J111*K111)</x:f>
      </x:c>
      <x:c r="M111" s="15"/>
      <x:c r="N111" s="15" t="str">
        <x:f>IF(COUNTA(B111:I111,M111:M111)=0,"",TEXTJOIN("; ",TRUE,IF(B111="","Missing work date",""),IF(C111="","Missing project",""),IF(E111="","Missing employee",""),IF(H111="","Missing regular hours",""),IF(K111="NO RATE","Missing pay rate","")))</x:f>
      </x:c>
    </x:row>
    <x:row r="112" ht="20" customHeight="1">
      <x:c r="A112" s="15"/>
      <x:c r="B112" s="28"/>
      <x:c r="C112" s="15"/>
      <x:c r="D112" s="15"/>
      <x:c r="E112" s="15"/>
      <x:c r="F112" s="15"/>
      <x:c r="G112" s="15"/>
      <x:c r="H112" s="136"/>
      <x:c r="I112" s="136"/>
      <x:c r="J112" s="136" t="str">
        <x:f>IF(COUNTA(H112:I112)=0,"",SUM(H112:I112))</x:f>
      </x:c>
      <x:c r="K112" s="70" t="str">
        <x:f>IF(E112="","",IFERROR(INDEX('05_Employees'!$H:$H,MATCH(E112,'05_Employees'!$A:$A,0)),"NO RATE"))</x:f>
      </x:c>
      <x:c r="L112" s="70" t="str">
        <x:f>IF(OR(J112="",NOT(ISNUMBER(K112))),"",J112*K112)</x:f>
      </x:c>
      <x:c r="M112" s="15"/>
      <x:c r="N112" s="15" t="str">
        <x:f>IF(COUNTA(B112:I112,M112:M112)=0,"",TEXTJOIN("; ",TRUE,IF(B112="","Missing work date",""),IF(C112="","Missing project",""),IF(E112="","Missing employee",""),IF(H112="","Missing regular hours",""),IF(K112="NO RATE","Missing pay rate","")))</x:f>
      </x:c>
    </x:row>
    <x:row r="113" ht="20" customHeight="1">
      <x:c r="A113" s="15"/>
      <x:c r="B113" s="28"/>
      <x:c r="C113" s="15"/>
      <x:c r="D113" s="15"/>
      <x:c r="E113" s="15"/>
      <x:c r="F113" s="15"/>
      <x:c r="G113" s="15"/>
      <x:c r="H113" s="136"/>
      <x:c r="I113" s="136"/>
      <x:c r="J113" s="136" t="str">
        <x:f>IF(COUNTA(H113:I113)=0,"",SUM(H113:I113))</x:f>
      </x:c>
      <x:c r="K113" s="70" t="str">
        <x:f>IF(E113="","",IFERROR(INDEX('05_Employees'!$H:$H,MATCH(E113,'05_Employees'!$A:$A,0)),"NO RATE"))</x:f>
      </x:c>
      <x:c r="L113" s="70" t="str">
        <x:f>IF(OR(J113="",NOT(ISNUMBER(K113))),"",J113*K113)</x:f>
      </x:c>
      <x:c r="M113" s="15"/>
      <x:c r="N113" s="15" t="str">
        <x:f>IF(COUNTA(B113:I113,M113:M113)=0,"",TEXTJOIN("; ",TRUE,IF(B113="","Missing work date",""),IF(C113="","Missing project",""),IF(E113="","Missing employee",""),IF(H113="","Missing regular hours",""),IF(K113="NO RATE","Missing pay rate","")))</x:f>
      </x:c>
    </x:row>
    <x:row r="114" ht="20" customHeight="1">
      <x:c r="A114" s="15"/>
      <x:c r="B114" s="28"/>
      <x:c r="C114" s="15"/>
      <x:c r="D114" s="15"/>
      <x:c r="E114" s="15"/>
      <x:c r="F114" s="15"/>
      <x:c r="G114" s="15"/>
      <x:c r="H114" s="136"/>
      <x:c r="I114" s="136"/>
      <x:c r="J114" s="136" t="str">
        <x:f>IF(COUNTA(H114:I114)=0,"",SUM(H114:I114))</x:f>
      </x:c>
      <x:c r="K114" s="70" t="str">
        <x:f>IF(E114="","",IFERROR(INDEX('05_Employees'!$H:$H,MATCH(E114,'05_Employees'!$A:$A,0)),"NO RATE"))</x:f>
      </x:c>
      <x:c r="L114" s="70" t="str">
        <x:f>IF(OR(J114="",NOT(ISNUMBER(K114))),"",J114*K114)</x:f>
      </x:c>
      <x:c r="M114" s="15"/>
      <x:c r="N114" s="15" t="str">
        <x:f>IF(COUNTA(B114:I114,M114:M114)=0,"",TEXTJOIN("; ",TRUE,IF(B114="","Missing work date",""),IF(C114="","Missing project",""),IF(E114="","Missing employee",""),IF(H114="","Missing regular hours",""),IF(K114="NO RATE","Missing pay rate","")))</x:f>
      </x:c>
    </x:row>
    <x:row r="115" ht="20" customHeight="1">
      <x:c r="A115" s="15"/>
      <x:c r="B115" s="28"/>
      <x:c r="C115" s="15"/>
      <x:c r="D115" s="15"/>
      <x:c r="E115" s="15"/>
      <x:c r="F115" s="15"/>
      <x:c r="G115" s="15"/>
      <x:c r="H115" s="136"/>
      <x:c r="I115" s="136"/>
      <x:c r="J115" s="136" t="str">
        <x:f>IF(COUNTA(H115:I115)=0,"",SUM(H115:I115))</x:f>
      </x:c>
      <x:c r="K115" s="70" t="str">
        <x:f>IF(E115="","",IFERROR(INDEX('05_Employees'!$H:$H,MATCH(E115,'05_Employees'!$A:$A,0)),"NO RATE"))</x:f>
      </x:c>
      <x:c r="L115" s="70" t="str">
        <x:f>IF(OR(J115="",NOT(ISNUMBER(K115))),"",J115*K115)</x:f>
      </x:c>
      <x:c r="M115" s="15"/>
      <x:c r="N115" s="15" t="str">
        <x:f>IF(COUNTA(B115:I115,M115:M115)=0,"",TEXTJOIN("; ",TRUE,IF(B115="","Missing work date",""),IF(C115="","Missing project",""),IF(E115="","Missing employee",""),IF(H115="","Missing regular hours",""),IF(K115="NO RATE","Missing pay rate","")))</x:f>
      </x:c>
    </x:row>
    <x:row r="116" ht="20" customHeight="1">
      <x:c r="A116" s="15"/>
      <x:c r="B116" s="28"/>
      <x:c r="C116" s="15"/>
      <x:c r="D116" s="15"/>
      <x:c r="E116" s="15"/>
      <x:c r="F116" s="15"/>
      <x:c r="G116" s="15"/>
      <x:c r="H116" s="136"/>
      <x:c r="I116" s="136"/>
      <x:c r="J116" s="136" t="str">
        <x:f>IF(COUNTA(H116:I116)=0,"",SUM(H116:I116))</x:f>
      </x:c>
      <x:c r="K116" s="70" t="str">
        <x:f>IF(E116="","",IFERROR(INDEX('05_Employees'!$H:$H,MATCH(E116,'05_Employees'!$A:$A,0)),"NO RATE"))</x:f>
      </x:c>
      <x:c r="L116" s="70" t="str">
        <x:f>IF(OR(J116="",NOT(ISNUMBER(K116))),"",J116*K116)</x:f>
      </x:c>
      <x:c r="M116" s="15"/>
      <x:c r="N116" s="15" t="str">
        <x:f>IF(COUNTA(B116:I116,M116:M116)=0,"",TEXTJOIN("; ",TRUE,IF(B116="","Missing work date",""),IF(C116="","Missing project",""),IF(E116="","Missing employee",""),IF(H116="","Missing regular hours",""),IF(K116="NO RATE","Missing pay rate","")))</x:f>
      </x:c>
    </x:row>
    <x:row r="117" ht="20" customHeight="1">
      <x:c r="A117" s="15"/>
      <x:c r="B117" s="28"/>
      <x:c r="C117" s="15"/>
      <x:c r="D117" s="15"/>
      <x:c r="E117" s="15"/>
      <x:c r="F117" s="15"/>
      <x:c r="G117" s="15"/>
      <x:c r="H117" s="136"/>
      <x:c r="I117" s="136"/>
      <x:c r="J117" s="136" t="str">
        <x:f>IF(COUNTA(H117:I117)=0,"",SUM(H117:I117))</x:f>
      </x:c>
      <x:c r="K117" s="70" t="str">
        <x:f>IF(E117="","",IFERROR(INDEX('05_Employees'!$H:$H,MATCH(E117,'05_Employees'!$A:$A,0)),"NO RATE"))</x:f>
      </x:c>
      <x:c r="L117" s="70" t="str">
        <x:f>IF(OR(J117="",NOT(ISNUMBER(K117))),"",J117*K117)</x:f>
      </x:c>
      <x:c r="M117" s="15"/>
      <x:c r="N117" s="15" t="str">
        <x:f>IF(COUNTA(B117:I117,M117:M117)=0,"",TEXTJOIN("; ",TRUE,IF(B117="","Missing work date",""),IF(C117="","Missing project",""),IF(E117="","Missing employee",""),IF(H117="","Missing regular hours",""),IF(K117="NO RATE","Missing pay rate","")))</x:f>
      </x:c>
    </x:row>
    <x:row r="118" ht="20" customHeight="1">
      <x:c r="A118" s="15"/>
      <x:c r="B118" s="28"/>
      <x:c r="C118" s="15"/>
      <x:c r="D118" s="15"/>
      <x:c r="E118" s="15"/>
      <x:c r="F118" s="15"/>
      <x:c r="G118" s="15"/>
      <x:c r="H118" s="136"/>
      <x:c r="I118" s="136"/>
      <x:c r="J118" s="136" t="str">
        <x:f>IF(COUNTA(H118:I118)=0,"",SUM(H118:I118))</x:f>
      </x:c>
      <x:c r="K118" s="70" t="str">
        <x:f>IF(E118="","",IFERROR(INDEX('05_Employees'!$H:$H,MATCH(E118,'05_Employees'!$A:$A,0)),"NO RATE"))</x:f>
      </x:c>
      <x:c r="L118" s="70" t="str">
        <x:f>IF(OR(J118="",NOT(ISNUMBER(K118))),"",J118*K118)</x:f>
      </x:c>
      <x:c r="M118" s="15"/>
      <x:c r="N118" s="15" t="str">
        <x:f>IF(COUNTA(B118:I118,M118:M118)=0,"",TEXTJOIN("; ",TRUE,IF(B118="","Missing work date",""),IF(C118="","Missing project",""),IF(E118="","Missing employee",""),IF(H118="","Missing regular hours",""),IF(K118="NO RATE","Missing pay rate","")))</x:f>
      </x:c>
    </x:row>
    <x:row r="119" ht="20" customHeight="1">
      <x:c r="A119" s="15"/>
      <x:c r="B119" s="28"/>
      <x:c r="C119" s="15"/>
      <x:c r="D119" s="15"/>
      <x:c r="E119" s="15"/>
      <x:c r="F119" s="15"/>
      <x:c r="G119" s="15"/>
      <x:c r="H119" s="136"/>
      <x:c r="I119" s="136"/>
      <x:c r="J119" s="136" t="str">
        <x:f>IF(COUNTA(H119:I119)=0,"",SUM(H119:I119))</x:f>
      </x:c>
      <x:c r="K119" s="70" t="str">
        <x:f>IF(E119="","",IFERROR(INDEX('05_Employees'!$H:$H,MATCH(E119,'05_Employees'!$A:$A,0)),"NO RATE"))</x:f>
      </x:c>
      <x:c r="L119" s="70" t="str">
        <x:f>IF(OR(J119="",NOT(ISNUMBER(K119))),"",J119*K119)</x:f>
      </x:c>
      <x:c r="M119" s="15"/>
      <x:c r="N119" s="15" t="str">
        <x:f>IF(COUNTA(B119:I119,M119:M119)=0,"",TEXTJOIN("; ",TRUE,IF(B119="","Missing work date",""),IF(C119="","Missing project",""),IF(E119="","Missing employee",""),IF(H119="","Missing regular hours",""),IF(K119="NO RATE","Missing pay rate","")))</x:f>
      </x:c>
    </x:row>
    <x:row r="120" ht="20" customHeight="1">
      <x:c r="A120" s="15"/>
      <x:c r="B120" s="28"/>
      <x:c r="C120" s="15"/>
      <x:c r="D120" s="15"/>
      <x:c r="E120" s="15"/>
      <x:c r="F120" s="15"/>
      <x:c r="G120" s="15"/>
      <x:c r="H120" s="136"/>
      <x:c r="I120" s="136"/>
      <x:c r="J120" s="136" t="str">
        <x:f>IF(COUNTA(H120:I120)=0,"",SUM(H120:I120))</x:f>
      </x:c>
      <x:c r="K120" s="70" t="str">
        <x:f>IF(E120="","",IFERROR(INDEX('05_Employees'!$H:$H,MATCH(E120,'05_Employees'!$A:$A,0)),"NO RATE"))</x:f>
      </x:c>
      <x:c r="L120" s="70" t="str">
        <x:f>IF(OR(J120="",NOT(ISNUMBER(K120))),"",J120*K120)</x:f>
      </x:c>
      <x:c r="M120" s="15"/>
      <x:c r="N120" s="15" t="str">
        <x:f>IF(COUNTA(B120:I120,M120:M120)=0,"",TEXTJOIN("; ",TRUE,IF(B120="","Missing work date",""),IF(C120="","Missing project",""),IF(E120="","Missing employee",""),IF(H120="","Missing regular hours",""),IF(K120="NO RATE","Missing pay rate","")))</x:f>
      </x:c>
    </x:row>
    <x:row r="121" ht="20" customHeight="1">
      <x:c r="A121" s="15"/>
      <x:c r="B121" s="28"/>
      <x:c r="C121" s="15"/>
      <x:c r="D121" s="15"/>
      <x:c r="E121" s="15"/>
      <x:c r="F121" s="15"/>
      <x:c r="G121" s="15"/>
      <x:c r="H121" s="136"/>
      <x:c r="I121" s="136"/>
      <x:c r="J121" s="136" t="str">
        <x:f>IF(COUNTA(H121:I121)=0,"",SUM(H121:I121))</x:f>
      </x:c>
      <x:c r="K121" s="70" t="str">
        <x:f>IF(E121="","",IFERROR(INDEX('05_Employees'!$H:$H,MATCH(E121,'05_Employees'!$A:$A,0)),"NO RATE"))</x:f>
      </x:c>
      <x:c r="L121" s="70" t="str">
        <x:f>IF(OR(J121="",NOT(ISNUMBER(K121))),"",J121*K121)</x:f>
      </x:c>
      <x:c r="M121" s="15"/>
      <x:c r="N121" s="15" t="str">
        <x:f>IF(COUNTA(B121:I121,M121:M121)=0,"",TEXTJOIN("; ",TRUE,IF(B121="","Missing work date",""),IF(C121="","Missing project",""),IF(E121="","Missing employee",""),IF(H121="","Missing regular hours",""),IF(K121="NO RATE","Missing pay rate","")))</x:f>
      </x:c>
    </x:row>
    <x:row r="122" ht="20" customHeight="1">
      <x:c r="A122" s="15"/>
      <x:c r="B122" s="28"/>
      <x:c r="C122" s="15"/>
      <x:c r="D122" s="15"/>
      <x:c r="E122" s="15"/>
      <x:c r="F122" s="15"/>
      <x:c r="G122" s="15"/>
      <x:c r="H122" s="136"/>
      <x:c r="I122" s="136"/>
      <x:c r="J122" s="136" t="str">
        <x:f>IF(COUNTA(H122:I122)=0,"",SUM(H122:I122))</x:f>
      </x:c>
      <x:c r="K122" s="70" t="str">
        <x:f>IF(E122="","",IFERROR(INDEX('05_Employees'!$H:$H,MATCH(E122,'05_Employees'!$A:$A,0)),"NO RATE"))</x:f>
      </x:c>
      <x:c r="L122" s="70" t="str">
        <x:f>IF(OR(J122="",NOT(ISNUMBER(K122))),"",J122*K122)</x:f>
      </x:c>
      <x:c r="M122" s="15"/>
      <x:c r="N122" s="15" t="str">
        <x:f>IF(COUNTA(B122:I122,M122:M122)=0,"",TEXTJOIN("; ",TRUE,IF(B122="","Missing work date",""),IF(C122="","Missing project",""),IF(E122="","Missing employee",""),IF(H122="","Missing regular hours",""),IF(K122="NO RATE","Missing pay rate","")))</x:f>
      </x:c>
    </x:row>
    <x:row r="123" ht="20" customHeight="1">
      <x:c r="A123" s="15"/>
      <x:c r="B123" s="28"/>
      <x:c r="C123" s="15"/>
      <x:c r="D123" s="15"/>
      <x:c r="E123" s="15"/>
      <x:c r="F123" s="15"/>
      <x:c r="G123" s="15"/>
      <x:c r="H123" s="136"/>
      <x:c r="I123" s="136"/>
      <x:c r="J123" s="136" t="str">
        <x:f>IF(COUNTA(H123:I123)=0,"",SUM(H123:I123))</x:f>
      </x:c>
      <x:c r="K123" s="70" t="str">
        <x:f>IF(E123="","",IFERROR(INDEX('05_Employees'!$H:$H,MATCH(E123,'05_Employees'!$A:$A,0)),"NO RATE"))</x:f>
      </x:c>
      <x:c r="L123" s="70" t="str">
        <x:f>IF(OR(J123="",NOT(ISNUMBER(K123))),"",J123*K123)</x:f>
      </x:c>
      <x:c r="M123" s="15"/>
      <x:c r="N123" s="15" t="str">
        <x:f>IF(COUNTA(B123:I123,M123:M123)=0,"",TEXTJOIN("; ",TRUE,IF(B123="","Missing work date",""),IF(C123="","Missing project",""),IF(E123="","Missing employee",""),IF(H123="","Missing regular hours",""),IF(K123="NO RATE","Missing pay rate","")))</x:f>
      </x:c>
    </x:row>
    <x:row r="124" ht="20" customHeight="1">
      <x:c r="A124" s="15"/>
      <x:c r="B124" s="28"/>
      <x:c r="C124" s="15"/>
      <x:c r="D124" s="15"/>
      <x:c r="E124" s="15"/>
      <x:c r="F124" s="15"/>
      <x:c r="G124" s="15"/>
      <x:c r="H124" s="136"/>
      <x:c r="I124" s="136"/>
      <x:c r="J124" s="136" t="str">
        <x:f>IF(COUNTA(H124:I124)=0,"",SUM(H124:I124))</x:f>
      </x:c>
      <x:c r="K124" s="70" t="str">
        <x:f>IF(E124="","",IFERROR(INDEX('05_Employees'!$H:$H,MATCH(E124,'05_Employees'!$A:$A,0)),"NO RATE"))</x:f>
      </x:c>
      <x:c r="L124" s="70" t="str">
        <x:f>IF(OR(J124="",NOT(ISNUMBER(K124))),"",J124*K124)</x:f>
      </x:c>
      <x:c r="M124" s="15"/>
      <x:c r="N124" s="15" t="str">
        <x:f>IF(COUNTA(B124:I124,M124:M124)=0,"",TEXTJOIN("; ",TRUE,IF(B124="","Missing work date",""),IF(C124="","Missing project",""),IF(E124="","Missing employee",""),IF(H124="","Missing regular hours",""),IF(K124="NO RATE","Missing pay rate","")))</x:f>
      </x:c>
    </x:row>
    <x:row r="125" ht="20" customHeight="1">
      <x:c r="A125" s="15"/>
      <x:c r="B125" s="28"/>
      <x:c r="C125" s="15"/>
      <x:c r="D125" s="15"/>
      <x:c r="E125" s="15"/>
      <x:c r="F125" s="15"/>
      <x:c r="G125" s="15"/>
      <x:c r="H125" s="136"/>
      <x:c r="I125" s="136"/>
      <x:c r="J125" s="136" t="str">
        <x:f>IF(COUNTA(H125:I125)=0,"",SUM(H125:I125))</x:f>
      </x:c>
      <x:c r="K125" s="70" t="str">
        <x:f>IF(E125="","",IFERROR(INDEX('05_Employees'!$H:$H,MATCH(E125,'05_Employees'!$A:$A,0)),"NO RATE"))</x:f>
      </x:c>
      <x:c r="L125" s="70" t="str">
        <x:f>IF(OR(J125="",NOT(ISNUMBER(K125))),"",J125*K125)</x:f>
      </x:c>
      <x:c r="M125" s="15"/>
      <x:c r="N125" s="15" t="str">
        <x:f>IF(COUNTA(B125:I125,M125:M125)=0,"",TEXTJOIN("; ",TRUE,IF(B125="","Missing work date",""),IF(C125="","Missing project",""),IF(E125="","Missing employee",""),IF(H125="","Missing regular hours",""),IF(K125="NO RATE","Missing pay rate","")))</x:f>
      </x:c>
    </x:row>
    <x:row r="126" ht="20" customHeight="1">
      <x:c r="A126" s="15"/>
      <x:c r="B126" s="28"/>
      <x:c r="C126" s="15"/>
      <x:c r="D126" s="15"/>
      <x:c r="E126" s="15"/>
      <x:c r="F126" s="15"/>
      <x:c r="G126" s="15"/>
      <x:c r="H126" s="136"/>
      <x:c r="I126" s="136"/>
      <x:c r="J126" s="136" t="str">
        <x:f>IF(COUNTA(H126:I126)=0,"",SUM(H126:I126))</x:f>
      </x:c>
      <x:c r="K126" s="70" t="str">
        <x:f>IF(E126="","",IFERROR(INDEX('05_Employees'!$H:$H,MATCH(E126,'05_Employees'!$A:$A,0)),"NO RATE"))</x:f>
      </x:c>
      <x:c r="L126" s="70" t="str">
        <x:f>IF(OR(J126="",NOT(ISNUMBER(K126))),"",J126*K126)</x:f>
      </x:c>
      <x:c r="M126" s="15"/>
      <x:c r="N126" s="15" t="str">
        <x:f>IF(COUNTA(B126:I126,M126:M126)=0,"",TEXTJOIN("; ",TRUE,IF(B126="","Missing work date",""),IF(C126="","Missing project",""),IF(E126="","Missing employee",""),IF(H126="","Missing regular hours",""),IF(K126="NO RATE","Missing pay rate","")))</x:f>
      </x:c>
    </x:row>
    <x:row r="127" ht="20" customHeight="1">
      <x:c r="A127" s="15"/>
      <x:c r="B127" s="28"/>
      <x:c r="C127" s="15"/>
      <x:c r="D127" s="15"/>
      <x:c r="E127" s="15"/>
      <x:c r="F127" s="15"/>
      <x:c r="G127" s="15"/>
      <x:c r="H127" s="136"/>
      <x:c r="I127" s="136"/>
      <x:c r="J127" s="136" t="str">
        <x:f>IF(COUNTA(H127:I127)=0,"",SUM(H127:I127))</x:f>
      </x:c>
      <x:c r="K127" s="70" t="str">
        <x:f>IF(E127="","",IFERROR(INDEX('05_Employees'!$H:$H,MATCH(E127,'05_Employees'!$A:$A,0)),"NO RATE"))</x:f>
      </x:c>
      <x:c r="L127" s="70" t="str">
        <x:f>IF(OR(J127="",NOT(ISNUMBER(K127))),"",J127*K127)</x:f>
      </x:c>
      <x:c r="M127" s="15"/>
      <x:c r="N127" s="15" t="str">
        <x:f>IF(COUNTA(B127:I127,M127:M127)=0,"",TEXTJOIN("; ",TRUE,IF(B127="","Missing work date",""),IF(C127="","Missing project",""),IF(E127="","Missing employee",""),IF(H127="","Missing regular hours",""),IF(K127="NO RATE","Missing pay rate","")))</x:f>
      </x:c>
    </x:row>
    <x:row r="128" ht="20" customHeight="1">
      <x:c r="A128" s="15"/>
      <x:c r="B128" s="28"/>
      <x:c r="C128" s="15"/>
      <x:c r="D128" s="15"/>
      <x:c r="E128" s="15"/>
      <x:c r="F128" s="15"/>
      <x:c r="G128" s="15"/>
      <x:c r="H128" s="136"/>
      <x:c r="I128" s="136"/>
      <x:c r="J128" s="136" t="str">
        <x:f>IF(COUNTA(H128:I128)=0,"",SUM(H128:I128))</x:f>
      </x:c>
      <x:c r="K128" s="70" t="str">
        <x:f>IF(E128="","",IFERROR(INDEX('05_Employees'!$H:$H,MATCH(E128,'05_Employees'!$A:$A,0)),"NO RATE"))</x:f>
      </x:c>
      <x:c r="L128" s="70" t="str">
        <x:f>IF(OR(J128="",NOT(ISNUMBER(K128))),"",J128*K128)</x:f>
      </x:c>
      <x:c r="M128" s="15"/>
      <x:c r="N128" s="15" t="str">
        <x:f>IF(COUNTA(B128:I128,M128:M128)=0,"",TEXTJOIN("; ",TRUE,IF(B128="","Missing work date",""),IF(C128="","Missing project",""),IF(E128="","Missing employee",""),IF(H128="","Missing regular hours",""),IF(K128="NO RATE","Missing pay rate","")))</x:f>
      </x:c>
    </x:row>
    <x:row r="129" ht="20" customHeight="1">
      <x:c r="A129" s="15"/>
      <x:c r="B129" s="28"/>
      <x:c r="C129" s="15"/>
      <x:c r="D129" s="15"/>
      <x:c r="E129" s="15"/>
      <x:c r="F129" s="15"/>
      <x:c r="G129" s="15"/>
      <x:c r="H129" s="136"/>
      <x:c r="I129" s="136"/>
      <x:c r="J129" s="136" t="str">
        <x:f>IF(COUNTA(H129:I129)=0,"",SUM(H129:I129))</x:f>
      </x:c>
      <x:c r="K129" s="70" t="str">
        <x:f>IF(E129="","",IFERROR(INDEX('05_Employees'!$H:$H,MATCH(E129,'05_Employees'!$A:$A,0)),"NO RATE"))</x:f>
      </x:c>
      <x:c r="L129" s="70" t="str">
        <x:f>IF(OR(J129="",NOT(ISNUMBER(K129))),"",J129*K129)</x:f>
      </x:c>
      <x:c r="M129" s="15"/>
      <x:c r="N129" s="15" t="str">
        <x:f>IF(COUNTA(B129:I129,M129:M129)=0,"",TEXTJOIN("; ",TRUE,IF(B129="","Missing work date",""),IF(C129="","Missing project",""),IF(E129="","Missing employee",""),IF(H129="","Missing regular hours",""),IF(K129="NO RATE","Missing pay rate","")))</x:f>
      </x:c>
    </x:row>
    <x:row r="130" ht="20" customHeight="1">
      <x:c r="A130" s="15"/>
      <x:c r="B130" s="28"/>
      <x:c r="C130" s="15"/>
      <x:c r="D130" s="15"/>
      <x:c r="E130" s="15"/>
      <x:c r="F130" s="15"/>
      <x:c r="G130" s="15"/>
      <x:c r="H130" s="136"/>
      <x:c r="I130" s="136"/>
      <x:c r="J130" s="136" t="str">
        <x:f>IF(COUNTA(H130:I130)=0,"",SUM(H130:I130))</x:f>
      </x:c>
      <x:c r="K130" s="70" t="str">
        <x:f>IF(E130="","",IFERROR(INDEX('05_Employees'!$H:$H,MATCH(E130,'05_Employees'!$A:$A,0)),"NO RATE"))</x:f>
      </x:c>
      <x:c r="L130" s="70" t="str">
        <x:f>IF(OR(J130="",NOT(ISNUMBER(K130))),"",J130*K130)</x:f>
      </x:c>
      <x:c r="M130" s="15"/>
      <x:c r="N130" s="15" t="str">
        <x:f>IF(COUNTA(B130:I130,M130:M130)=0,"",TEXTJOIN("; ",TRUE,IF(B130="","Missing work date",""),IF(C130="","Missing project",""),IF(E130="","Missing employee",""),IF(H130="","Missing regular hours",""),IF(K130="NO RATE","Missing pay rate","")))</x:f>
      </x:c>
    </x:row>
    <x:row r="131" ht="20" customHeight="1">
      <x:c r="A131" s="15"/>
      <x:c r="B131" s="28"/>
      <x:c r="C131" s="15"/>
      <x:c r="D131" s="15"/>
      <x:c r="E131" s="15"/>
      <x:c r="F131" s="15"/>
      <x:c r="G131" s="15"/>
      <x:c r="H131" s="136"/>
      <x:c r="I131" s="136"/>
      <x:c r="J131" s="136" t="str">
        <x:f>IF(COUNTA(H131:I131)=0,"",SUM(H131:I131))</x:f>
      </x:c>
      <x:c r="K131" s="70" t="str">
        <x:f>IF(E131="","",IFERROR(INDEX('05_Employees'!$H:$H,MATCH(E131,'05_Employees'!$A:$A,0)),"NO RATE"))</x:f>
      </x:c>
      <x:c r="L131" s="70" t="str">
        <x:f>IF(OR(J131="",NOT(ISNUMBER(K131))),"",J131*K131)</x:f>
      </x:c>
      <x:c r="M131" s="15"/>
      <x:c r="N131" s="15" t="str">
        <x:f>IF(COUNTA(B131:I131,M131:M131)=0,"",TEXTJOIN("; ",TRUE,IF(B131="","Missing work date",""),IF(C131="","Missing project",""),IF(E131="","Missing employee",""),IF(H131="","Missing regular hours",""),IF(K131="NO RATE","Missing pay rate","")))</x:f>
      </x:c>
    </x:row>
    <x:row r="132" ht="20" customHeight="1">
      <x:c r="A132" s="15"/>
      <x:c r="B132" s="28"/>
      <x:c r="C132" s="15"/>
      <x:c r="D132" s="15"/>
      <x:c r="E132" s="15"/>
      <x:c r="F132" s="15"/>
      <x:c r="G132" s="15"/>
      <x:c r="H132" s="136"/>
      <x:c r="I132" s="136"/>
      <x:c r="J132" s="136" t="str">
        <x:f>IF(COUNTA(H132:I132)=0,"",SUM(H132:I132))</x:f>
      </x:c>
      <x:c r="K132" s="70" t="str">
        <x:f>IF(E132="","",IFERROR(INDEX('05_Employees'!$H:$H,MATCH(E132,'05_Employees'!$A:$A,0)),"NO RATE"))</x:f>
      </x:c>
      <x:c r="L132" s="70" t="str">
        <x:f>IF(OR(J132="",NOT(ISNUMBER(K132))),"",J132*K132)</x:f>
      </x:c>
      <x:c r="M132" s="15"/>
      <x:c r="N132" s="15" t="str">
        <x:f>IF(COUNTA(B132:I132,M132:M132)=0,"",TEXTJOIN("; ",TRUE,IF(B132="","Missing work date",""),IF(C132="","Missing project",""),IF(E132="","Missing employee",""),IF(H132="","Missing regular hours",""),IF(K132="NO RATE","Missing pay rate","")))</x:f>
      </x:c>
    </x:row>
    <x:row r="133" ht="20" customHeight="1">
      <x:c r="A133" s="15"/>
      <x:c r="B133" s="28"/>
      <x:c r="C133" s="15"/>
      <x:c r="D133" s="15"/>
      <x:c r="E133" s="15"/>
      <x:c r="F133" s="15"/>
      <x:c r="G133" s="15"/>
      <x:c r="H133" s="136"/>
      <x:c r="I133" s="136"/>
      <x:c r="J133" s="136" t="str">
        <x:f>IF(COUNTA(H133:I133)=0,"",SUM(H133:I133))</x:f>
      </x:c>
      <x:c r="K133" s="70" t="str">
        <x:f>IF(E133="","",IFERROR(INDEX('05_Employees'!$H:$H,MATCH(E133,'05_Employees'!$A:$A,0)),"NO RATE"))</x:f>
      </x:c>
      <x:c r="L133" s="70" t="str">
        <x:f>IF(OR(J133="",NOT(ISNUMBER(K133))),"",J133*K133)</x:f>
      </x:c>
      <x:c r="M133" s="15"/>
      <x:c r="N133" s="15" t="str">
        <x:f>IF(COUNTA(B133:I133,M133:M133)=0,"",TEXTJOIN("; ",TRUE,IF(B133="","Missing work date",""),IF(C133="","Missing project",""),IF(E133="","Missing employee",""),IF(H133="","Missing regular hours",""),IF(K133="NO RATE","Missing pay rate","")))</x:f>
      </x:c>
    </x:row>
    <x:row r="134" ht="20" customHeight="1">
      <x:c r="A134" s="15"/>
      <x:c r="B134" s="28"/>
      <x:c r="C134" s="15"/>
      <x:c r="D134" s="15"/>
      <x:c r="E134" s="15"/>
      <x:c r="F134" s="15"/>
      <x:c r="G134" s="15"/>
      <x:c r="H134" s="136"/>
      <x:c r="I134" s="136"/>
      <x:c r="J134" s="136" t="str">
        <x:f>IF(COUNTA(H134:I134)=0,"",SUM(H134:I134))</x:f>
      </x:c>
      <x:c r="K134" s="70" t="str">
        <x:f>IF(E134="","",IFERROR(INDEX('05_Employees'!$H:$H,MATCH(E134,'05_Employees'!$A:$A,0)),"NO RATE"))</x:f>
      </x:c>
      <x:c r="L134" s="70" t="str">
        <x:f>IF(OR(J134="",NOT(ISNUMBER(K134))),"",J134*K134)</x:f>
      </x:c>
      <x:c r="M134" s="15"/>
      <x:c r="N134" s="15" t="str">
        <x:f>IF(COUNTA(B134:I134,M134:M134)=0,"",TEXTJOIN("; ",TRUE,IF(B134="","Missing work date",""),IF(C134="","Missing project",""),IF(E134="","Missing employee",""),IF(H134="","Missing regular hours",""),IF(K134="NO RATE","Missing pay rate","")))</x:f>
      </x:c>
    </x:row>
    <x:row r="135" ht="20" customHeight="1">
      <x:c r="A135" s="15"/>
      <x:c r="B135" s="28"/>
      <x:c r="C135" s="15"/>
      <x:c r="D135" s="15"/>
      <x:c r="E135" s="15"/>
      <x:c r="F135" s="15"/>
      <x:c r="G135" s="15"/>
      <x:c r="H135" s="136"/>
      <x:c r="I135" s="136"/>
      <x:c r="J135" s="136" t="str">
        <x:f>IF(COUNTA(H135:I135)=0,"",SUM(H135:I135))</x:f>
      </x:c>
      <x:c r="K135" s="70" t="str">
        <x:f>IF(E135="","",IFERROR(INDEX('05_Employees'!$H:$H,MATCH(E135,'05_Employees'!$A:$A,0)),"NO RATE"))</x:f>
      </x:c>
      <x:c r="L135" s="70" t="str">
        <x:f>IF(OR(J135="",NOT(ISNUMBER(K135))),"",J135*K135)</x:f>
      </x:c>
      <x:c r="M135" s="15"/>
      <x:c r="N135" s="15" t="str">
        <x:f>IF(COUNTA(B135:I135,M135:M135)=0,"",TEXTJOIN("; ",TRUE,IF(B135="","Missing work date",""),IF(C135="","Missing project",""),IF(E135="","Missing employee",""),IF(H135="","Missing regular hours",""),IF(K135="NO RATE","Missing pay rate","")))</x:f>
      </x:c>
    </x:row>
    <x:row r="136" ht="20" customHeight="1">
      <x:c r="A136" s="15"/>
      <x:c r="B136" s="28"/>
      <x:c r="C136" s="15"/>
      <x:c r="D136" s="15"/>
      <x:c r="E136" s="15"/>
      <x:c r="F136" s="15"/>
      <x:c r="G136" s="15"/>
      <x:c r="H136" s="136"/>
      <x:c r="I136" s="136"/>
      <x:c r="J136" s="136" t="str">
        <x:f>IF(COUNTA(H136:I136)=0,"",SUM(H136:I136))</x:f>
      </x:c>
      <x:c r="K136" s="70" t="str">
        <x:f>IF(E136="","",IFERROR(INDEX('05_Employees'!$H:$H,MATCH(E136,'05_Employees'!$A:$A,0)),"NO RATE"))</x:f>
      </x:c>
      <x:c r="L136" s="70" t="str">
        <x:f>IF(OR(J136="",NOT(ISNUMBER(K136))),"",J136*K136)</x:f>
      </x:c>
      <x:c r="M136" s="15"/>
      <x:c r="N136" s="15" t="str">
        <x:f>IF(COUNTA(B136:I136,M136:M136)=0,"",TEXTJOIN("; ",TRUE,IF(B136="","Missing work date",""),IF(C136="","Missing project",""),IF(E136="","Missing employee",""),IF(H136="","Missing regular hours",""),IF(K136="NO RATE","Missing pay rate","")))</x:f>
      </x:c>
    </x:row>
    <x:row r="137" ht="20" customHeight="1">
      <x:c r="A137" s="15"/>
      <x:c r="B137" s="28"/>
      <x:c r="C137" s="15"/>
      <x:c r="D137" s="15"/>
      <x:c r="E137" s="15"/>
      <x:c r="F137" s="15"/>
      <x:c r="G137" s="15"/>
      <x:c r="H137" s="136"/>
      <x:c r="I137" s="136"/>
      <x:c r="J137" s="136" t="str">
        <x:f>IF(COUNTA(H137:I137)=0,"",SUM(H137:I137))</x:f>
      </x:c>
      <x:c r="K137" s="70" t="str">
        <x:f>IF(E137="","",IFERROR(INDEX('05_Employees'!$H:$H,MATCH(E137,'05_Employees'!$A:$A,0)),"NO RATE"))</x:f>
      </x:c>
      <x:c r="L137" s="70" t="str">
        <x:f>IF(OR(J137="",NOT(ISNUMBER(K137))),"",J137*K137)</x:f>
      </x:c>
      <x:c r="M137" s="15"/>
      <x:c r="N137" s="15" t="str">
        <x:f>IF(COUNTA(B137:I137,M137:M137)=0,"",TEXTJOIN("; ",TRUE,IF(B137="","Missing work date",""),IF(C137="","Missing project",""),IF(E137="","Missing employee",""),IF(H137="","Missing regular hours",""),IF(K137="NO RATE","Missing pay rate","")))</x:f>
      </x:c>
    </x:row>
    <x:row r="138" ht="20" customHeight="1">
      <x:c r="A138" s="15"/>
      <x:c r="B138" s="28"/>
      <x:c r="C138" s="15"/>
      <x:c r="D138" s="15"/>
      <x:c r="E138" s="15"/>
      <x:c r="F138" s="15"/>
      <x:c r="G138" s="15"/>
      <x:c r="H138" s="136"/>
      <x:c r="I138" s="136"/>
      <x:c r="J138" s="136" t="str">
        <x:f>IF(COUNTA(H138:I138)=0,"",SUM(H138:I138))</x:f>
      </x:c>
      <x:c r="K138" s="70" t="str">
        <x:f>IF(E138="","",IFERROR(INDEX('05_Employees'!$H:$H,MATCH(E138,'05_Employees'!$A:$A,0)),"NO RATE"))</x:f>
      </x:c>
      <x:c r="L138" s="70" t="str">
        <x:f>IF(OR(J138="",NOT(ISNUMBER(K138))),"",J138*K138)</x:f>
      </x:c>
      <x:c r="M138" s="15"/>
      <x:c r="N138" s="15" t="str">
        <x:f>IF(COUNTA(B138:I138,M138:M138)=0,"",TEXTJOIN("; ",TRUE,IF(B138="","Missing work date",""),IF(C138="","Missing project",""),IF(E138="","Missing employee",""),IF(H138="","Missing regular hours",""),IF(K138="NO RATE","Missing pay rate","")))</x:f>
      </x:c>
    </x:row>
    <x:row r="139" ht="20" customHeight="1">
      <x:c r="A139" s="15"/>
      <x:c r="B139" s="28"/>
      <x:c r="C139" s="15"/>
      <x:c r="D139" s="15"/>
      <x:c r="E139" s="15"/>
      <x:c r="F139" s="15"/>
      <x:c r="G139" s="15"/>
      <x:c r="H139" s="136"/>
      <x:c r="I139" s="136"/>
      <x:c r="J139" s="136" t="str">
        <x:f>IF(COUNTA(H139:I139)=0,"",SUM(H139:I139))</x:f>
      </x:c>
      <x:c r="K139" s="70" t="str">
        <x:f>IF(E139="","",IFERROR(INDEX('05_Employees'!$H:$H,MATCH(E139,'05_Employees'!$A:$A,0)),"NO RATE"))</x:f>
      </x:c>
      <x:c r="L139" s="70" t="str">
        <x:f>IF(OR(J139="",NOT(ISNUMBER(K139))),"",J139*K139)</x:f>
      </x:c>
      <x:c r="M139" s="15"/>
      <x:c r="N139" s="15" t="str">
        <x:f>IF(COUNTA(B139:I139,M139:M139)=0,"",TEXTJOIN("; ",TRUE,IF(B139="","Missing work date",""),IF(C139="","Missing project",""),IF(E139="","Missing employee",""),IF(H139="","Missing regular hours",""),IF(K139="NO RATE","Missing pay rate","")))</x:f>
      </x:c>
    </x:row>
    <x:row r="140" ht="20" customHeight="1">
      <x:c r="A140" s="15"/>
      <x:c r="B140" s="28"/>
      <x:c r="C140" s="15"/>
      <x:c r="D140" s="15"/>
      <x:c r="E140" s="15"/>
      <x:c r="F140" s="15"/>
      <x:c r="G140" s="15"/>
      <x:c r="H140" s="136"/>
      <x:c r="I140" s="136"/>
      <x:c r="J140" s="136" t="str">
        <x:f>IF(COUNTA(H140:I140)=0,"",SUM(H140:I140))</x:f>
      </x:c>
      <x:c r="K140" s="70" t="str">
        <x:f>IF(E140="","",IFERROR(INDEX('05_Employees'!$H:$H,MATCH(E140,'05_Employees'!$A:$A,0)),"NO RATE"))</x:f>
      </x:c>
      <x:c r="L140" s="70" t="str">
        <x:f>IF(OR(J140="",NOT(ISNUMBER(K140))),"",J140*K140)</x:f>
      </x:c>
      <x:c r="M140" s="15"/>
      <x:c r="N140" s="15" t="str">
        <x:f>IF(COUNTA(B140:I140,M140:M140)=0,"",TEXTJOIN("; ",TRUE,IF(B140="","Missing work date",""),IF(C140="","Missing project",""),IF(E140="","Missing employee",""),IF(H140="","Missing regular hours",""),IF(K140="NO RATE","Missing pay rate","")))</x:f>
      </x:c>
    </x:row>
    <x:row r="141" ht="20" customHeight="1">
      <x:c r="A141" s="15"/>
      <x:c r="B141" s="28"/>
      <x:c r="C141" s="15"/>
      <x:c r="D141" s="15"/>
      <x:c r="E141" s="15"/>
      <x:c r="F141" s="15"/>
      <x:c r="G141" s="15"/>
      <x:c r="H141" s="136"/>
      <x:c r="I141" s="136"/>
      <x:c r="J141" s="136" t="str">
        <x:f>IF(COUNTA(H141:I141)=0,"",SUM(H141:I141))</x:f>
      </x:c>
      <x:c r="K141" s="70" t="str">
        <x:f>IF(E141="","",IFERROR(INDEX('05_Employees'!$H:$H,MATCH(E141,'05_Employees'!$A:$A,0)),"NO RATE"))</x:f>
      </x:c>
      <x:c r="L141" s="70" t="str">
        <x:f>IF(OR(J141="",NOT(ISNUMBER(K141))),"",J141*K141)</x:f>
      </x:c>
      <x:c r="M141" s="15"/>
      <x:c r="N141" s="15" t="str">
        <x:f>IF(COUNTA(B141:I141,M141:M141)=0,"",TEXTJOIN("; ",TRUE,IF(B141="","Missing work date",""),IF(C141="","Missing project",""),IF(E141="","Missing employee",""),IF(H141="","Missing regular hours",""),IF(K141="NO RATE","Missing pay rate","")))</x:f>
      </x:c>
    </x:row>
    <x:row r="142" ht="20" customHeight="1">
      <x:c r="A142" s="15"/>
      <x:c r="B142" s="28"/>
      <x:c r="C142" s="15"/>
      <x:c r="D142" s="15"/>
      <x:c r="E142" s="15"/>
      <x:c r="F142" s="15"/>
      <x:c r="G142" s="15"/>
      <x:c r="H142" s="136"/>
      <x:c r="I142" s="136"/>
      <x:c r="J142" s="136" t="str">
        <x:f>IF(COUNTA(H142:I142)=0,"",SUM(H142:I142))</x:f>
      </x:c>
      <x:c r="K142" s="70" t="str">
        <x:f>IF(E142="","",IFERROR(INDEX('05_Employees'!$H:$H,MATCH(E142,'05_Employees'!$A:$A,0)),"NO RATE"))</x:f>
      </x:c>
      <x:c r="L142" s="70" t="str">
        <x:f>IF(OR(J142="",NOT(ISNUMBER(K142))),"",J142*K142)</x:f>
      </x:c>
      <x:c r="M142" s="15"/>
      <x:c r="N142" s="15" t="str">
        <x:f>IF(COUNTA(B142:I142,M142:M142)=0,"",TEXTJOIN("; ",TRUE,IF(B142="","Missing work date",""),IF(C142="","Missing project",""),IF(E142="","Missing employee",""),IF(H142="","Missing regular hours",""),IF(K142="NO RATE","Missing pay rate","")))</x:f>
      </x:c>
    </x:row>
    <x:row r="143" ht="20" customHeight="1">
      <x:c r="A143" s="15"/>
      <x:c r="B143" s="28"/>
      <x:c r="C143" s="15"/>
      <x:c r="D143" s="15"/>
      <x:c r="E143" s="15"/>
      <x:c r="F143" s="15"/>
      <x:c r="G143" s="15"/>
      <x:c r="H143" s="136"/>
      <x:c r="I143" s="136"/>
      <x:c r="J143" s="136" t="str">
        <x:f>IF(COUNTA(H143:I143)=0,"",SUM(H143:I143))</x:f>
      </x:c>
      <x:c r="K143" s="70" t="str">
        <x:f>IF(E143="","",IFERROR(INDEX('05_Employees'!$H:$H,MATCH(E143,'05_Employees'!$A:$A,0)),"NO RATE"))</x:f>
      </x:c>
      <x:c r="L143" s="70" t="str">
        <x:f>IF(OR(J143="",NOT(ISNUMBER(K143))),"",J143*K143)</x:f>
      </x:c>
      <x:c r="M143" s="15"/>
      <x:c r="N143" s="15" t="str">
        <x:f>IF(COUNTA(B143:I143,M143:M143)=0,"",TEXTJOIN("; ",TRUE,IF(B143="","Missing work date",""),IF(C143="","Missing project",""),IF(E143="","Missing employee",""),IF(H143="","Missing regular hours",""),IF(K143="NO RATE","Missing pay rate","")))</x:f>
      </x:c>
    </x:row>
    <x:row r="144" ht="20" customHeight="1">
      <x:c r="A144" s="15"/>
      <x:c r="B144" s="28"/>
      <x:c r="C144" s="15"/>
      <x:c r="D144" s="15"/>
      <x:c r="E144" s="15"/>
      <x:c r="F144" s="15"/>
      <x:c r="G144" s="15"/>
      <x:c r="H144" s="136"/>
      <x:c r="I144" s="136"/>
      <x:c r="J144" s="136" t="str">
        <x:f>IF(COUNTA(H144:I144)=0,"",SUM(H144:I144))</x:f>
      </x:c>
      <x:c r="K144" s="70" t="str">
        <x:f>IF(E144="","",IFERROR(INDEX('05_Employees'!$H:$H,MATCH(E144,'05_Employees'!$A:$A,0)),"NO RATE"))</x:f>
      </x:c>
      <x:c r="L144" s="70" t="str">
        <x:f>IF(OR(J144="",NOT(ISNUMBER(K144))),"",J144*K144)</x:f>
      </x:c>
      <x:c r="M144" s="15"/>
      <x:c r="N144" s="15" t="str">
        <x:f>IF(COUNTA(B144:I144,M144:M144)=0,"",TEXTJOIN("; ",TRUE,IF(B144="","Missing work date",""),IF(C144="","Missing project",""),IF(E144="","Missing employee",""),IF(H144="","Missing regular hours",""),IF(K144="NO RATE","Missing pay rate","")))</x:f>
      </x:c>
    </x:row>
    <x:row r="145" ht="20" customHeight="1">
      <x:c r="A145" s="15"/>
      <x:c r="B145" s="28"/>
      <x:c r="C145" s="15"/>
      <x:c r="D145" s="15"/>
      <x:c r="E145" s="15"/>
      <x:c r="F145" s="15"/>
      <x:c r="G145" s="15"/>
      <x:c r="H145" s="136"/>
      <x:c r="I145" s="136"/>
      <x:c r="J145" s="136" t="str">
        <x:f>IF(COUNTA(H145:I145)=0,"",SUM(H145:I145))</x:f>
      </x:c>
      <x:c r="K145" s="70" t="str">
        <x:f>IF(E145="","",IFERROR(INDEX('05_Employees'!$H:$H,MATCH(E145,'05_Employees'!$A:$A,0)),"NO RATE"))</x:f>
      </x:c>
      <x:c r="L145" s="70" t="str">
        <x:f>IF(OR(J145="",NOT(ISNUMBER(K145))),"",J145*K145)</x:f>
      </x:c>
      <x:c r="M145" s="15"/>
      <x:c r="N145" s="15" t="str">
        <x:f>IF(COUNTA(B145:I145,M145:M145)=0,"",TEXTJOIN("; ",TRUE,IF(B145="","Missing work date",""),IF(C145="","Missing project",""),IF(E145="","Missing employee",""),IF(H145="","Missing regular hours",""),IF(K145="NO RATE","Missing pay rate","")))</x:f>
      </x:c>
    </x:row>
    <x:row r="146" ht="20" customHeight="1">
      <x:c r="A146" s="15"/>
      <x:c r="B146" s="28"/>
      <x:c r="C146" s="15"/>
      <x:c r="D146" s="15"/>
      <x:c r="E146" s="15"/>
      <x:c r="F146" s="15"/>
      <x:c r="G146" s="15"/>
      <x:c r="H146" s="136"/>
      <x:c r="I146" s="136"/>
      <x:c r="J146" s="136" t="str">
        <x:f>IF(COUNTA(H146:I146)=0,"",SUM(H146:I146))</x:f>
      </x:c>
      <x:c r="K146" s="70" t="str">
        <x:f>IF(E146="","",IFERROR(INDEX('05_Employees'!$H:$H,MATCH(E146,'05_Employees'!$A:$A,0)),"NO RATE"))</x:f>
      </x:c>
      <x:c r="L146" s="70" t="str">
        <x:f>IF(OR(J146="",NOT(ISNUMBER(K146))),"",J146*K146)</x:f>
      </x:c>
      <x:c r="M146" s="15"/>
      <x:c r="N146" s="15" t="str">
        <x:f>IF(COUNTA(B146:I146,M146:M146)=0,"",TEXTJOIN("; ",TRUE,IF(B146="","Missing work date",""),IF(C146="","Missing project",""),IF(E146="","Missing employee",""),IF(H146="","Missing regular hours",""),IF(K146="NO RATE","Missing pay rate","")))</x:f>
      </x:c>
    </x:row>
    <x:row r="147" ht="20" customHeight="1">
      <x:c r="A147" s="15"/>
      <x:c r="B147" s="28"/>
      <x:c r="C147" s="15"/>
      <x:c r="D147" s="15"/>
      <x:c r="E147" s="15"/>
      <x:c r="F147" s="15"/>
      <x:c r="G147" s="15"/>
      <x:c r="H147" s="136"/>
      <x:c r="I147" s="136"/>
      <x:c r="J147" s="136" t="str">
        <x:f>IF(COUNTA(H147:I147)=0,"",SUM(H147:I147))</x:f>
      </x:c>
      <x:c r="K147" s="70" t="str">
        <x:f>IF(E147="","",IFERROR(INDEX('05_Employees'!$H:$H,MATCH(E147,'05_Employees'!$A:$A,0)),"NO RATE"))</x:f>
      </x:c>
      <x:c r="L147" s="70" t="str">
        <x:f>IF(OR(J147="",NOT(ISNUMBER(K147))),"",J147*K147)</x:f>
      </x:c>
      <x:c r="M147" s="15"/>
      <x:c r="N147" s="15" t="str">
        <x:f>IF(COUNTA(B147:I147,M147:M147)=0,"",TEXTJOIN("; ",TRUE,IF(B147="","Missing work date",""),IF(C147="","Missing project",""),IF(E147="","Missing employee",""),IF(H147="","Missing regular hours",""),IF(K147="NO RATE","Missing pay rate","")))</x:f>
      </x:c>
    </x:row>
    <x:row r="148" ht="20" customHeight="1">
      <x:c r="A148" s="15"/>
      <x:c r="B148" s="28"/>
      <x:c r="C148" s="15"/>
      <x:c r="D148" s="15"/>
      <x:c r="E148" s="15"/>
      <x:c r="F148" s="15"/>
      <x:c r="G148" s="15"/>
      <x:c r="H148" s="136"/>
      <x:c r="I148" s="136"/>
      <x:c r="J148" s="136" t="str">
        <x:f>IF(COUNTA(H148:I148)=0,"",SUM(H148:I148))</x:f>
      </x:c>
      <x:c r="K148" s="70" t="str">
        <x:f>IF(E148="","",IFERROR(INDEX('05_Employees'!$H:$H,MATCH(E148,'05_Employees'!$A:$A,0)),"NO RATE"))</x:f>
      </x:c>
      <x:c r="L148" s="70" t="str">
        <x:f>IF(OR(J148="",NOT(ISNUMBER(K148))),"",J148*K148)</x:f>
      </x:c>
      <x:c r="M148" s="15"/>
      <x:c r="N148" s="15" t="str">
        <x:f>IF(COUNTA(B148:I148,M148:M148)=0,"",TEXTJOIN("; ",TRUE,IF(B148="","Missing work date",""),IF(C148="","Missing project",""),IF(E148="","Missing employee",""),IF(H148="","Missing regular hours",""),IF(K148="NO RATE","Missing pay rate","")))</x:f>
      </x:c>
    </x:row>
    <x:row r="149" ht="20" customHeight="1">
      <x:c r="A149" s="15"/>
      <x:c r="B149" s="28"/>
      <x:c r="C149" s="15"/>
      <x:c r="D149" s="15"/>
      <x:c r="E149" s="15"/>
      <x:c r="F149" s="15"/>
      <x:c r="G149" s="15"/>
      <x:c r="H149" s="136"/>
      <x:c r="I149" s="136"/>
      <x:c r="J149" s="136" t="str">
        <x:f>IF(COUNTA(H149:I149)=0,"",SUM(H149:I149))</x:f>
      </x:c>
      <x:c r="K149" s="70" t="str">
        <x:f>IF(E149="","",IFERROR(INDEX('05_Employees'!$H:$H,MATCH(E149,'05_Employees'!$A:$A,0)),"NO RATE"))</x:f>
      </x:c>
      <x:c r="L149" s="70" t="str">
        <x:f>IF(OR(J149="",NOT(ISNUMBER(K149))),"",J149*K149)</x:f>
      </x:c>
      <x:c r="M149" s="15"/>
      <x:c r="N149" s="15" t="str">
        <x:f>IF(COUNTA(B149:I149,M149:M149)=0,"",TEXTJOIN("; ",TRUE,IF(B149="","Missing work date",""),IF(C149="","Missing project",""),IF(E149="","Missing employee",""),IF(H149="","Missing regular hours",""),IF(K149="NO RATE","Missing pay rate","")))</x:f>
      </x:c>
    </x:row>
    <x:row r="150" ht="20" customHeight="1">
      <x:c r="A150" s="15"/>
      <x:c r="B150" s="28"/>
      <x:c r="C150" s="15"/>
      <x:c r="D150" s="15"/>
      <x:c r="E150" s="15"/>
      <x:c r="F150" s="15"/>
      <x:c r="G150" s="15"/>
      <x:c r="H150" s="136"/>
      <x:c r="I150" s="136"/>
      <x:c r="J150" s="136" t="str">
        <x:f>IF(COUNTA(H150:I150)=0,"",SUM(H150:I150))</x:f>
      </x:c>
      <x:c r="K150" s="70" t="str">
        <x:f>IF(E150="","",IFERROR(INDEX('05_Employees'!$H:$H,MATCH(E150,'05_Employees'!$A:$A,0)),"NO RATE"))</x:f>
      </x:c>
      <x:c r="L150" s="70" t="str">
        <x:f>IF(OR(J150="",NOT(ISNUMBER(K150))),"",J150*K150)</x:f>
      </x:c>
      <x:c r="M150" s="15"/>
      <x:c r="N150" s="15" t="str">
        <x:f>IF(COUNTA(B150:I150,M150:M150)=0,"",TEXTJOIN("; ",TRUE,IF(B150="","Missing work date",""),IF(C150="","Missing project",""),IF(E150="","Missing employee",""),IF(H150="","Missing regular hours",""),IF(K150="NO RATE","Missing pay rate","")))</x:f>
      </x:c>
    </x:row>
    <x:row r="151" ht="20" customHeight="1">
      <x:c r="A151" s="15"/>
      <x:c r="B151" s="28"/>
      <x:c r="C151" s="15"/>
      <x:c r="D151" s="15"/>
      <x:c r="E151" s="15"/>
      <x:c r="F151" s="15"/>
      <x:c r="G151" s="15"/>
      <x:c r="H151" s="136"/>
      <x:c r="I151" s="136"/>
      <x:c r="J151" s="136" t="str">
        <x:f>IF(COUNTA(H151:I151)=0,"",SUM(H151:I151))</x:f>
      </x:c>
      <x:c r="K151" s="70" t="str">
        <x:f>IF(E151="","",IFERROR(INDEX('05_Employees'!$H:$H,MATCH(E151,'05_Employees'!$A:$A,0)),"NO RATE"))</x:f>
      </x:c>
      <x:c r="L151" s="70" t="str">
        <x:f>IF(OR(J151="",NOT(ISNUMBER(K151))),"",J151*K151)</x:f>
      </x:c>
      <x:c r="M151" s="15"/>
      <x:c r="N151" s="15" t="str">
        <x:f>IF(COUNTA(B151:I151,M151:M151)=0,"",TEXTJOIN("; ",TRUE,IF(B151="","Missing work date",""),IF(C151="","Missing project",""),IF(E151="","Missing employee",""),IF(H151="","Missing regular hours",""),IF(K151="NO RATE","Missing pay rate","")))</x:f>
      </x:c>
    </x:row>
    <x:row r="152" ht="20" customHeight="1">
      <x:c r="A152" s="15"/>
      <x:c r="B152" s="28"/>
      <x:c r="C152" s="15"/>
      <x:c r="D152" s="15"/>
      <x:c r="E152" s="15"/>
      <x:c r="F152" s="15"/>
      <x:c r="G152" s="15"/>
      <x:c r="H152" s="136"/>
      <x:c r="I152" s="136"/>
      <x:c r="J152" s="136" t="str">
        <x:f>IF(COUNTA(H152:I152)=0,"",SUM(H152:I152))</x:f>
      </x:c>
      <x:c r="K152" s="70" t="str">
        <x:f>IF(E152="","",IFERROR(INDEX('05_Employees'!$H:$H,MATCH(E152,'05_Employees'!$A:$A,0)),"NO RATE"))</x:f>
      </x:c>
      <x:c r="L152" s="70" t="str">
        <x:f>IF(OR(J152="",NOT(ISNUMBER(K152))),"",J152*K152)</x:f>
      </x:c>
      <x:c r="M152" s="15"/>
      <x:c r="N152" s="15" t="str">
        <x:f>IF(COUNTA(B152:I152,M152:M152)=0,"",TEXTJOIN("; ",TRUE,IF(B152="","Missing work date",""),IF(C152="","Missing project",""),IF(E152="","Missing employee",""),IF(H152="","Missing regular hours",""),IF(K152="NO RATE","Missing pay rate","")))</x:f>
      </x:c>
    </x:row>
    <x:row r="153" ht="20" customHeight="1">
      <x:c r="A153" s="15"/>
      <x:c r="B153" s="28"/>
      <x:c r="C153" s="15"/>
      <x:c r="D153" s="15"/>
      <x:c r="E153" s="15"/>
      <x:c r="F153" s="15"/>
      <x:c r="G153" s="15"/>
      <x:c r="H153" s="136"/>
      <x:c r="I153" s="136"/>
      <x:c r="J153" s="136" t="str">
        <x:f>IF(COUNTA(H153:I153)=0,"",SUM(H153:I153))</x:f>
      </x:c>
      <x:c r="K153" s="70" t="str">
        <x:f>IF(E153="","",IFERROR(INDEX('05_Employees'!$H:$H,MATCH(E153,'05_Employees'!$A:$A,0)),"NO RATE"))</x:f>
      </x:c>
      <x:c r="L153" s="70" t="str">
        <x:f>IF(OR(J153="",NOT(ISNUMBER(K153))),"",J153*K153)</x:f>
      </x:c>
      <x:c r="M153" s="15"/>
      <x:c r="N153" s="15" t="str">
        <x:f>IF(COUNTA(B153:I153,M153:M153)=0,"",TEXTJOIN("; ",TRUE,IF(B153="","Missing work date",""),IF(C153="","Missing project",""),IF(E153="","Missing employee",""),IF(H153="","Missing regular hours",""),IF(K153="NO RATE","Missing pay rate","")))</x:f>
      </x:c>
    </x:row>
    <x:row r="154" ht="20" customHeight="1">
      <x:c r="A154" s="15"/>
      <x:c r="B154" s="28"/>
      <x:c r="C154" s="15"/>
      <x:c r="D154" s="15"/>
      <x:c r="E154" s="15"/>
      <x:c r="F154" s="15"/>
      <x:c r="G154" s="15"/>
      <x:c r="H154" s="136"/>
      <x:c r="I154" s="136"/>
      <x:c r="J154" s="136" t="str">
        <x:f>IF(COUNTA(H154:I154)=0,"",SUM(H154:I154))</x:f>
      </x:c>
      <x:c r="K154" s="70" t="str">
        <x:f>IF(E154="","",IFERROR(INDEX('05_Employees'!$H:$H,MATCH(E154,'05_Employees'!$A:$A,0)),"NO RATE"))</x:f>
      </x:c>
      <x:c r="L154" s="70" t="str">
        <x:f>IF(OR(J154="",NOT(ISNUMBER(K154))),"",J154*K154)</x:f>
      </x:c>
      <x:c r="M154" s="15"/>
      <x:c r="N154" s="15" t="str">
        <x:f>IF(COUNTA(B154:I154,M154:M154)=0,"",TEXTJOIN("; ",TRUE,IF(B154="","Missing work date",""),IF(C154="","Missing project",""),IF(E154="","Missing employee",""),IF(H154="","Missing regular hours",""),IF(K154="NO RATE","Missing pay rate","")))</x:f>
      </x:c>
    </x:row>
    <x:row r="155" ht="20" customHeight="1">
      <x:c r="A155" s="15"/>
      <x:c r="B155" s="28"/>
      <x:c r="C155" s="15"/>
      <x:c r="D155" s="15"/>
      <x:c r="E155" s="15"/>
      <x:c r="F155" s="15"/>
      <x:c r="G155" s="15"/>
      <x:c r="H155" s="136"/>
      <x:c r="I155" s="136"/>
      <x:c r="J155" s="136" t="str">
        <x:f>IF(COUNTA(H155:I155)=0,"",SUM(H155:I155))</x:f>
      </x:c>
      <x:c r="K155" s="70" t="str">
        <x:f>IF(E155="","",IFERROR(INDEX('05_Employees'!$H:$H,MATCH(E155,'05_Employees'!$A:$A,0)),"NO RATE"))</x:f>
      </x:c>
      <x:c r="L155" s="70" t="str">
        <x:f>IF(OR(J155="",NOT(ISNUMBER(K155))),"",J155*K155)</x:f>
      </x:c>
      <x:c r="M155" s="15"/>
      <x:c r="N155" s="15" t="str">
        <x:f>IF(COUNTA(B155:I155,M155:M155)=0,"",TEXTJOIN("; ",TRUE,IF(B155="","Missing work date",""),IF(C155="","Missing project",""),IF(E155="","Missing employee",""),IF(H155="","Missing regular hours",""),IF(K155="NO RATE","Missing pay rate","")))</x:f>
      </x:c>
    </x:row>
    <x:row r="156" ht="20" customHeight="1">
      <x:c r="A156" s="15"/>
      <x:c r="B156" s="28"/>
      <x:c r="C156" s="15"/>
      <x:c r="D156" s="15"/>
      <x:c r="E156" s="15"/>
      <x:c r="F156" s="15"/>
      <x:c r="G156" s="15"/>
      <x:c r="H156" s="136"/>
      <x:c r="I156" s="136"/>
      <x:c r="J156" s="136" t="str">
        <x:f>IF(COUNTA(H156:I156)=0,"",SUM(H156:I156))</x:f>
      </x:c>
      <x:c r="K156" s="70" t="str">
        <x:f>IF(E156="","",IFERROR(INDEX('05_Employees'!$H:$H,MATCH(E156,'05_Employees'!$A:$A,0)),"NO RATE"))</x:f>
      </x:c>
      <x:c r="L156" s="70" t="str">
        <x:f>IF(OR(J156="",NOT(ISNUMBER(K156))),"",J156*K156)</x:f>
      </x:c>
      <x:c r="M156" s="15"/>
      <x:c r="N156" s="15" t="str">
        <x:f>IF(COUNTA(B156:I156,M156:M156)=0,"",TEXTJOIN("; ",TRUE,IF(B156="","Missing work date",""),IF(C156="","Missing project",""),IF(E156="","Missing employee",""),IF(H156="","Missing regular hours",""),IF(K156="NO RATE","Missing pay rate","")))</x:f>
      </x:c>
    </x:row>
    <x:row r="157" ht="20" customHeight="1">
      <x:c r="A157" s="15"/>
      <x:c r="B157" s="28"/>
      <x:c r="C157" s="15"/>
      <x:c r="D157" s="15"/>
      <x:c r="E157" s="15"/>
      <x:c r="F157" s="15"/>
      <x:c r="G157" s="15"/>
      <x:c r="H157" s="136"/>
      <x:c r="I157" s="136"/>
      <x:c r="J157" s="136" t="str">
        <x:f>IF(COUNTA(H157:I157)=0,"",SUM(H157:I157))</x:f>
      </x:c>
      <x:c r="K157" s="70" t="str">
        <x:f>IF(E157="","",IFERROR(INDEX('05_Employees'!$H:$H,MATCH(E157,'05_Employees'!$A:$A,0)),"NO RATE"))</x:f>
      </x:c>
      <x:c r="L157" s="70" t="str">
        <x:f>IF(OR(J157="",NOT(ISNUMBER(K157))),"",J157*K157)</x:f>
      </x:c>
      <x:c r="M157" s="15"/>
      <x:c r="N157" s="15" t="str">
        <x:f>IF(COUNTA(B157:I157,M157:M157)=0,"",TEXTJOIN("; ",TRUE,IF(B157="","Missing work date",""),IF(C157="","Missing project",""),IF(E157="","Missing employee",""),IF(H157="","Missing regular hours",""),IF(K157="NO RATE","Missing pay rate","")))</x:f>
      </x:c>
    </x:row>
    <x:row r="158" ht="20" customHeight="1">
      <x:c r="A158" s="15"/>
      <x:c r="B158" s="28"/>
      <x:c r="C158" s="15"/>
      <x:c r="D158" s="15"/>
      <x:c r="E158" s="15"/>
      <x:c r="F158" s="15"/>
      <x:c r="G158" s="15"/>
      <x:c r="H158" s="136"/>
      <x:c r="I158" s="136"/>
      <x:c r="J158" s="136" t="str">
        <x:f>IF(COUNTA(H158:I158)=0,"",SUM(H158:I158))</x:f>
      </x:c>
      <x:c r="K158" s="70" t="str">
        <x:f>IF(E158="","",IFERROR(INDEX('05_Employees'!$H:$H,MATCH(E158,'05_Employees'!$A:$A,0)),"NO RATE"))</x:f>
      </x:c>
      <x:c r="L158" s="70" t="str">
        <x:f>IF(OR(J158="",NOT(ISNUMBER(K158))),"",J158*K158)</x:f>
      </x:c>
      <x:c r="M158" s="15"/>
      <x:c r="N158" s="15" t="str">
        <x:f>IF(COUNTA(B158:I158,M158:M158)=0,"",TEXTJOIN("; ",TRUE,IF(B158="","Missing work date",""),IF(C158="","Missing project",""),IF(E158="","Missing employee",""),IF(H158="","Missing regular hours",""),IF(K158="NO RATE","Missing pay rate","")))</x:f>
      </x:c>
    </x:row>
    <x:row r="159" ht="20" customHeight="1">
      <x:c r="A159" s="15"/>
      <x:c r="B159" s="28"/>
      <x:c r="C159" s="15"/>
      <x:c r="D159" s="15"/>
      <x:c r="E159" s="15"/>
      <x:c r="F159" s="15"/>
      <x:c r="G159" s="15"/>
      <x:c r="H159" s="136"/>
      <x:c r="I159" s="136"/>
      <x:c r="J159" s="136" t="str">
        <x:f>IF(COUNTA(H159:I159)=0,"",SUM(H159:I159))</x:f>
      </x:c>
      <x:c r="K159" s="70" t="str">
        <x:f>IF(E159="","",IFERROR(INDEX('05_Employees'!$H:$H,MATCH(E159,'05_Employees'!$A:$A,0)),"NO RATE"))</x:f>
      </x:c>
      <x:c r="L159" s="70" t="str">
        <x:f>IF(OR(J159="",NOT(ISNUMBER(K159))),"",J159*K159)</x:f>
      </x:c>
      <x:c r="M159" s="15"/>
      <x:c r="N159" s="15" t="str">
        <x:f>IF(COUNTA(B159:I159,M159:M159)=0,"",TEXTJOIN("; ",TRUE,IF(B159="","Missing work date",""),IF(C159="","Missing project",""),IF(E159="","Missing employee",""),IF(H159="","Missing regular hours",""),IF(K159="NO RATE","Missing pay rate","")))</x:f>
      </x:c>
    </x:row>
    <x:row r="160" ht="20" customHeight="1">
      <x:c r="A160" s="15"/>
      <x:c r="B160" s="28"/>
      <x:c r="C160" s="15"/>
      <x:c r="D160" s="15"/>
      <x:c r="E160" s="15"/>
      <x:c r="F160" s="15"/>
      <x:c r="G160" s="15"/>
      <x:c r="H160" s="136"/>
      <x:c r="I160" s="136"/>
      <x:c r="J160" s="136" t="str">
        <x:f>IF(COUNTA(H160:I160)=0,"",SUM(H160:I160))</x:f>
      </x:c>
      <x:c r="K160" s="70" t="str">
        <x:f>IF(E160="","",IFERROR(INDEX('05_Employees'!$H:$H,MATCH(E160,'05_Employees'!$A:$A,0)),"NO RATE"))</x:f>
      </x:c>
      <x:c r="L160" s="70" t="str">
        <x:f>IF(OR(J160="",NOT(ISNUMBER(K160))),"",J160*K160)</x:f>
      </x:c>
      <x:c r="M160" s="15"/>
      <x:c r="N160" s="15" t="str">
        <x:f>IF(COUNTA(B160:I160,M160:M160)=0,"",TEXTJOIN("; ",TRUE,IF(B160="","Missing work date",""),IF(C160="","Missing project",""),IF(E160="","Missing employee",""),IF(H160="","Missing regular hours",""),IF(K160="NO RATE","Missing pay rate","")))</x:f>
      </x:c>
    </x:row>
    <x:row r="161" ht="20" customHeight="1">
      <x:c r="A161" s="15"/>
      <x:c r="B161" s="28"/>
      <x:c r="C161" s="15"/>
      <x:c r="D161" s="15"/>
      <x:c r="E161" s="15"/>
      <x:c r="F161" s="15"/>
      <x:c r="G161" s="15"/>
      <x:c r="H161" s="136"/>
      <x:c r="I161" s="136"/>
      <x:c r="J161" s="136" t="str">
        <x:f>IF(COUNTA(H161:I161)=0,"",SUM(H161:I161))</x:f>
      </x:c>
      <x:c r="K161" s="70" t="str">
        <x:f>IF(E161="","",IFERROR(INDEX('05_Employees'!$H:$H,MATCH(E161,'05_Employees'!$A:$A,0)),"NO RATE"))</x:f>
      </x:c>
      <x:c r="L161" s="70" t="str">
        <x:f>IF(OR(J161="",NOT(ISNUMBER(K161))),"",J161*K161)</x:f>
      </x:c>
      <x:c r="M161" s="15"/>
      <x:c r="N161" s="15" t="str">
        <x:f>IF(COUNTA(B161:I161,M161:M161)=0,"",TEXTJOIN("; ",TRUE,IF(B161="","Missing work date",""),IF(C161="","Missing project",""),IF(E161="","Missing employee",""),IF(H161="","Missing regular hours",""),IF(K161="NO RATE","Missing pay rate","")))</x:f>
      </x:c>
    </x:row>
    <x:row r="162" ht="20" customHeight="1">
      <x:c r="A162" s="15"/>
      <x:c r="B162" s="28"/>
      <x:c r="C162" s="15"/>
      <x:c r="D162" s="15"/>
      <x:c r="E162" s="15"/>
      <x:c r="F162" s="15"/>
      <x:c r="G162" s="15"/>
      <x:c r="H162" s="136"/>
      <x:c r="I162" s="136"/>
      <x:c r="J162" s="136" t="str">
        <x:f>IF(COUNTA(H162:I162)=0,"",SUM(H162:I162))</x:f>
      </x:c>
      <x:c r="K162" s="70" t="str">
        <x:f>IF(E162="","",IFERROR(INDEX('05_Employees'!$H:$H,MATCH(E162,'05_Employees'!$A:$A,0)),"NO RATE"))</x:f>
      </x:c>
      <x:c r="L162" s="70" t="str">
        <x:f>IF(OR(J162="",NOT(ISNUMBER(K162))),"",J162*K162)</x:f>
      </x:c>
      <x:c r="M162" s="15"/>
      <x:c r="N162" s="15" t="str">
        <x:f>IF(COUNTA(B162:I162,M162:M162)=0,"",TEXTJOIN("; ",TRUE,IF(B162="","Missing work date",""),IF(C162="","Missing project",""),IF(E162="","Missing employee",""),IF(H162="","Missing regular hours",""),IF(K162="NO RATE","Missing pay rate","")))</x:f>
      </x:c>
    </x:row>
    <x:row r="163" ht="20" customHeight="1">
      <x:c r="A163" s="15"/>
      <x:c r="B163" s="28"/>
      <x:c r="C163" s="15"/>
      <x:c r="D163" s="15"/>
      <x:c r="E163" s="15"/>
      <x:c r="F163" s="15"/>
      <x:c r="G163" s="15"/>
      <x:c r="H163" s="136"/>
      <x:c r="I163" s="136"/>
      <x:c r="J163" s="136" t="str">
        <x:f>IF(COUNTA(H163:I163)=0,"",SUM(H163:I163))</x:f>
      </x:c>
      <x:c r="K163" s="70" t="str">
        <x:f>IF(E163="","",IFERROR(INDEX('05_Employees'!$H:$H,MATCH(E163,'05_Employees'!$A:$A,0)),"NO RATE"))</x:f>
      </x:c>
      <x:c r="L163" s="70" t="str">
        <x:f>IF(OR(J163="",NOT(ISNUMBER(K163))),"",J163*K163)</x:f>
      </x:c>
      <x:c r="M163" s="15"/>
      <x:c r="N163" s="15" t="str">
        <x:f>IF(COUNTA(B163:I163,M163:M163)=0,"",TEXTJOIN("; ",TRUE,IF(B163="","Missing work date",""),IF(C163="","Missing project",""),IF(E163="","Missing employee",""),IF(H163="","Missing regular hours",""),IF(K163="NO RATE","Missing pay rate","")))</x:f>
      </x:c>
    </x:row>
    <x:row r="164" ht="20" customHeight="1">
      <x:c r="A164" s="15"/>
      <x:c r="B164" s="28"/>
      <x:c r="C164" s="15"/>
      <x:c r="D164" s="15"/>
      <x:c r="E164" s="15"/>
      <x:c r="F164" s="15"/>
      <x:c r="G164" s="15"/>
      <x:c r="H164" s="136"/>
      <x:c r="I164" s="136"/>
      <x:c r="J164" s="136" t="str">
        <x:f>IF(COUNTA(H164:I164)=0,"",SUM(H164:I164))</x:f>
      </x:c>
      <x:c r="K164" s="70" t="str">
        <x:f>IF(E164="","",IFERROR(INDEX('05_Employees'!$H:$H,MATCH(E164,'05_Employees'!$A:$A,0)),"NO RATE"))</x:f>
      </x:c>
      <x:c r="L164" s="70" t="str">
        <x:f>IF(OR(J164="",NOT(ISNUMBER(K164))),"",J164*K164)</x:f>
      </x:c>
      <x:c r="M164" s="15"/>
      <x:c r="N164" s="15" t="str">
        <x:f>IF(COUNTA(B164:I164,M164:M164)=0,"",TEXTJOIN("; ",TRUE,IF(B164="","Missing work date",""),IF(C164="","Missing project",""),IF(E164="","Missing employee",""),IF(H164="","Missing regular hours",""),IF(K164="NO RATE","Missing pay rate","")))</x:f>
      </x:c>
    </x:row>
    <x:row r="165" ht="20" customHeight="1">
      <x:c r="A165" s="15"/>
      <x:c r="B165" s="28"/>
      <x:c r="C165" s="15"/>
      <x:c r="D165" s="15"/>
      <x:c r="E165" s="15"/>
      <x:c r="F165" s="15"/>
      <x:c r="G165" s="15"/>
      <x:c r="H165" s="136"/>
      <x:c r="I165" s="136"/>
      <x:c r="J165" s="136" t="str">
        <x:f>IF(COUNTA(H165:I165)=0,"",SUM(H165:I165))</x:f>
      </x:c>
      <x:c r="K165" s="70" t="str">
        <x:f>IF(E165="","",IFERROR(INDEX('05_Employees'!$H:$H,MATCH(E165,'05_Employees'!$A:$A,0)),"NO RATE"))</x:f>
      </x:c>
      <x:c r="L165" s="70" t="str">
        <x:f>IF(OR(J165="",NOT(ISNUMBER(K165))),"",J165*K165)</x:f>
      </x:c>
      <x:c r="M165" s="15"/>
      <x:c r="N165" s="15" t="str">
        <x:f>IF(COUNTA(B165:I165,M165:M165)=0,"",TEXTJOIN("; ",TRUE,IF(B165="","Missing work date",""),IF(C165="","Missing project",""),IF(E165="","Missing employee",""),IF(H165="","Missing regular hours",""),IF(K165="NO RATE","Missing pay rate","")))</x:f>
      </x:c>
    </x:row>
    <x:row r="166" ht="20" customHeight="1">
      <x:c r="A166" s="15"/>
      <x:c r="B166" s="28"/>
      <x:c r="C166" s="15"/>
      <x:c r="D166" s="15"/>
      <x:c r="E166" s="15"/>
      <x:c r="F166" s="15"/>
      <x:c r="G166" s="15"/>
      <x:c r="H166" s="136"/>
      <x:c r="I166" s="136"/>
      <x:c r="J166" s="136" t="str">
        <x:f>IF(COUNTA(H166:I166)=0,"",SUM(H166:I166))</x:f>
      </x:c>
      <x:c r="K166" s="70" t="str">
        <x:f>IF(E166="","",IFERROR(INDEX('05_Employees'!$H:$H,MATCH(E166,'05_Employees'!$A:$A,0)),"NO RATE"))</x:f>
      </x:c>
      <x:c r="L166" s="70" t="str">
        <x:f>IF(OR(J166="",NOT(ISNUMBER(K166))),"",J166*K166)</x:f>
      </x:c>
      <x:c r="M166" s="15"/>
      <x:c r="N166" s="15" t="str">
        <x:f>IF(COUNTA(B166:I166,M166:M166)=0,"",TEXTJOIN("; ",TRUE,IF(B166="","Missing work date",""),IF(C166="","Missing project",""),IF(E166="","Missing employee",""),IF(H166="","Missing regular hours",""),IF(K166="NO RATE","Missing pay rate","")))</x:f>
      </x:c>
    </x:row>
    <x:row r="167" ht="20" customHeight="1">
      <x:c r="A167" s="15"/>
      <x:c r="B167" s="28"/>
      <x:c r="C167" s="15"/>
      <x:c r="D167" s="15"/>
      <x:c r="E167" s="15"/>
      <x:c r="F167" s="15"/>
      <x:c r="G167" s="15"/>
      <x:c r="H167" s="136"/>
      <x:c r="I167" s="136"/>
      <x:c r="J167" s="136" t="str">
        <x:f>IF(COUNTA(H167:I167)=0,"",SUM(H167:I167))</x:f>
      </x:c>
      <x:c r="K167" s="70" t="str">
        <x:f>IF(E167="","",IFERROR(INDEX('05_Employees'!$H:$H,MATCH(E167,'05_Employees'!$A:$A,0)),"NO RATE"))</x:f>
      </x:c>
      <x:c r="L167" s="70" t="str">
        <x:f>IF(OR(J167="",NOT(ISNUMBER(K167))),"",J167*K167)</x:f>
      </x:c>
      <x:c r="M167" s="15"/>
      <x:c r="N167" s="15" t="str">
        <x:f>IF(COUNTA(B167:I167,M167:M167)=0,"",TEXTJOIN("; ",TRUE,IF(B167="","Missing work date",""),IF(C167="","Missing project",""),IF(E167="","Missing employee",""),IF(H167="","Missing regular hours",""),IF(K167="NO RATE","Missing pay rate","")))</x:f>
      </x:c>
    </x:row>
    <x:row r="168" ht="20" customHeight="1">
      <x:c r="A168" s="15"/>
      <x:c r="B168" s="28"/>
      <x:c r="C168" s="15"/>
      <x:c r="D168" s="15"/>
      <x:c r="E168" s="15"/>
      <x:c r="F168" s="15"/>
      <x:c r="G168" s="15"/>
      <x:c r="H168" s="136"/>
      <x:c r="I168" s="136"/>
      <x:c r="J168" s="136" t="str">
        <x:f>IF(COUNTA(H168:I168)=0,"",SUM(H168:I168))</x:f>
      </x:c>
      <x:c r="K168" s="70" t="str">
        <x:f>IF(E168="","",IFERROR(INDEX('05_Employees'!$H:$H,MATCH(E168,'05_Employees'!$A:$A,0)),"NO RATE"))</x:f>
      </x:c>
      <x:c r="L168" s="70" t="str">
        <x:f>IF(OR(J168="",NOT(ISNUMBER(K168))),"",J168*K168)</x:f>
      </x:c>
      <x:c r="M168" s="15"/>
      <x:c r="N168" s="15" t="str">
        <x:f>IF(COUNTA(B168:I168,M168:M168)=0,"",TEXTJOIN("; ",TRUE,IF(B168="","Missing work date",""),IF(C168="","Missing project",""),IF(E168="","Missing employee",""),IF(H168="","Missing regular hours",""),IF(K168="NO RATE","Missing pay rate","")))</x:f>
      </x:c>
    </x:row>
    <x:row r="169" ht="20" customHeight="1">
      <x:c r="A169" s="15"/>
      <x:c r="B169" s="28"/>
      <x:c r="C169" s="15"/>
      <x:c r="D169" s="15"/>
      <x:c r="E169" s="15"/>
      <x:c r="F169" s="15"/>
      <x:c r="G169" s="15"/>
      <x:c r="H169" s="136"/>
      <x:c r="I169" s="136"/>
      <x:c r="J169" s="136" t="str">
        <x:f>IF(COUNTA(H169:I169)=0,"",SUM(H169:I169))</x:f>
      </x:c>
      <x:c r="K169" s="70" t="str">
        <x:f>IF(E169="","",IFERROR(INDEX('05_Employees'!$H:$H,MATCH(E169,'05_Employees'!$A:$A,0)),"NO RATE"))</x:f>
      </x:c>
      <x:c r="L169" s="70" t="str">
        <x:f>IF(OR(J169="",NOT(ISNUMBER(K169))),"",J169*K169)</x:f>
      </x:c>
      <x:c r="M169" s="15"/>
      <x:c r="N169" s="15" t="str">
        <x:f>IF(COUNTA(B169:I169,M169:M169)=0,"",TEXTJOIN("; ",TRUE,IF(B169="","Missing work date",""),IF(C169="","Missing project",""),IF(E169="","Missing employee",""),IF(H169="","Missing regular hours",""),IF(K169="NO RATE","Missing pay rate","")))</x:f>
      </x:c>
    </x:row>
    <x:row r="170" ht="20" customHeight="1">
      <x:c r="A170" s="15"/>
      <x:c r="B170" s="28"/>
      <x:c r="C170" s="15"/>
      <x:c r="D170" s="15"/>
      <x:c r="E170" s="15"/>
      <x:c r="F170" s="15"/>
      <x:c r="G170" s="15"/>
      <x:c r="H170" s="136"/>
      <x:c r="I170" s="136"/>
      <x:c r="J170" s="136" t="str">
        <x:f>IF(COUNTA(H170:I170)=0,"",SUM(H170:I170))</x:f>
      </x:c>
      <x:c r="K170" s="70" t="str">
        <x:f>IF(E170="","",IFERROR(INDEX('05_Employees'!$H:$H,MATCH(E170,'05_Employees'!$A:$A,0)),"NO RATE"))</x:f>
      </x:c>
      <x:c r="L170" s="70" t="str">
        <x:f>IF(OR(J170="",NOT(ISNUMBER(K170))),"",J170*K170)</x:f>
      </x:c>
      <x:c r="M170" s="15"/>
      <x:c r="N170" s="15" t="str">
        <x:f>IF(COUNTA(B170:I170,M170:M170)=0,"",TEXTJOIN("; ",TRUE,IF(B170="","Missing work date",""),IF(C170="","Missing project",""),IF(E170="","Missing employee",""),IF(H170="","Missing regular hours",""),IF(K170="NO RATE","Missing pay rate","")))</x:f>
      </x:c>
    </x:row>
    <x:row r="171" ht="20" customHeight="1">
      <x:c r="A171" s="15"/>
      <x:c r="B171" s="28"/>
      <x:c r="C171" s="15"/>
      <x:c r="D171" s="15"/>
      <x:c r="E171" s="15"/>
      <x:c r="F171" s="15"/>
      <x:c r="G171" s="15"/>
      <x:c r="H171" s="136"/>
      <x:c r="I171" s="136"/>
      <x:c r="J171" s="136" t="str">
        <x:f>IF(COUNTA(H171:I171)=0,"",SUM(H171:I171))</x:f>
      </x:c>
      <x:c r="K171" s="70" t="str">
        <x:f>IF(E171="","",IFERROR(INDEX('05_Employees'!$H:$H,MATCH(E171,'05_Employees'!$A:$A,0)),"NO RATE"))</x:f>
      </x:c>
      <x:c r="L171" s="70" t="str">
        <x:f>IF(OR(J171="",NOT(ISNUMBER(K171))),"",J171*K171)</x:f>
      </x:c>
      <x:c r="M171" s="15"/>
      <x:c r="N171" s="15" t="str">
        <x:f>IF(COUNTA(B171:I171,M171:M171)=0,"",TEXTJOIN("; ",TRUE,IF(B171="","Missing work date",""),IF(C171="","Missing project",""),IF(E171="","Missing employee",""),IF(H171="","Missing regular hours",""),IF(K171="NO RATE","Missing pay rate","")))</x:f>
      </x:c>
    </x:row>
    <x:row r="172" ht="20" customHeight="1">
      <x:c r="A172" s="15"/>
      <x:c r="B172" s="28"/>
      <x:c r="C172" s="15"/>
      <x:c r="D172" s="15"/>
      <x:c r="E172" s="15"/>
      <x:c r="F172" s="15"/>
      <x:c r="G172" s="15"/>
      <x:c r="H172" s="136"/>
      <x:c r="I172" s="136"/>
      <x:c r="J172" s="136" t="str">
        <x:f>IF(COUNTA(H172:I172)=0,"",SUM(H172:I172))</x:f>
      </x:c>
      <x:c r="K172" s="70" t="str">
        <x:f>IF(E172="","",IFERROR(INDEX('05_Employees'!$H:$H,MATCH(E172,'05_Employees'!$A:$A,0)),"NO RATE"))</x:f>
      </x:c>
      <x:c r="L172" s="70" t="str">
        <x:f>IF(OR(J172="",NOT(ISNUMBER(K172))),"",J172*K172)</x:f>
      </x:c>
      <x:c r="M172" s="15"/>
      <x:c r="N172" s="15" t="str">
        <x:f>IF(COUNTA(B172:I172,M172:M172)=0,"",TEXTJOIN("; ",TRUE,IF(B172="","Missing work date",""),IF(C172="","Missing project",""),IF(E172="","Missing employee",""),IF(H172="","Missing regular hours",""),IF(K172="NO RATE","Missing pay rate","")))</x:f>
      </x:c>
    </x:row>
    <x:row r="173" ht="20" customHeight="1">
      <x:c r="A173" s="15"/>
      <x:c r="B173" s="28"/>
      <x:c r="C173" s="15"/>
      <x:c r="D173" s="15"/>
      <x:c r="E173" s="15"/>
      <x:c r="F173" s="15"/>
      <x:c r="G173" s="15"/>
      <x:c r="H173" s="136"/>
      <x:c r="I173" s="136"/>
      <x:c r="J173" s="136" t="str">
        <x:f>IF(COUNTA(H173:I173)=0,"",SUM(H173:I173))</x:f>
      </x:c>
      <x:c r="K173" s="70" t="str">
        <x:f>IF(E173="","",IFERROR(INDEX('05_Employees'!$H:$H,MATCH(E173,'05_Employees'!$A:$A,0)),"NO RATE"))</x:f>
      </x:c>
      <x:c r="L173" s="70" t="str">
        <x:f>IF(OR(J173="",NOT(ISNUMBER(K173))),"",J173*K173)</x:f>
      </x:c>
      <x:c r="M173" s="15"/>
      <x:c r="N173" s="15" t="str">
        <x:f>IF(COUNTA(B173:I173,M173:M173)=0,"",TEXTJOIN("; ",TRUE,IF(B173="","Missing work date",""),IF(C173="","Missing project",""),IF(E173="","Missing employee",""),IF(H173="","Missing regular hours",""),IF(K173="NO RATE","Missing pay rate","")))</x:f>
      </x:c>
    </x:row>
    <x:row r="174" ht="20" customHeight="1">
      <x:c r="A174" s="15"/>
      <x:c r="B174" s="28"/>
      <x:c r="C174" s="15"/>
      <x:c r="D174" s="15"/>
      <x:c r="E174" s="15"/>
      <x:c r="F174" s="15"/>
      <x:c r="G174" s="15"/>
      <x:c r="H174" s="136"/>
      <x:c r="I174" s="136"/>
      <x:c r="J174" s="136" t="str">
        <x:f>IF(COUNTA(H174:I174)=0,"",SUM(H174:I174))</x:f>
      </x:c>
      <x:c r="K174" s="70" t="str">
        <x:f>IF(E174="","",IFERROR(INDEX('05_Employees'!$H:$H,MATCH(E174,'05_Employees'!$A:$A,0)),"NO RATE"))</x:f>
      </x:c>
      <x:c r="L174" s="70" t="str">
        <x:f>IF(OR(J174="",NOT(ISNUMBER(K174))),"",J174*K174)</x:f>
      </x:c>
      <x:c r="M174" s="15"/>
      <x:c r="N174" s="15" t="str">
        <x:f>IF(COUNTA(B174:I174,M174:M174)=0,"",TEXTJOIN("; ",TRUE,IF(B174="","Missing work date",""),IF(C174="","Missing project",""),IF(E174="","Missing employee",""),IF(H174="","Missing regular hours",""),IF(K174="NO RATE","Missing pay rate","")))</x:f>
      </x:c>
    </x:row>
    <x:row r="175" ht="20" customHeight="1">
      <x:c r="A175" s="15"/>
      <x:c r="B175" s="28"/>
      <x:c r="C175" s="15"/>
      <x:c r="D175" s="15"/>
      <x:c r="E175" s="15"/>
      <x:c r="F175" s="15"/>
      <x:c r="G175" s="15"/>
      <x:c r="H175" s="136"/>
      <x:c r="I175" s="136"/>
      <x:c r="J175" s="136" t="str">
        <x:f>IF(COUNTA(H175:I175)=0,"",SUM(H175:I175))</x:f>
      </x:c>
      <x:c r="K175" s="70" t="str">
        <x:f>IF(E175="","",IFERROR(INDEX('05_Employees'!$H:$H,MATCH(E175,'05_Employees'!$A:$A,0)),"NO RATE"))</x:f>
      </x:c>
      <x:c r="L175" s="70" t="str">
        <x:f>IF(OR(J175="",NOT(ISNUMBER(K175))),"",J175*K175)</x:f>
      </x:c>
      <x:c r="M175" s="15"/>
      <x:c r="N175" s="15" t="str">
        <x:f>IF(COUNTA(B175:I175,M175:M175)=0,"",TEXTJOIN("; ",TRUE,IF(B175="","Missing work date",""),IF(C175="","Missing project",""),IF(E175="","Missing employee",""),IF(H175="","Missing regular hours",""),IF(K175="NO RATE","Missing pay rate","")))</x:f>
      </x:c>
    </x:row>
    <x:row r="176" ht="20" customHeight="1">
      <x:c r="A176" s="15"/>
      <x:c r="B176" s="28"/>
      <x:c r="C176" s="15"/>
      <x:c r="D176" s="15"/>
      <x:c r="E176" s="15"/>
      <x:c r="F176" s="15"/>
      <x:c r="G176" s="15"/>
      <x:c r="H176" s="136"/>
      <x:c r="I176" s="136"/>
      <x:c r="J176" s="136" t="str">
        <x:f>IF(COUNTA(H176:I176)=0,"",SUM(H176:I176))</x:f>
      </x:c>
      <x:c r="K176" s="70" t="str">
        <x:f>IF(E176="","",IFERROR(INDEX('05_Employees'!$H:$H,MATCH(E176,'05_Employees'!$A:$A,0)),"NO RATE"))</x:f>
      </x:c>
      <x:c r="L176" s="70" t="str">
        <x:f>IF(OR(J176="",NOT(ISNUMBER(K176))),"",J176*K176)</x:f>
      </x:c>
      <x:c r="M176" s="15"/>
      <x:c r="N176" s="15" t="str">
        <x:f>IF(COUNTA(B176:I176,M176:M176)=0,"",TEXTJOIN("; ",TRUE,IF(B176="","Missing work date",""),IF(C176="","Missing project",""),IF(E176="","Missing employee",""),IF(H176="","Missing regular hours",""),IF(K176="NO RATE","Missing pay rate","")))</x:f>
      </x:c>
    </x:row>
    <x:row r="177" ht="20" customHeight="1">
      <x:c r="A177" s="15"/>
      <x:c r="B177" s="28"/>
      <x:c r="C177" s="15"/>
      <x:c r="D177" s="15"/>
      <x:c r="E177" s="15"/>
      <x:c r="F177" s="15"/>
      <x:c r="G177" s="15"/>
      <x:c r="H177" s="136"/>
      <x:c r="I177" s="136"/>
      <x:c r="J177" s="136" t="str">
        <x:f>IF(COUNTA(H177:I177)=0,"",SUM(H177:I177))</x:f>
      </x:c>
      <x:c r="K177" s="70" t="str">
        <x:f>IF(E177="","",IFERROR(INDEX('05_Employees'!$H:$H,MATCH(E177,'05_Employees'!$A:$A,0)),"NO RATE"))</x:f>
      </x:c>
      <x:c r="L177" s="70" t="str">
        <x:f>IF(OR(J177="",NOT(ISNUMBER(K177))),"",J177*K177)</x:f>
      </x:c>
      <x:c r="M177" s="15"/>
      <x:c r="N177" s="15" t="str">
        <x:f>IF(COUNTA(B177:I177,M177:M177)=0,"",TEXTJOIN("; ",TRUE,IF(B177="","Missing work date",""),IF(C177="","Missing project",""),IF(E177="","Missing employee",""),IF(H177="","Missing regular hours",""),IF(K177="NO RATE","Missing pay rate","")))</x:f>
      </x:c>
    </x:row>
    <x:row r="178" ht="20" customHeight="1">
      <x:c r="A178" s="15"/>
      <x:c r="B178" s="28"/>
      <x:c r="C178" s="15"/>
      <x:c r="D178" s="15"/>
      <x:c r="E178" s="15"/>
      <x:c r="F178" s="15"/>
      <x:c r="G178" s="15"/>
      <x:c r="H178" s="136"/>
      <x:c r="I178" s="136"/>
      <x:c r="J178" s="136" t="str">
        <x:f>IF(COUNTA(H178:I178)=0,"",SUM(H178:I178))</x:f>
      </x:c>
      <x:c r="K178" s="70" t="str">
        <x:f>IF(E178="","",IFERROR(INDEX('05_Employees'!$H:$H,MATCH(E178,'05_Employees'!$A:$A,0)),"NO RATE"))</x:f>
      </x:c>
      <x:c r="L178" s="70" t="str">
        <x:f>IF(OR(J178="",NOT(ISNUMBER(K178))),"",J178*K178)</x:f>
      </x:c>
      <x:c r="M178" s="15"/>
      <x:c r="N178" s="15" t="str">
        <x:f>IF(COUNTA(B178:I178,M178:M178)=0,"",TEXTJOIN("; ",TRUE,IF(B178="","Missing work date",""),IF(C178="","Missing project",""),IF(E178="","Missing employee",""),IF(H178="","Missing regular hours",""),IF(K178="NO RATE","Missing pay rate","")))</x:f>
      </x:c>
    </x:row>
    <x:row r="179" ht="20" customHeight="1">
      <x:c r="A179" s="15"/>
      <x:c r="B179" s="28"/>
      <x:c r="C179" s="15"/>
      <x:c r="D179" s="15"/>
      <x:c r="E179" s="15"/>
      <x:c r="F179" s="15"/>
      <x:c r="G179" s="15"/>
      <x:c r="H179" s="136"/>
      <x:c r="I179" s="136"/>
      <x:c r="J179" s="136" t="str">
        <x:f>IF(COUNTA(H179:I179)=0,"",SUM(H179:I179))</x:f>
      </x:c>
      <x:c r="K179" s="70" t="str">
        <x:f>IF(E179="","",IFERROR(INDEX('05_Employees'!$H:$H,MATCH(E179,'05_Employees'!$A:$A,0)),"NO RATE"))</x:f>
      </x:c>
      <x:c r="L179" s="70" t="str">
        <x:f>IF(OR(J179="",NOT(ISNUMBER(K179))),"",J179*K179)</x:f>
      </x:c>
      <x:c r="M179" s="15"/>
      <x:c r="N179" s="15" t="str">
        <x:f>IF(COUNTA(B179:I179,M179:M179)=0,"",TEXTJOIN("; ",TRUE,IF(B179="","Missing work date",""),IF(C179="","Missing project",""),IF(E179="","Missing employee",""),IF(H179="","Missing regular hours",""),IF(K179="NO RATE","Missing pay rate","")))</x:f>
      </x:c>
    </x:row>
    <x:row r="180" ht="20" customHeight="1">
      <x:c r="A180" s="15"/>
      <x:c r="B180" s="28"/>
      <x:c r="C180" s="15"/>
      <x:c r="D180" s="15"/>
      <x:c r="E180" s="15"/>
      <x:c r="F180" s="15"/>
      <x:c r="G180" s="15"/>
      <x:c r="H180" s="136"/>
      <x:c r="I180" s="136"/>
      <x:c r="J180" s="136" t="str">
        <x:f>IF(COUNTA(H180:I180)=0,"",SUM(H180:I180))</x:f>
      </x:c>
      <x:c r="K180" s="70" t="str">
        <x:f>IF(E180="","",IFERROR(INDEX('05_Employees'!$H:$H,MATCH(E180,'05_Employees'!$A:$A,0)),"NO RATE"))</x:f>
      </x:c>
      <x:c r="L180" s="70" t="str">
        <x:f>IF(OR(J180="",NOT(ISNUMBER(K180))),"",J180*K180)</x:f>
      </x:c>
      <x:c r="M180" s="15"/>
      <x:c r="N180" s="15" t="str">
        <x:f>IF(COUNTA(B180:I180,M180:M180)=0,"",TEXTJOIN("; ",TRUE,IF(B180="","Missing work date",""),IF(C180="","Missing project",""),IF(E180="","Missing employee",""),IF(H180="","Missing regular hours",""),IF(K180="NO RATE","Missing pay rate","")))</x:f>
      </x:c>
    </x:row>
    <x:row r="181" ht="20" customHeight="1">
      <x:c r="A181" s="15"/>
      <x:c r="B181" s="28"/>
      <x:c r="C181" s="15"/>
      <x:c r="D181" s="15"/>
      <x:c r="E181" s="15"/>
      <x:c r="F181" s="15"/>
      <x:c r="G181" s="15"/>
      <x:c r="H181" s="136"/>
      <x:c r="I181" s="136"/>
      <x:c r="J181" s="136" t="str">
        <x:f>IF(COUNTA(H181:I181)=0,"",SUM(H181:I181))</x:f>
      </x:c>
      <x:c r="K181" s="70" t="str">
        <x:f>IF(E181="","",IFERROR(INDEX('05_Employees'!$H:$H,MATCH(E181,'05_Employees'!$A:$A,0)),"NO RATE"))</x:f>
      </x:c>
      <x:c r="L181" s="70" t="str">
        <x:f>IF(OR(J181="",NOT(ISNUMBER(K181))),"",J181*K181)</x:f>
      </x:c>
      <x:c r="M181" s="15"/>
      <x:c r="N181" s="15" t="str">
        <x:f>IF(COUNTA(B181:I181,M181:M181)=0,"",TEXTJOIN("; ",TRUE,IF(B181="","Missing work date",""),IF(C181="","Missing project",""),IF(E181="","Missing employee",""),IF(H181="","Missing regular hours",""),IF(K181="NO RATE","Missing pay rate","")))</x:f>
      </x:c>
    </x:row>
    <x:row r="182" ht="20" customHeight="1">
      <x:c r="A182" s="15"/>
      <x:c r="B182" s="28"/>
      <x:c r="C182" s="15"/>
      <x:c r="D182" s="15"/>
      <x:c r="E182" s="15"/>
      <x:c r="F182" s="15"/>
      <x:c r="G182" s="15"/>
      <x:c r="H182" s="136"/>
      <x:c r="I182" s="136"/>
      <x:c r="J182" s="136" t="str">
        <x:f>IF(COUNTA(H182:I182)=0,"",SUM(H182:I182))</x:f>
      </x:c>
      <x:c r="K182" s="70" t="str">
        <x:f>IF(E182="","",IFERROR(INDEX('05_Employees'!$H:$H,MATCH(E182,'05_Employees'!$A:$A,0)),"NO RATE"))</x:f>
      </x:c>
      <x:c r="L182" s="70" t="str">
        <x:f>IF(OR(J182="",NOT(ISNUMBER(K182))),"",J182*K182)</x:f>
      </x:c>
      <x:c r="M182" s="15"/>
      <x:c r="N182" s="15" t="str">
        <x:f>IF(COUNTA(B182:I182,M182:M182)=0,"",TEXTJOIN("; ",TRUE,IF(B182="","Missing work date",""),IF(C182="","Missing project",""),IF(E182="","Missing employee",""),IF(H182="","Missing regular hours",""),IF(K182="NO RATE","Missing pay rate","")))</x:f>
      </x:c>
    </x:row>
    <x:row r="183" ht="20" customHeight="1">
      <x:c r="A183" s="15"/>
      <x:c r="B183" s="28"/>
      <x:c r="C183" s="15"/>
      <x:c r="D183" s="15"/>
      <x:c r="E183" s="15"/>
      <x:c r="F183" s="15"/>
      <x:c r="G183" s="15"/>
      <x:c r="H183" s="136"/>
      <x:c r="I183" s="136"/>
      <x:c r="J183" s="136" t="str">
        <x:f>IF(COUNTA(H183:I183)=0,"",SUM(H183:I183))</x:f>
      </x:c>
      <x:c r="K183" s="70" t="str">
        <x:f>IF(E183="","",IFERROR(INDEX('05_Employees'!$H:$H,MATCH(E183,'05_Employees'!$A:$A,0)),"NO RATE"))</x:f>
      </x:c>
      <x:c r="L183" s="70" t="str">
        <x:f>IF(OR(J183="",NOT(ISNUMBER(K183))),"",J183*K183)</x:f>
      </x:c>
      <x:c r="M183" s="15"/>
      <x:c r="N183" s="15" t="str">
        <x:f>IF(COUNTA(B183:I183,M183:M183)=0,"",TEXTJOIN("; ",TRUE,IF(B183="","Missing work date",""),IF(C183="","Missing project",""),IF(E183="","Missing employee",""),IF(H183="","Missing regular hours",""),IF(K183="NO RATE","Missing pay rate","")))</x:f>
      </x:c>
    </x:row>
    <x:row r="184" ht="20" customHeight="1">
      <x:c r="A184" s="15"/>
      <x:c r="B184" s="28"/>
      <x:c r="C184" s="15"/>
      <x:c r="D184" s="15"/>
      <x:c r="E184" s="15"/>
      <x:c r="F184" s="15"/>
      <x:c r="G184" s="15"/>
      <x:c r="H184" s="136"/>
      <x:c r="I184" s="136"/>
      <x:c r="J184" s="136" t="str">
        <x:f>IF(COUNTA(H184:I184)=0,"",SUM(H184:I184))</x:f>
      </x:c>
      <x:c r="K184" s="70" t="str">
        <x:f>IF(E184="","",IFERROR(INDEX('05_Employees'!$H:$H,MATCH(E184,'05_Employees'!$A:$A,0)),"NO RATE"))</x:f>
      </x:c>
      <x:c r="L184" s="70" t="str">
        <x:f>IF(OR(J184="",NOT(ISNUMBER(K184))),"",J184*K184)</x:f>
      </x:c>
      <x:c r="M184" s="15"/>
      <x:c r="N184" s="15" t="str">
        <x:f>IF(COUNTA(B184:I184,M184:M184)=0,"",TEXTJOIN("; ",TRUE,IF(B184="","Missing work date",""),IF(C184="","Missing project",""),IF(E184="","Missing employee",""),IF(H184="","Missing regular hours",""),IF(K184="NO RATE","Missing pay rate","")))</x:f>
      </x:c>
    </x:row>
    <x:row r="185" ht="20" customHeight="1">
      <x:c r="A185" s="15"/>
      <x:c r="B185" s="28"/>
      <x:c r="C185" s="15"/>
      <x:c r="D185" s="15"/>
      <x:c r="E185" s="15"/>
      <x:c r="F185" s="15"/>
      <x:c r="G185" s="15"/>
      <x:c r="H185" s="136"/>
      <x:c r="I185" s="136"/>
      <x:c r="J185" s="136" t="str">
        <x:f>IF(COUNTA(H185:I185)=0,"",SUM(H185:I185))</x:f>
      </x:c>
      <x:c r="K185" s="70" t="str">
        <x:f>IF(E185="","",IFERROR(INDEX('05_Employees'!$H:$H,MATCH(E185,'05_Employees'!$A:$A,0)),"NO RATE"))</x:f>
      </x:c>
      <x:c r="L185" s="70" t="str">
        <x:f>IF(OR(J185="",NOT(ISNUMBER(K185))),"",J185*K185)</x:f>
      </x:c>
      <x:c r="M185" s="15"/>
      <x:c r="N185" s="15" t="str">
        <x:f>IF(COUNTA(B185:I185,M185:M185)=0,"",TEXTJOIN("; ",TRUE,IF(B185="","Missing work date",""),IF(C185="","Missing project",""),IF(E185="","Missing employee",""),IF(H185="","Missing regular hours",""),IF(K185="NO RATE","Missing pay rate","")))</x:f>
      </x:c>
    </x:row>
    <x:row r="186" ht="20" customHeight="1">
      <x:c r="A186" s="15"/>
      <x:c r="B186" s="28"/>
      <x:c r="C186" s="15"/>
      <x:c r="D186" s="15"/>
      <x:c r="E186" s="15"/>
      <x:c r="F186" s="15"/>
      <x:c r="G186" s="15"/>
      <x:c r="H186" s="136"/>
      <x:c r="I186" s="136"/>
      <x:c r="J186" s="136" t="str">
        <x:f>IF(COUNTA(H186:I186)=0,"",SUM(H186:I186))</x:f>
      </x:c>
      <x:c r="K186" s="70" t="str">
        <x:f>IF(E186="","",IFERROR(INDEX('05_Employees'!$H:$H,MATCH(E186,'05_Employees'!$A:$A,0)),"NO RATE"))</x:f>
      </x:c>
      <x:c r="L186" s="70" t="str">
        <x:f>IF(OR(J186="",NOT(ISNUMBER(K186))),"",J186*K186)</x:f>
      </x:c>
      <x:c r="M186" s="15"/>
      <x:c r="N186" s="15" t="str">
        <x:f>IF(COUNTA(B186:I186,M186:M186)=0,"",TEXTJOIN("; ",TRUE,IF(B186="","Missing work date",""),IF(C186="","Missing project",""),IF(E186="","Missing employee",""),IF(H186="","Missing regular hours",""),IF(K186="NO RATE","Missing pay rate","")))</x:f>
      </x:c>
    </x:row>
    <x:row r="187" ht="20" customHeight="1">
      <x:c r="A187" s="15"/>
      <x:c r="B187" s="28"/>
      <x:c r="C187" s="15"/>
      <x:c r="D187" s="15"/>
      <x:c r="E187" s="15"/>
      <x:c r="F187" s="15"/>
      <x:c r="G187" s="15"/>
      <x:c r="H187" s="136"/>
      <x:c r="I187" s="136"/>
      <x:c r="J187" s="136" t="str">
        <x:f>IF(COUNTA(H187:I187)=0,"",SUM(H187:I187))</x:f>
      </x:c>
      <x:c r="K187" s="70" t="str">
        <x:f>IF(E187="","",IFERROR(INDEX('05_Employees'!$H:$H,MATCH(E187,'05_Employees'!$A:$A,0)),"NO RATE"))</x:f>
      </x:c>
      <x:c r="L187" s="70" t="str">
        <x:f>IF(OR(J187="",NOT(ISNUMBER(K187))),"",J187*K187)</x:f>
      </x:c>
      <x:c r="M187" s="15"/>
      <x:c r="N187" s="15" t="str">
        <x:f>IF(COUNTA(B187:I187,M187:M187)=0,"",TEXTJOIN("; ",TRUE,IF(B187="","Missing work date",""),IF(C187="","Missing project",""),IF(E187="","Missing employee",""),IF(H187="","Missing regular hours",""),IF(K187="NO RATE","Missing pay rate","")))</x:f>
      </x:c>
    </x:row>
    <x:row r="188" ht="20" customHeight="1">
      <x:c r="A188" s="15"/>
      <x:c r="B188" s="28"/>
      <x:c r="C188" s="15"/>
      <x:c r="D188" s="15"/>
      <x:c r="E188" s="15"/>
      <x:c r="F188" s="15"/>
      <x:c r="G188" s="15"/>
      <x:c r="H188" s="136"/>
      <x:c r="I188" s="136"/>
      <x:c r="J188" s="136" t="str">
        <x:f>IF(COUNTA(H188:I188)=0,"",SUM(H188:I188))</x:f>
      </x:c>
      <x:c r="K188" s="70" t="str">
        <x:f>IF(E188="","",IFERROR(INDEX('05_Employees'!$H:$H,MATCH(E188,'05_Employees'!$A:$A,0)),"NO RATE"))</x:f>
      </x:c>
      <x:c r="L188" s="70" t="str">
        <x:f>IF(OR(J188="",NOT(ISNUMBER(K188))),"",J188*K188)</x:f>
      </x:c>
      <x:c r="M188" s="15"/>
      <x:c r="N188" s="15" t="str">
        <x:f>IF(COUNTA(B188:I188,M188:M188)=0,"",TEXTJOIN("; ",TRUE,IF(B188="","Missing work date",""),IF(C188="","Missing project",""),IF(E188="","Missing employee",""),IF(H188="","Missing regular hours",""),IF(K188="NO RATE","Missing pay rate","")))</x:f>
      </x:c>
    </x:row>
    <x:row r="189" ht="20" customHeight="1">
      <x:c r="A189" s="15"/>
      <x:c r="B189" s="28"/>
      <x:c r="C189" s="15"/>
      <x:c r="D189" s="15"/>
      <x:c r="E189" s="15"/>
      <x:c r="F189" s="15"/>
      <x:c r="G189" s="15"/>
      <x:c r="H189" s="136"/>
      <x:c r="I189" s="136"/>
      <x:c r="J189" s="136" t="str">
        <x:f>IF(COUNTA(H189:I189)=0,"",SUM(H189:I189))</x:f>
      </x:c>
      <x:c r="K189" s="70" t="str">
        <x:f>IF(E189="","",IFERROR(INDEX('05_Employees'!$H:$H,MATCH(E189,'05_Employees'!$A:$A,0)),"NO RATE"))</x:f>
      </x:c>
      <x:c r="L189" s="70" t="str">
        <x:f>IF(OR(J189="",NOT(ISNUMBER(K189))),"",J189*K189)</x:f>
      </x:c>
      <x:c r="M189" s="15"/>
      <x:c r="N189" s="15" t="str">
        <x:f>IF(COUNTA(B189:I189,M189:M189)=0,"",TEXTJOIN("; ",TRUE,IF(B189="","Missing work date",""),IF(C189="","Missing project",""),IF(E189="","Missing employee",""),IF(H189="","Missing regular hours",""),IF(K189="NO RATE","Missing pay rate","")))</x:f>
      </x:c>
    </x:row>
    <x:row r="190" ht="20" customHeight="1">
      <x:c r="A190" s="15"/>
      <x:c r="B190" s="28"/>
      <x:c r="C190" s="15"/>
      <x:c r="D190" s="15"/>
      <x:c r="E190" s="15"/>
      <x:c r="F190" s="15"/>
      <x:c r="G190" s="15"/>
      <x:c r="H190" s="136"/>
      <x:c r="I190" s="136"/>
      <x:c r="J190" s="136" t="str">
        <x:f>IF(COUNTA(H190:I190)=0,"",SUM(H190:I190))</x:f>
      </x:c>
      <x:c r="K190" s="70" t="str">
        <x:f>IF(E190="","",IFERROR(INDEX('05_Employees'!$H:$H,MATCH(E190,'05_Employees'!$A:$A,0)),"NO RATE"))</x:f>
      </x:c>
      <x:c r="L190" s="70" t="str">
        <x:f>IF(OR(J190="",NOT(ISNUMBER(K190))),"",J190*K190)</x:f>
      </x:c>
      <x:c r="M190" s="15"/>
      <x:c r="N190" s="15" t="str">
        <x:f>IF(COUNTA(B190:I190,M190:M190)=0,"",TEXTJOIN("; ",TRUE,IF(B190="","Missing work date",""),IF(C190="","Missing project",""),IF(E190="","Missing employee",""),IF(H190="","Missing regular hours",""),IF(K190="NO RATE","Missing pay rate","")))</x:f>
      </x:c>
    </x:row>
    <x:row r="191" ht="20" customHeight="1">
      <x:c r="A191" s="15"/>
      <x:c r="B191" s="28"/>
      <x:c r="C191" s="15"/>
      <x:c r="D191" s="15"/>
      <x:c r="E191" s="15"/>
      <x:c r="F191" s="15"/>
      <x:c r="G191" s="15"/>
      <x:c r="H191" s="136"/>
      <x:c r="I191" s="136"/>
      <x:c r="J191" s="136" t="str">
        <x:f>IF(COUNTA(H191:I191)=0,"",SUM(H191:I191))</x:f>
      </x:c>
      <x:c r="K191" s="70" t="str">
        <x:f>IF(E191="","",IFERROR(INDEX('05_Employees'!$H:$H,MATCH(E191,'05_Employees'!$A:$A,0)),"NO RATE"))</x:f>
      </x:c>
      <x:c r="L191" s="70" t="str">
        <x:f>IF(OR(J191="",NOT(ISNUMBER(K191))),"",J191*K191)</x:f>
      </x:c>
      <x:c r="M191" s="15"/>
      <x:c r="N191" s="15" t="str">
        <x:f>IF(COUNTA(B191:I191,M191:M191)=0,"",TEXTJOIN("; ",TRUE,IF(B191="","Missing work date",""),IF(C191="","Missing project",""),IF(E191="","Missing employee",""),IF(H191="","Missing regular hours",""),IF(K191="NO RATE","Missing pay rate","")))</x:f>
      </x:c>
    </x:row>
    <x:row r="192" ht="20" customHeight="1">
      <x:c r="A192" s="15"/>
      <x:c r="B192" s="28"/>
      <x:c r="C192" s="15"/>
      <x:c r="D192" s="15"/>
      <x:c r="E192" s="15"/>
      <x:c r="F192" s="15"/>
      <x:c r="G192" s="15"/>
      <x:c r="H192" s="136"/>
      <x:c r="I192" s="136"/>
      <x:c r="J192" s="136" t="str">
        <x:f>IF(COUNTA(H192:I192)=0,"",SUM(H192:I192))</x:f>
      </x:c>
      <x:c r="K192" s="70" t="str">
        <x:f>IF(E192="","",IFERROR(INDEX('05_Employees'!$H:$H,MATCH(E192,'05_Employees'!$A:$A,0)),"NO RATE"))</x:f>
      </x:c>
      <x:c r="L192" s="70" t="str">
        <x:f>IF(OR(J192="",NOT(ISNUMBER(K192))),"",J192*K192)</x:f>
      </x:c>
      <x:c r="M192" s="15"/>
      <x:c r="N192" s="15" t="str">
        <x:f>IF(COUNTA(B192:I192,M192:M192)=0,"",TEXTJOIN("; ",TRUE,IF(B192="","Missing work date",""),IF(C192="","Missing project",""),IF(E192="","Missing employee",""),IF(H192="","Missing regular hours",""),IF(K192="NO RATE","Missing pay rate","")))</x:f>
      </x:c>
    </x:row>
    <x:row r="193" ht="20" customHeight="1">
      <x:c r="A193" s="15"/>
      <x:c r="B193" s="28"/>
      <x:c r="C193" s="15"/>
      <x:c r="D193" s="15"/>
      <x:c r="E193" s="15"/>
      <x:c r="F193" s="15"/>
      <x:c r="G193" s="15"/>
      <x:c r="H193" s="136"/>
      <x:c r="I193" s="136"/>
      <x:c r="J193" s="136" t="str">
        <x:f>IF(COUNTA(H193:I193)=0,"",SUM(H193:I193))</x:f>
      </x:c>
      <x:c r="K193" s="70" t="str">
        <x:f>IF(E193="","",IFERROR(INDEX('05_Employees'!$H:$H,MATCH(E193,'05_Employees'!$A:$A,0)),"NO RATE"))</x:f>
      </x:c>
      <x:c r="L193" s="70" t="str">
        <x:f>IF(OR(J193="",NOT(ISNUMBER(K193))),"",J193*K193)</x:f>
      </x:c>
      <x:c r="M193" s="15"/>
      <x:c r="N193" s="15" t="str">
        <x:f>IF(COUNTA(B193:I193,M193:M193)=0,"",TEXTJOIN("; ",TRUE,IF(B193="","Missing work date",""),IF(C193="","Missing project",""),IF(E193="","Missing employee",""),IF(H193="","Missing regular hours",""),IF(K193="NO RATE","Missing pay rate","")))</x:f>
      </x:c>
    </x:row>
    <x:row r="194" ht="20" customHeight="1">
      <x:c r="A194" s="15"/>
      <x:c r="B194" s="28"/>
      <x:c r="C194" s="15"/>
      <x:c r="D194" s="15"/>
      <x:c r="E194" s="15"/>
      <x:c r="F194" s="15"/>
      <x:c r="G194" s="15"/>
      <x:c r="H194" s="136"/>
      <x:c r="I194" s="136"/>
      <x:c r="J194" s="136" t="str">
        <x:f>IF(COUNTA(H194:I194)=0,"",SUM(H194:I194))</x:f>
      </x:c>
      <x:c r="K194" s="70" t="str">
        <x:f>IF(E194="","",IFERROR(INDEX('05_Employees'!$H:$H,MATCH(E194,'05_Employees'!$A:$A,0)),"NO RATE"))</x:f>
      </x:c>
      <x:c r="L194" s="70" t="str">
        <x:f>IF(OR(J194="",NOT(ISNUMBER(K194))),"",J194*K194)</x:f>
      </x:c>
      <x:c r="M194" s="15"/>
      <x:c r="N194" s="15" t="str">
        <x:f>IF(COUNTA(B194:I194,M194:M194)=0,"",TEXTJOIN("; ",TRUE,IF(B194="","Missing work date",""),IF(C194="","Missing project",""),IF(E194="","Missing employee",""),IF(H194="","Missing regular hours",""),IF(K194="NO RATE","Missing pay rate","")))</x:f>
      </x:c>
    </x:row>
    <x:row r="195" ht="20" customHeight="1">
      <x:c r="A195" s="15"/>
      <x:c r="B195" s="28"/>
      <x:c r="C195" s="15"/>
      <x:c r="D195" s="15"/>
      <x:c r="E195" s="15"/>
      <x:c r="F195" s="15"/>
      <x:c r="G195" s="15"/>
      <x:c r="H195" s="136"/>
      <x:c r="I195" s="136"/>
      <x:c r="J195" s="136" t="str">
        <x:f>IF(COUNTA(H195:I195)=0,"",SUM(H195:I195))</x:f>
      </x:c>
      <x:c r="K195" s="70" t="str">
        <x:f>IF(E195="","",IFERROR(INDEX('05_Employees'!$H:$H,MATCH(E195,'05_Employees'!$A:$A,0)),"NO RATE"))</x:f>
      </x:c>
      <x:c r="L195" s="70" t="str">
        <x:f>IF(OR(J195="",NOT(ISNUMBER(K195))),"",J195*K195)</x:f>
      </x:c>
      <x:c r="M195" s="15"/>
      <x:c r="N195" s="15" t="str">
        <x:f>IF(COUNTA(B195:I195,M195:M195)=0,"",TEXTJOIN("; ",TRUE,IF(B195="","Missing work date",""),IF(C195="","Missing project",""),IF(E195="","Missing employee",""),IF(H195="","Missing regular hours",""),IF(K195="NO RATE","Missing pay rate","")))</x:f>
      </x:c>
    </x:row>
    <x:row r="196" ht="20" customHeight="1">
      <x:c r="A196" s="15"/>
      <x:c r="B196" s="28"/>
      <x:c r="C196" s="15"/>
      <x:c r="D196" s="15"/>
      <x:c r="E196" s="15"/>
      <x:c r="F196" s="15"/>
      <x:c r="G196" s="15"/>
      <x:c r="H196" s="136"/>
      <x:c r="I196" s="136"/>
      <x:c r="J196" s="136" t="str">
        <x:f>IF(COUNTA(H196:I196)=0,"",SUM(H196:I196))</x:f>
      </x:c>
      <x:c r="K196" s="70" t="str">
        <x:f>IF(E196="","",IFERROR(INDEX('05_Employees'!$H:$H,MATCH(E196,'05_Employees'!$A:$A,0)),"NO RATE"))</x:f>
      </x:c>
      <x:c r="L196" s="70" t="str">
        <x:f>IF(OR(J196="",NOT(ISNUMBER(K196))),"",J196*K196)</x:f>
      </x:c>
      <x:c r="M196" s="15"/>
      <x:c r="N196" s="15" t="str">
        <x:f>IF(COUNTA(B196:I196,M196:M196)=0,"",TEXTJOIN("; ",TRUE,IF(B196="","Missing work date",""),IF(C196="","Missing project",""),IF(E196="","Missing employee",""),IF(H196="","Missing regular hours",""),IF(K196="NO RATE","Missing pay rate","")))</x:f>
      </x:c>
    </x:row>
    <x:row r="197" ht="20" customHeight="1">
      <x:c r="A197" s="15"/>
      <x:c r="B197" s="28"/>
      <x:c r="C197" s="15"/>
      <x:c r="D197" s="15"/>
      <x:c r="E197" s="15"/>
      <x:c r="F197" s="15"/>
      <x:c r="G197" s="15"/>
      <x:c r="H197" s="136"/>
      <x:c r="I197" s="136"/>
      <x:c r="J197" s="136" t="str">
        <x:f>IF(COUNTA(H197:I197)=0,"",SUM(H197:I197))</x:f>
      </x:c>
      <x:c r="K197" s="70" t="str">
        <x:f>IF(E197="","",IFERROR(INDEX('05_Employees'!$H:$H,MATCH(E197,'05_Employees'!$A:$A,0)),"NO RATE"))</x:f>
      </x:c>
      <x:c r="L197" s="70" t="str">
        <x:f>IF(OR(J197="",NOT(ISNUMBER(K197))),"",J197*K197)</x:f>
      </x:c>
      <x:c r="M197" s="15"/>
      <x:c r="N197" s="15" t="str">
        <x:f>IF(COUNTA(B197:I197,M197:M197)=0,"",TEXTJOIN("; ",TRUE,IF(B197="","Missing work date",""),IF(C197="","Missing project",""),IF(E197="","Missing employee",""),IF(H197="","Missing regular hours",""),IF(K197="NO RATE","Missing pay rate","")))</x:f>
      </x:c>
    </x:row>
    <x:row r="198" ht="20" customHeight="1">
      <x:c r="A198" s="15"/>
      <x:c r="B198" s="28"/>
      <x:c r="C198" s="15"/>
      <x:c r="D198" s="15"/>
      <x:c r="E198" s="15"/>
      <x:c r="F198" s="15"/>
      <x:c r="G198" s="15"/>
      <x:c r="H198" s="136"/>
      <x:c r="I198" s="136"/>
      <x:c r="J198" s="136" t="str">
        <x:f>IF(COUNTA(H198:I198)=0,"",SUM(H198:I198))</x:f>
      </x:c>
      <x:c r="K198" s="70" t="str">
        <x:f>IF(E198="","",IFERROR(INDEX('05_Employees'!$H:$H,MATCH(E198,'05_Employees'!$A:$A,0)),"NO RATE"))</x:f>
      </x:c>
      <x:c r="L198" s="70" t="str">
        <x:f>IF(OR(J198="",NOT(ISNUMBER(K198))),"",J198*K198)</x:f>
      </x:c>
      <x:c r="M198" s="15"/>
      <x:c r="N198" s="15" t="str">
        <x:f>IF(COUNTA(B198:I198,M198:M198)=0,"",TEXTJOIN("; ",TRUE,IF(B198="","Missing work date",""),IF(C198="","Missing project",""),IF(E198="","Missing employee",""),IF(H198="","Missing regular hours",""),IF(K198="NO RATE","Missing pay rate","")))</x:f>
      </x:c>
    </x:row>
    <x:row r="199" ht="20" customHeight="1">
      <x:c r="A199" s="15"/>
      <x:c r="B199" s="28"/>
      <x:c r="C199" s="15"/>
      <x:c r="D199" s="15"/>
      <x:c r="E199" s="15"/>
      <x:c r="F199" s="15"/>
      <x:c r="G199" s="15"/>
      <x:c r="H199" s="136"/>
      <x:c r="I199" s="136"/>
      <x:c r="J199" s="136" t="str">
        <x:f>IF(COUNTA(H199:I199)=0,"",SUM(H199:I199))</x:f>
      </x:c>
      <x:c r="K199" s="70" t="str">
        <x:f>IF(E199="","",IFERROR(INDEX('05_Employees'!$H:$H,MATCH(E199,'05_Employees'!$A:$A,0)),"NO RATE"))</x:f>
      </x:c>
      <x:c r="L199" s="70" t="str">
        <x:f>IF(OR(J199="",NOT(ISNUMBER(K199))),"",J199*K199)</x:f>
      </x:c>
      <x:c r="M199" s="15"/>
      <x:c r="N199" s="15" t="str">
        <x:f>IF(COUNTA(B199:I199,M199:M199)=0,"",TEXTJOIN("; ",TRUE,IF(B199="","Missing work date",""),IF(C199="","Missing project",""),IF(E199="","Missing employee",""),IF(H199="","Missing regular hours",""),IF(K199="NO RATE","Missing pay rate","")))</x:f>
      </x:c>
    </x:row>
    <x:row r="200" ht="20" customHeight="1">
      <x:c r="A200" s="15"/>
      <x:c r="B200" s="28"/>
      <x:c r="C200" s="15"/>
      <x:c r="D200" s="15"/>
      <x:c r="E200" s="15"/>
      <x:c r="F200" s="15"/>
      <x:c r="G200" s="15"/>
      <x:c r="H200" s="136"/>
      <x:c r="I200" s="136"/>
      <x:c r="J200" s="136" t="str">
        <x:f>IF(COUNTA(H200:I200)=0,"",SUM(H200:I200))</x:f>
      </x:c>
      <x:c r="K200" s="70" t="str">
        <x:f>IF(E200="","",IFERROR(INDEX('05_Employees'!$H:$H,MATCH(E200,'05_Employees'!$A:$A,0)),"NO RATE"))</x:f>
      </x:c>
      <x:c r="L200" s="70" t="str">
        <x:f>IF(OR(J200="",NOT(ISNUMBER(K200))),"",J200*K200)</x:f>
      </x:c>
      <x:c r="M200" s="15"/>
      <x:c r="N200" s="15" t="str">
        <x:f>IF(COUNTA(B200:I200,M200:M200)=0,"",TEXTJOIN("; ",TRUE,IF(B200="","Missing work date",""),IF(C200="","Missing project",""),IF(E200="","Missing employee",""),IF(H200="","Missing regular hours",""),IF(K200="NO RATE","Missing pay rate","")))</x:f>
      </x:c>
    </x:row>
    <x:row r="201" ht="20" customHeight="1">
      <x:c r="A201" s="15"/>
      <x:c r="B201" s="28"/>
      <x:c r="C201" s="15"/>
      <x:c r="D201" s="15"/>
      <x:c r="E201" s="15"/>
      <x:c r="F201" s="15"/>
      <x:c r="G201" s="15"/>
      <x:c r="H201" s="136"/>
      <x:c r="I201" s="136"/>
      <x:c r="J201" s="136" t="str">
        <x:f>IF(COUNTA(H201:I201)=0,"",SUM(H201:I201))</x:f>
      </x:c>
      <x:c r="K201" s="70" t="str">
        <x:f>IF(E201="","",IFERROR(INDEX('05_Employees'!$H:$H,MATCH(E201,'05_Employees'!$A:$A,0)),"NO RATE"))</x:f>
      </x:c>
      <x:c r="L201" s="70" t="str">
        <x:f>IF(OR(J201="",NOT(ISNUMBER(K201))),"",J201*K201)</x:f>
      </x:c>
      <x:c r="M201" s="15"/>
      <x:c r="N201" s="15" t="str">
        <x:f>IF(COUNTA(B201:I201,M201:M201)=0,"",TEXTJOIN("; ",TRUE,IF(B201="","Missing work date",""),IF(C201="","Missing project",""),IF(E201="","Missing employee",""),IF(H201="","Missing regular hours",""),IF(K201="NO RATE","Missing pay rate","")))</x:f>
      </x:c>
    </x:row>
    <x:row r="202" ht="20" customHeight="1">
      <x:c r="A202" s="15"/>
      <x:c r="B202" s="28"/>
      <x:c r="C202" s="15"/>
      <x:c r="D202" s="15"/>
      <x:c r="E202" s="15"/>
      <x:c r="F202" s="15"/>
      <x:c r="G202" s="15"/>
      <x:c r="H202" s="136"/>
      <x:c r="I202" s="136"/>
      <x:c r="J202" s="136" t="str">
        <x:f>IF(COUNTA(H202:I202)=0,"",SUM(H202:I202))</x:f>
      </x:c>
      <x:c r="K202" s="70" t="str">
        <x:f>IF(E202="","",IFERROR(INDEX('05_Employees'!$H:$H,MATCH(E202,'05_Employees'!$A:$A,0)),"NO RATE"))</x:f>
      </x:c>
      <x:c r="L202" s="70" t="str">
        <x:f>IF(OR(J202="",NOT(ISNUMBER(K202))),"",J202*K202)</x:f>
      </x:c>
      <x:c r="M202" s="15"/>
      <x:c r="N202" s="15" t="str">
        <x:f>IF(COUNTA(B202:I202,M202:M202)=0,"",TEXTJOIN("; ",TRUE,IF(B202="","Missing work date",""),IF(C202="","Missing project",""),IF(E202="","Missing employee",""),IF(H202="","Missing regular hours",""),IF(K202="NO RATE","Missing pay rate","")))</x:f>
      </x:c>
    </x:row>
    <x:row r="203" ht="20" customHeight="1">
      <x:c r="A203" s="15"/>
      <x:c r="B203" s="28"/>
      <x:c r="C203" s="15"/>
      <x:c r="D203" s="15"/>
      <x:c r="E203" s="15"/>
      <x:c r="F203" s="15"/>
      <x:c r="G203" s="15"/>
      <x:c r="H203" s="136"/>
      <x:c r="I203" s="136"/>
      <x:c r="J203" s="136" t="str">
        <x:f>IF(COUNTA(H203:I203)=0,"",SUM(H203:I203))</x:f>
      </x:c>
      <x:c r="K203" s="70" t="str">
        <x:f>IF(E203="","",IFERROR(INDEX('05_Employees'!$H:$H,MATCH(E203,'05_Employees'!$A:$A,0)),"NO RATE"))</x:f>
      </x:c>
      <x:c r="L203" s="70" t="str">
        <x:f>IF(OR(J203="",NOT(ISNUMBER(K203))),"",J203*K203)</x:f>
      </x:c>
      <x:c r="M203" s="15"/>
      <x:c r="N203" s="15" t="str">
        <x:f>IF(COUNTA(B203:I203,M203:M203)=0,"",TEXTJOIN("; ",TRUE,IF(B203="","Missing work date",""),IF(C203="","Missing project",""),IF(E203="","Missing employee",""),IF(H203="","Missing regular hours",""),IF(K203="NO RATE","Missing pay rate","")))</x:f>
      </x:c>
    </x:row>
    <x:row r="204" ht="20" customHeight="1">
      <x:c r="A204" s="15"/>
      <x:c r="B204" s="28"/>
      <x:c r="C204" s="15"/>
      <x:c r="D204" s="15"/>
      <x:c r="E204" s="15"/>
      <x:c r="F204" s="15"/>
      <x:c r="G204" s="15"/>
      <x:c r="H204" s="136"/>
      <x:c r="I204" s="136"/>
      <x:c r="J204" s="136" t="str">
        <x:f>IF(COUNTA(H204:I204)=0,"",SUM(H204:I204))</x:f>
      </x:c>
      <x:c r="K204" s="70" t="str">
        <x:f>IF(E204="","",IFERROR(INDEX('05_Employees'!$H:$H,MATCH(E204,'05_Employees'!$A:$A,0)),"NO RATE"))</x:f>
      </x:c>
      <x:c r="L204" s="70" t="str">
        <x:f>IF(OR(J204="",NOT(ISNUMBER(K204))),"",J204*K204)</x:f>
      </x:c>
      <x:c r="M204" s="15"/>
      <x:c r="N204" s="15" t="str">
        <x:f>IF(COUNTA(B204:I204,M204:M204)=0,"",TEXTJOIN("; ",TRUE,IF(B204="","Missing work date",""),IF(C204="","Missing project",""),IF(E204="","Missing employee",""),IF(H204="","Missing regular hours",""),IF(K204="NO RATE","Missing pay rate","")))</x:f>
      </x:c>
    </x:row>
    <x:row r="205" ht="20" customHeight="1">
      <x:c r="A205" s="15"/>
      <x:c r="B205" s="28"/>
      <x:c r="C205" s="15"/>
      <x:c r="D205" s="15"/>
      <x:c r="E205" s="15"/>
      <x:c r="F205" s="15"/>
      <x:c r="G205" s="15"/>
      <x:c r="H205" s="136"/>
      <x:c r="I205" s="136"/>
      <x:c r="J205" s="136" t="str">
        <x:f>IF(COUNTA(H205:I205)=0,"",SUM(H205:I205))</x:f>
      </x:c>
      <x:c r="K205" s="70" t="str">
        <x:f>IF(E205="","",IFERROR(INDEX('05_Employees'!$H:$H,MATCH(E205,'05_Employees'!$A:$A,0)),"NO RATE"))</x:f>
      </x:c>
      <x:c r="L205" s="70" t="str">
        <x:f>IF(OR(J205="",NOT(ISNUMBER(K205))),"",J205*K205)</x:f>
      </x:c>
      <x:c r="M205" s="15"/>
      <x:c r="N205" s="15" t="str">
        <x:f>IF(COUNTA(B205:I205,M205:M205)=0,"",TEXTJOIN("; ",TRUE,IF(B205="","Missing work date",""),IF(C205="","Missing project",""),IF(E205="","Missing employee",""),IF(H205="","Missing regular hours",""),IF(K205="NO RATE","Missing pay rate","")))</x:f>
      </x:c>
    </x:row>
    <x:row r="206" ht="20" customHeight="1">
      <x:c r="A206" s="15"/>
      <x:c r="B206" s="28"/>
      <x:c r="C206" s="15"/>
      <x:c r="D206" s="15"/>
      <x:c r="E206" s="15"/>
      <x:c r="F206" s="15"/>
      <x:c r="G206" s="15"/>
      <x:c r="H206" s="136"/>
      <x:c r="I206" s="136"/>
      <x:c r="J206" s="136" t="str">
        <x:f>IF(COUNTA(H206:I206)=0,"",SUM(H206:I206))</x:f>
      </x:c>
      <x:c r="K206" s="70" t="str">
        <x:f>IF(E206="","",IFERROR(INDEX('05_Employees'!$H:$H,MATCH(E206,'05_Employees'!$A:$A,0)),"NO RATE"))</x:f>
      </x:c>
      <x:c r="L206" s="70" t="str">
        <x:f>IF(OR(J206="",NOT(ISNUMBER(K206))),"",J206*K206)</x:f>
      </x:c>
      <x:c r="M206" s="15"/>
      <x:c r="N206" s="15" t="str">
        <x:f>IF(COUNTA(B206:I206,M206:M206)=0,"",TEXTJOIN("; ",TRUE,IF(B206="","Missing work date",""),IF(C206="","Missing project",""),IF(E206="","Missing employee",""),IF(H206="","Missing regular hours",""),IF(K206="NO RATE","Missing pay rate","")))</x:f>
      </x:c>
    </x:row>
    <x:row r="207" ht="20" customHeight="1">
      <x:c r="A207" s="15"/>
      <x:c r="B207" s="28"/>
      <x:c r="C207" s="15"/>
      <x:c r="D207" s="15"/>
      <x:c r="E207" s="15"/>
      <x:c r="F207" s="15"/>
      <x:c r="G207" s="15"/>
      <x:c r="H207" s="136"/>
      <x:c r="I207" s="136"/>
      <x:c r="J207" s="136" t="str">
        <x:f>IF(COUNTA(H207:I207)=0,"",SUM(H207:I207))</x:f>
      </x:c>
      <x:c r="K207" s="70" t="str">
        <x:f>IF(E207="","",IFERROR(INDEX('05_Employees'!$H:$H,MATCH(E207,'05_Employees'!$A:$A,0)),"NO RATE"))</x:f>
      </x:c>
      <x:c r="L207" s="70" t="str">
        <x:f>IF(OR(J207="",NOT(ISNUMBER(K207))),"",J207*K207)</x:f>
      </x:c>
      <x:c r="M207" s="15"/>
      <x:c r="N207" s="15" t="str">
        <x:f>IF(COUNTA(B207:I207,M207:M207)=0,"",TEXTJOIN("; ",TRUE,IF(B207="","Missing work date",""),IF(C207="","Missing project",""),IF(E207="","Missing employee",""),IF(H207="","Missing regular hours",""),IF(K207="NO RATE","Missing pay rate","")))</x:f>
      </x:c>
    </x:row>
    <x:row r="208" ht="20" customHeight="1">
      <x:c r="A208" s="15"/>
      <x:c r="B208" s="28"/>
      <x:c r="C208" s="15"/>
      <x:c r="D208" s="15"/>
      <x:c r="E208" s="15"/>
      <x:c r="F208" s="15"/>
      <x:c r="G208" s="15"/>
      <x:c r="H208" s="136"/>
      <x:c r="I208" s="136"/>
      <x:c r="J208" s="136" t="str">
        <x:f>IF(COUNTA(H208:I208)=0,"",SUM(H208:I208))</x:f>
      </x:c>
      <x:c r="K208" s="70" t="str">
        <x:f>IF(E208="","",IFERROR(INDEX('05_Employees'!$H:$H,MATCH(E208,'05_Employees'!$A:$A,0)),"NO RATE"))</x:f>
      </x:c>
      <x:c r="L208" s="70" t="str">
        <x:f>IF(OR(J208="",NOT(ISNUMBER(K208))),"",J208*K208)</x:f>
      </x:c>
      <x:c r="M208" s="15"/>
      <x:c r="N208" s="15" t="str">
        <x:f>IF(COUNTA(B208:I208,M208:M208)=0,"",TEXTJOIN("; ",TRUE,IF(B208="","Missing work date",""),IF(C208="","Missing project",""),IF(E208="","Missing employee",""),IF(H208="","Missing regular hours",""),IF(K208="NO RATE","Missing pay rate","")))</x:f>
      </x:c>
    </x:row>
    <x:row r="209" ht="20" customHeight="1">
      <x:c r="A209" s="15"/>
      <x:c r="B209" s="28"/>
      <x:c r="C209" s="15"/>
      <x:c r="D209" s="15"/>
      <x:c r="E209" s="15"/>
      <x:c r="F209" s="15"/>
      <x:c r="G209" s="15"/>
      <x:c r="H209" s="136"/>
      <x:c r="I209" s="136"/>
      <x:c r="J209" s="136" t="str">
        <x:f>IF(COUNTA(H209:I209)=0,"",SUM(H209:I209))</x:f>
      </x:c>
      <x:c r="K209" s="70" t="str">
        <x:f>IF(E209="","",IFERROR(INDEX('05_Employees'!$H:$H,MATCH(E209,'05_Employees'!$A:$A,0)),"NO RATE"))</x:f>
      </x:c>
      <x:c r="L209" s="70" t="str">
        <x:f>IF(OR(J209="",NOT(ISNUMBER(K209))),"",J209*K209)</x:f>
      </x:c>
      <x:c r="M209" s="15"/>
      <x:c r="N209" s="15" t="str">
        <x:f>IF(COUNTA(B209:I209,M209:M209)=0,"",TEXTJOIN("; ",TRUE,IF(B209="","Missing work date",""),IF(C209="","Missing project",""),IF(E209="","Missing employee",""),IF(H209="","Missing regular hours",""),IF(K209="NO RATE","Missing pay rate","")))</x:f>
      </x:c>
    </x:row>
    <x:row r="210" ht="20" customHeight="1">
      <x:c r="A210" s="15"/>
      <x:c r="B210" s="28"/>
      <x:c r="C210" s="15"/>
      <x:c r="D210" s="15"/>
      <x:c r="E210" s="15"/>
      <x:c r="F210" s="15"/>
      <x:c r="G210" s="15"/>
      <x:c r="H210" s="136"/>
      <x:c r="I210" s="136"/>
      <x:c r="J210" s="136" t="str">
        <x:f>IF(COUNTA(H210:I210)=0,"",SUM(H210:I210))</x:f>
      </x:c>
      <x:c r="K210" s="70" t="str">
        <x:f>IF(E210="","",IFERROR(INDEX('05_Employees'!$H:$H,MATCH(E210,'05_Employees'!$A:$A,0)),"NO RATE"))</x:f>
      </x:c>
      <x:c r="L210" s="70" t="str">
        <x:f>IF(OR(J210="",NOT(ISNUMBER(K210))),"",J210*K210)</x:f>
      </x:c>
      <x:c r="M210" s="15"/>
      <x:c r="N210" s="15" t="str">
        <x:f>IF(COUNTA(B210:I210,M210:M210)=0,"",TEXTJOIN("; ",TRUE,IF(B210="","Missing work date",""),IF(C210="","Missing project",""),IF(E210="","Missing employee",""),IF(H210="","Missing regular hours",""),IF(K210="NO RATE","Missing pay rate","")))</x:f>
      </x:c>
    </x:row>
    <x:row r="211" ht="20" customHeight="1">
      <x:c r="A211" s="15"/>
      <x:c r="B211" s="28"/>
      <x:c r="C211" s="15"/>
      <x:c r="D211" s="15"/>
      <x:c r="E211" s="15"/>
      <x:c r="F211" s="15"/>
      <x:c r="G211" s="15"/>
      <x:c r="H211" s="136"/>
      <x:c r="I211" s="136"/>
      <x:c r="J211" s="136" t="str">
        <x:f>IF(COUNTA(H211:I211)=0,"",SUM(H211:I211))</x:f>
      </x:c>
      <x:c r="K211" s="70" t="str">
        <x:f>IF(E211="","",IFERROR(INDEX('05_Employees'!$H:$H,MATCH(E211,'05_Employees'!$A:$A,0)),"NO RATE"))</x:f>
      </x:c>
      <x:c r="L211" s="70" t="str">
        <x:f>IF(OR(J211="",NOT(ISNUMBER(K211))),"",J211*K211)</x:f>
      </x:c>
      <x:c r="M211" s="15"/>
      <x:c r="N211" s="15" t="str">
        <x:f>IF(COUNTA(B211:I211,M211:M211)=0,"",TEXTJOIN("; ",TRUE,IF(B211="","Missing work date",""),IF(C211="","Missing project",""),IF(E211="","Missing employee",""),IF(H211="","Missing regular hours",""),IF(K211="NO RATE","Missing pay rate","")))</x:f>
      </x:c>
    </x:row>
    <x:row r="212" ht="20" customHeight="1">
      <x:c r="A212" s="15"/>
      <x:c r="B212" s="28"/>
      <x:c r="C212" s="15"/>
      <x:c r="D212" s="15"/>
      <x:c r="E212" s="15"/>
      <x:c r="F212" s="15"/>
      <x:c r="G212" s="15"/>
      <x:c r="H212" s="136"/>
      <x:c r="I212" s="136"/>
      <x:c r="J212" s="136" t="str">
        <x:f>IF(COUNTA(H212:I212)=0,"",SUM(H212:I212))</x:f>
      </x:c>
      <x:c r="K212" s="70" t="str">
        <x:f>IF(E212="","",IFERROR(INDEX('05_Employees'!$H:$H,MATCH(E212,'05_Employees'!$A:$A,0)),"NO RATE"))</x:f>
      </x:c>
      <x:c r="L212" s="70" t="str">
        <x:f>IF(OR(J212="",NOT(ISNUMBER(K212))),"",J212*K212)</x:f>
      </x:c>
      <x:c r="M212" s="15"/>
      <x:c r="N212" s="15" t="str">
        <x:f>IF(COUNTA(B212:I212,M212:M212)=0,"",TEXTJOIN("; ",TRUE,IF(B212="","Missing work date",""),IF(C212="","Missing project",""),IF(E212="","Missing employee",""),IF(H212="","Missing regular hours",""),IF(K212="NO RATE","Missing pay rate","")))</x:f>
      </x:c>
    </x:row>
    <x:row r="213" ht="20" customHeight="1">
      <x:c r="A213" s="15"/>
      <x:c r="B213" s="28"/>
      <x:c r="C213" s="15"/>
      <x:c r="D213" s="15"/>
      <x:c r="E213" s="15"/>
      <x:c r="F213" s="15"/>
      <x:c r="G213" s="15"/>
      <x:c r="H213" s="136"/>
      <x:c r="I213" s="136"/>
      <x:c r="J213" s="136" t="str">
        <x:f>IF(COUNTA(H213:I213)=0,"",SUM(H213:I213))</x:f>
      </x:c>
      <x:c r="K213" s="70" t="str">
        <x:f>IF(E213="","",IFERROR(INDEX('05_Employees'!$H:$H,MATCH(E213,'05_Employees'!$A:$A,0)),"NO RATE"))</x:f>
      </x:c>
      <x:c r="L213" s="70" t="str">
        <x:f>IF(OR(J213="",NOT(ISNUMBER(K213))),"",J213*K213)</x:f>
      </x:c>
      <x:c r="M213" s="15"/>
      <x:c r="N213" s="15" t="str">
        <x:f>IF(COUNTA(B213:I213,M213:M213)=0,"",TEXTJOIN("; ",TRUE,IF(B213="","Missing work date",""),IF(C213="","Missing project",""),IF(E213="","Missing employee",""),IF(H213="","Missing regular hours",""),IF(K213="NO RATE","Missing pay rate","")))</x:f>
      </x:c>
    </x:row>
    <x:row r="214" ht="20" customHeight="1">
      <x:c r="A214" s="15"/>
      <x:c r="B214" s="28"/>
      <x:c r="C214" s="15"/>
      <x:c r="D214" s="15"/>
      <x:c r="E214" s="15"/>
      <x:c r="F214" s="15"/>
      <x:c r="G214" s="15"/>
      <x:c r="H214" s="136"/>
      <x:c r="I214" s="136"/>
      <x:c r="J214" s="136" t="str">
        <x:f>IF(COUNTA(H214:I214)=0,"",SUM(H214:I214))</x:f>
      </x:c>
      <x:c r="K214" s="70" t="str">
        <x:f>IF(E214="","",IFERROR(INDEX('05_Employees'!$H:$H,MATCH(E214,'05_Employees'!$A:$A,0)),"NO RATE"))</x:f>
      </x:c>
      <x:c r="L214" s="70" t="str">
        <x:f>IF(OR(J214="",NOT(ISNUMBER(K214))),"",J214*K214)</x:f>
      </x:c>
      <x:c r="M214" s="15"/>
      <x:c r="N214" s="15" t="str">
        <x:f>IF(COUNTA(B214:I214,M214:M214)=0,"",TEXTJOIN("; ",TRUE,IF(B214="","Missing work date",""),IF(C214="","Missing project",""),IF(E214="","Missing employee",""),IF(H214="","Missing regular hours",""),IF(K214="NO RATE","Missing pay rate","")))</x:f>
      </x:c>
    </x:row>
    <x:row r="215" ht="20" customHeight="1">
      <x:c r="A215" s="15"/>
      <x:c r="B215" s="28"/>
      <x:c r="C215" s="15"/>
      <x:c r="D215" s="15"/>
      <x:c r="E215" s="15"/>
      <x:c r="F215" s="15"/>
      <x:c r="G215" s="15"/>
      <x:c r="H215" s="136"/>
      <x:c r="I215" s="136"/>
      <x:c r="J215" s="136" t="str">
        <x:f>IF(COUNTA(H215:I215)=0,"",SUM(H215:I215))</x:f>
      </x:c>
      <x:c r="K215" s="70" t="str">
        <x:f>IF(E215="","",IFERROR(INDEX('05_Employees'!$H:$H,MATCH(E215,'05_Employees'!$A:$A,0)),"NO RATE"))</x:f>
      </x:c>
      <x:c r="L215" s="70" t="str">
        <x:f>IF(OR(J215="",NOT(ISNUMBER(K215))),"",J215*K215)</x:f>
      </x:c>
      <x:c r="M215" s="15"/>
      <x:c r="N215" s="15" t="str">
        <x:f>IF(COUNTA(B215:I215,M215:M215)=0,"",TEXTJOIN("; ",TRUE,IF(B215="","Missing work date",""),IF(C215="","Missing project",""),IF(E215="","Missing employee",""),IF(H215="","Missing regular hours",""),IF(K215="NO RATE","Missing pay rate","")))</x:f>
      </x:c>
    </x:row>
    <x:row r="216" ht="20" customHeight="1">
      <x:c r="A216" s="15"/>
      <x:c r="B216" s="28"/>
      <x:c r="C216" s="15"/>
      <x:c r="D216" s="15"/>
      <x:c r="E216" s="15"/>
      <x:c r="F216" s="15"/>
      <x:c r="G216" s="15"/>
      <x:c r="H216" s="136"/>
      <x:c r="I216" s="136"/>
      <x:c r="J216" s="136" t="str">
        <x:f>IF(COUNTA(H216:I216)=0,"",SUM(H216:I216))</x:f>
      </x:c>
      <x:c r="K216" s="70" t="str">
        <x:f>IF(E216="","",IFERROR(INDEX('05_Employees'!$H:$H,MATCH(E216,'05_Employees'!$A:$A,0)),"NO RATE"))</x:f>
      </x:c>
      <x:c r="L216" s="70" t="str">
        <x:f>IF(OR(J216="",NOT(ISNUMBER(K216))),"",J216*K216)</x:f>
      </x:c>
      <x:c r="M216" s="15"/>
      <x:c r="N216" s="15" t="str">
        <x:f>IF(COUNTA(B216:I216,M216:M216)=0,"",TEXTJOIN("; ",TRUE,IF(B216="","Missing work date",""),IF(C216="","Missing project",""),IF(E216="","Missing employee",""),IF(H216="","Missing regular hours",""),IF(K216="NO RATE","Missing pay rate","")))</x:f>
      </x:c>
    </x:row>
    <x:row r="217" ht="20" customHeight="1">
      <x:c r="A217" s="15"/>
      <x:c r="B217" s="28"/>
      <x:c r="C217" s="15"/>
      <x:c r="D217" s="15"/>
      <x:c r="E217" s="15"/>
      <x:c r="F217" s="15"/>
      <x:c r="G217" s="15"/>
      <x:c r="H217" s="136"/>
      <x:c r="I217" s="136"/>
      <x:c r="J217" s="136" t="str">
        <x:f>IF(COUNTA(H217:I217)=0,"",SUM(H217:I217))</x:f>
      </x:c>
      <x:c r="K217" s="70" t="str">
        <x:f>IF(E217="","",IFERROR(INDEX('05_Employees'!$H:$H,MATCH(E217,'05_Employees'!$A:$A,0)),"NO RATE"))</x:f>
      </x:c>
      <x:c r="L217" s="70" t="str">
        <x:f>IF(OR(J217="",NOT(ISNUMBER(K217))),"",J217*K217)</x:f>
      </x:c>
      <x:c r="M217" s="15"/>
      <x:c r="N217" s="15" t="str">
        <x:f>IF(COUNTA(B217:I217,M217:M217)=0,"",TEXTJOIN("; ",TRUE,IF(B217="","Missing work date",""),IF(C217="","Missing project",""),IF(E217="","Missing employee",""),IF(H217="","Missing regular hours",""),IF(K217="NO RATE","Missing pay rate","")))</x:f>
      </x:c>
    </x:row>
    <x:row r="218" ht="20" customHeight="1">
      <x:c r="A218" s="15"/>
      <x:c r="B218" s="28"/>
      <x:c r="C218" s="15"/>
      <x:c r="D218" s="15"/>
      <x:c r="E218" s="15"/>
      <x:c r="F218" s="15"/>
      <x:c r="G218" s="15"/>
      <x:c r="H218" s="136"/>
      <x:c r="I218" s="136"/>
      <x:c r="J218" s="136" t="str">
        <x:f>IF(COUNTA(H218:I218)=0,"",SUM(H218:I218))</x:f>
      </x:c>
      <x:c r="K218" s="70" t="str">
        <x:f>IF(E218="","",IFERROR(INDEX('05_Employees'!$H:$H,MATCH(E218,'05_Employees'!$A:$A,0)),"NO RATE"))</x:f>
      </x:c>
      <x:c r="L218" s="70" t="str">
        <x:f>IF(OR(J218="",NOT(ISNUMBER(K218))),"",J218*K218)</x:f>
      </x:c>
      <x:c r="M218" s="15"/>
      <x:c r="N218" s="15" t="str">
        <x:f>IF(COUNTA(B218:I218,M218:M218)=0,"",TEXTJOIN("; ",TRUE,IF(B218="","Missing work date",""),IF(C218="","Missing project",""),IF(E218="","Missing employee",""),IF(H218="","Missing regular hours",""),IF(K218="NO RATE","Missing pay rate","")))</x:f>
      </x:c>
    </x:row>
    <x:row r="219" ht="20" customHeight="1">
      <x:c r="A219" s="15"/>
      <x:c r="B219" s="28"/>
      <x:c r="C219" s="15"/>
      <x:c r="D219" s="15"/>
      <x:c r="E219" s="15"/>
      <x:c r="F219" s="15"/>
      <x:c r="G219" s="15"/>
      <x:c r="H219" s="136"/>
      <x:c r="I219" s="136"/>
      <x:c r="J219" s="136" t="str">
        <x:f>IF(COUNTA(H219:I219)=0,"",SUM(H219:I219))</x:f>
      </x:c>
      <x:c r="K219" s="70" t="str">
        <x:f>IF(E219="","",IFERROR(INDEX('05_Employees'!$H:$H,MATCH(E219,'05_Employees'!$A:$A,0)),"NO RATE"))</x:f>
      </x:c>
      <x:c r="L219" s="70" t="str">
        <x:f>IF(OR(J219="",NOT(ISNUMBER(K219))),"",J219*K219)</x:f>
      </x:c>
      <x:c r="M219" s="15"/>
      <x:c r="N219" s="15" t="str">
        <x:f>IF(COUNTA(B219:I219,M219:M219)=0,"",TEXTJOIN("; ",TRUE,IF(B219="","Missing work date",""),IF(C219="","Missing project",""),IF(E219="","Missing employee",""),IF(H219="","Missing regular hours",""),IF(K219="NO RATE","Missing pay rate","")))</x:f>
      </x:c>
    </x:row>
    <x:row r="220" ht="20" customHeight="1">
      <x:c r="A220" s="15"/>
      <x:c r="B220" s="28"/>
      <x:c r="C220" s="15"/>
      <x:c r="D220" s="15"/>
      <x:c r="E220" s="15"/>
      <x:c r="F220" s="15"/>
      <x:c r="G220" s="15"/>
      <x:c r="H220" s="136"/>
      <x:c r="I220" s="136"/>
      <x:c r="J220" s="136" t="str">
        <x:f>IF(COUNTA(H220:I220)=0,"",SUM(H220:I220))</x:f>
      </x:c>
      <x:c r="K220" s="70" t="str">
        <x:f>IF(E220="","",IFERROR(INDEX('05_Employees'!$H:$H,MATCH(E220,'05_Employees'!$A:$A,0)),"NO RATE"))</x:f>
      </x:c>
      <x:c r="L220" s="70" t="str">
        <x:f>IF(OR(J220="",NOT(ISNUMBER(K220))),"",J220*K220)</x:f>
      </x:c>
      <x:c r="M220" s="15"/>
      <x:c r="N220" s="15" t="str">
        <x:f>IF(COUNTA(B220:I220,M220:M220)=0,"",TEXTJOIN("; ",TRUE,IF(B220="","Missing work date",""),IF(C220="","Missing project",""),IF(E220="","Missing employee",""),IF(H220="","Missing regular hours",""),IF(K220="NO RATE","Missing pay rate","")))</x:f>
      </x:c>
    </x:row>
    <x:row r="221" ht="20" customHeight="1">
      <x:c r="A221" s="15"/>
      <x:c r="B221" s="28"/>
      <x:c r="C221" s="15"/>
      <x:c r="D221" s="15"/>
      <x:c r="E221" s="15"/>
      <x:c r="F221" s="15"/>
      <x:c r="G221" s="15"/>
      <x:c r="H221" s="136"/>
      <x:c r="I221" s="136"/>
      <x:c r="J221" s="136" t="str">
        <x:f>IF(COUNTA(H221:I221)=0,"",SUM(H221:I221))</x:f>
      </x:c>
      <x:c r="K221" s="70" t="str">
        <x:f>IF(E221="","",IFERROR(INDEX('05_Employees'!$H:$H,MATCH(E221,'05_Employees'!$A:$A,0)),"NO RATE"))</x:f>
      </x:c>
      <x:c r="L221" s="70" t="str">
        <x:f>IF(OR(J221="",NOT(ISNUMBER(K221))),"",J221*K221)</x:f>
      </x:c>
      <x:c r="M221" s="15"/>
      <x:c r="N221" s="15" t="str">
        <x:f>IF(COUNTA(B221:I221,M221:M221)=0,"",TEXTJOIN("; ",TRUE,IF(B221="","Missing work date",""),IF(C221="","Missing project",""),IF(E221="","Missing employee",""),IF(H221="","Missing regular hours",""),IF(K221="NO RATE","Missing pay rate","")))</x:f>
      </x:c>
    </x:row>
    <x:row r="222" ht="20" customHeight="1">
      <x:c r="A222" s="15"/>
      <x:c r="B222" s="28"/>
      <x:c r="C222" s="15"/>
      <x:c r="D222" s="15"/>
      <x:c r="E222" s="15"/>
      <x:c r="F222" s="15"/>
      <x:c r="G222" s="15"/>
      <x:c r="H222" s="136"/>
      <x:c r="I222" s="136"/>
      <x:c r="J222" s="136" t="str">
        <x:f>IF(COUNTA(H222:I222)=0,"",SUM(H222:I222))</x:f>
      </x:c>
      <x:c r="K222" s="70" t="str">
        <x:f>IF(E222="","",IFERROR(INDEX('05_Employees'!$H:$H,MATCH(E222,'05_Employees'!$A:$A,0)),"NO RATE"))</x:f>
      </x:c>
      <x:c r="L222" s="70" t="str">
        <x:f>IF(OR(J222="",NOT(ISNUMBER(K222))),"",J222*K222)</x:f>
      </x:c>
      <x:c r="M222" s="15"/>
      <x:c r="N222" s="15" t="str">
        <x:f>IF(COUNTA(B222:I222,M222:M222)=0,"",TEXTJOIN("; ",TRUE,IF(B222="","Missing work date",""),IF(C222="","Missing project",""),IF(E222="","Missing employee",""),IF(H222="","Missing regular hours",""),IF(K222="NO RATE","Missing pay rate","")))</x:f>
      </x:c>
    </x:row>
    <x:row r="223" ht="20" customHeight="1">
      <x:c r="A223" s="15"/>
      <x:c r="B223" s="28"/>
      <x:c r="C223" s="15"/>
      <x:c r="D223" s="15"/>
      <x:c r="E223" s="15"/>
      <x:c r="F223" s="15"/>
      <x:c r="G223" s="15"/>
      <x:c r="H223" s="136"/>
      <x:c r="I223" s="136"/>
      <x:c r="J223" s="136" t="str">
        <x:f>IF(COUNTA(H223:I223)=0,"",SUM(H223:I223))</x:f>
      </x:c>
      <x:c r="K223" s="70" t="str">
        <x:f>IF(E223="","",IFERROR(INDEX('05_Employees'!$H:$H,MATCH(E223,'05_Employees'!$A:$A,0)),"NO RATE"))</x:f>
      </x:c>
      <x:c r="L223" s="70" t="str">
        <x:f>IF(OR(J223="",NOT(ISNUMBER(K223))),"",J223*K223)</x:f>
      </x:c>
      <x:c r="M223" s="15"/>
      <x:c r="N223" s="15" t="str">
        <x:f>IF(COUNTA(B223:I223,M223:M223)=0,"",TEXTJOIN("; ",TRUE,IF(B223="","Missing work date",""),IF(C223="","Missing project",""),IF(E223="","Missing employee",""),IF(H223="","Missing regular hours",""),IF(K223="NO RATE","Missing pay rate","")))</x:f>
      </x:c>
    </x:row>
    <x:row r="224" ht="20" customHeight="1">
      <x:c r="A224" s="15"/>
      <x:c r="B224" s="28"/>
      <x:c r="C224" s="15"/>
      <x:c r="D224" s="15"/>
      <x:c r="E224" s="15"/>
      <x:c r="F224" s="15"/>
      <x:c r="G224" s="15"/>
      <x:c r="H224" s="136"/>
      <x:c r="I224" s="136"/>
      <x:c r="J224" s="136" t="str">
        <x:f>IF(COUNTA(H224:I224)=0,"",SUM(H224:I224))</x:f>
      </x:c>
      <x:c r="K224" s="70" t="str">
        <x:f>IF(E224="","",IFERROR(INDEX('05_Employees'!$H:$H,MATCH(E224,'05_Employees'!$A:$A,0)),"NO RATE"))</x:f>
      </x:c>
      <x:c r="L224" s="70" t="str">
        <x:f>IF(OR(J224="",NOT(ISNUMBER(K224))),"",J224*K224)</x:f>
      </x:c>
      <x:c r="M224" s="15"/>
      <x:c r="N224" s="15" t="str">
        <x:f>IF(COUNTA(B224:I224,M224:M224)=0,"",TEXTJOIN("; ",TRUE,IF(B224="","Missing work date",""),IF(C224="","Missing project",""),IF(E224="","Missing employee",""),IF(H224="","Missing regular hours",""),IF(K224="NO RATE","Missing pay rate","")))</x:f>
      </x:c>
    </x:row>
    <x:row r="225" ht="20" customHeight="1">
      <x:c r="A225" s="15"/>
      <x:c r="B225" s="28"/>
      <x:c r="C225" s="15"/>
      <x:c r="D225" s="15"/>
      <x:c r="E225" s="15"/>
      <x:c r="F225" s="15"/>
      <x:c r="G225" s="15"/>
      <x:c r="H225" s="136"/>
      <x:c r="I225" s="136"/>
      <x:c r="J225" s="136" t="str">
        <x:f>IF(COUNTA(H225:I225)=0,"",SUM(H225:I225))</x:f>
      </x:c>
      <x:c r="K225" s="70" t="str">
        <x:f>IF(E225="","",IFERROR(INDEX('05_Employees'!$H:$H,MATCH(E225,'05_Employees'!$A:$A,0)),"NO RATE"))</x:f>
      </x:c>
      <x:c r="L225" s="70" t="str">
        <x:f>IF(OR(J225="",NOT(ISNUMBER(K225))),"",J225*K225)</x:f>
      </x:c>
      <x:c r="M225" s="15"/>
      <x:c r="N225" s="15" t="str">
        <x:f>IF(COUNTA(B225:I225,M225:M225)=0,"",TEXTJOIN("; ",TRUE,IF(B225="","Missing work date",""),IF(C225="","Missing project",""),IF(E225="","Missing employee",""),IF(H225="","Missing regular hours",""),IF(K225="NO RATE","Missing pay rate","")))</x:f>
      </x:c>
    </x:row>
    <x:row r="226" ht="20" customHeight="1">
      <x:c r="A226" s="15"/>
      <x:c r="B226" s="28"/>
      <x:c r="C226" s="15"/>
      <x:c r="D226" s="15"/>
      <x:c r="E226" s="15"/>
      <x:c r="F226" s="15"/>
      <x:c r="G226" s="15"/>
      <x:c r="H226" s="136"/>
      <x:c r="I226" s="136"/>
      <x:c r="J226" s="136" t="str">
        <x:f>IF(COUNTA(H226:I226)=0,"",SUM(H226:I226))</x:f>
      </x:c>
      <x:c r="K226" s="70" t="str">
        <x:f>IF(E226="","",IFERROR(INDEX('05_Employees'!$H:$H,MATCH(E226,'05_Employees'!$A:$A,0)),"NO RATE"))</x:f>
      </x:c>
      <x:c r="L226" s="70" t="str">
        <x:f>IF(OR(J226="",NOT(ISNUMBER(K226))),"",J226*K226)</x:f>
      </x:c>
      <x:c r="M226" s="15"/>
      <x:c r="N226" s="15" t="str">
        <x:f>IF(COUNTA(B226:I226,M226:M226)=0,"",TEXTJOIN("; ",TRUE,IF(B226="","Missing work date",""),IF(C226="","Missing project",""),IF(E226="","Missing employee",""),IF(H226="","Missing regular hours",""),IF(K226="NO RATE","Missing pay rate","")))</x:f>
      </x:c>
    </x:row>
    <x:row r="227" ht="20" customHeight="1">
      <x:c r="A227" s="15"/>
      <x:c r="B227" s="28"/>
      <x:c r="C227" s="15"/>
      <x:c r="D227" s="15"/>
      <x:c r="E227" s="15"/>
      <x:c r="F227" s="15"/>
      <x:c r="G227" s="15"/>
      <x:c r="H227" s="136"/>
      <x:c r="I227" s="136"/>
      <x:c r="J227" s="136" t="str">
        <x:f>IF(COUNTA(H227:I227)=0,"",SUM(H227:I227))</x:f>
      </x:c>
      <x:c r="K227" s="70" t="str">
        <x:f>IF(E227="","",IFERROR(INDEX('05_Employees'!$H:$H,MATCH(E227,'05_Employees'!$A:$A,0)),"NO RATE"))</x:f>
      </x:c>
      <x:c r="L227" s="70" t="str">
        <x:f>IF(OR(J227="",NOT(ISNUMBER(K227))),"",J227*K227)</x:f>
      </x:c>
      <x:c r="M227" s="15"/>
      <x:c r="N227" s="15" t="str">
        <x:f>IF(COUNTA(B227:I227,M227:M227)=0,"",TEXTJOIN("; ",TRUE,IF(B227="","Missing work date",""),IF(C227="","Missing project",""),IF(E227="","Missing employee",""),IF(H227="","Missing regular hours",""),IF(K227="NO RATE","Missing pay rate","")))</x:f>
      </x:c>
    </x:row>
    <x:row r="228" ht="20" customHeight="1">
      <x:c r="A228" s="15"/>
      <x:c r="B228" s="28"/>
      <x:c r="C228" s="15"/>
      <x:c r="D228" s="15"/>
      <x:c r="E228" s="15"/>
      <x:c r="F228" s="15"/>
      <x:c r="G228" s="15"/>
      <x:c r="H228" s="136"/>
      <x:c r="I228" s="136"/>
      <x:c r="J228" s="136" t="str">
        <x:f>IF(COUNTA(H228:I228)=0,"",SUM(H228:I228))</x:f>
      </x:c>
      <x:c r="K228" s="70" t="str">
        <x:f>IF(E228="","",IFERROR(INDEX('05_Employees'!$H:$H,MATCH(E228,'05_Employees'!$A:$A,0)),"NO RATE"))</x:f>
      </x:c>
      <x:c r="L228" s="70" t="str">
        <x:f>IF(OR(J228="",NOT(ISNUMBER(K228))),"",J228*K228)</x:f>
      </x:c>
      <x:c r="M228" s="15"/>
      <x:c r="N228" s="15" t="str">
        <x:f>IF(COUNTA(B228:I228,M228:M228)=0,"",TEXTJOIN("; ",TRUE,IF(B228="","Missing work date",""),IF(C228="","Missing project",""),IF(E228="","Missing employee",""),IF(H228="","Missing regular hours",""),IF(K228="NO RATE","Missing pay rate","")))</x:f>
      </x:c>
    </x:row>
    <x:row r="229" ht="20" customHeight="1">
      <x:c r="A229" s="15"/>
      <x:c r="B229" s="28"/>
      <x:c r="C229" s="15"/>
      <x:c r="D229" s="15"/>
      <x:c r="E229" s="15"/>
      <x:c r="F229" s="15"/>
      <x:c r="G229" s="15"/>
      <x:c r="H229" s="136"/>
      <x:c r="I229" s="136"/>
      <x:c r="J229" s="136" t="str">
        <x:f>IF(COUNTA(H229:I229)=0,"",SUM(H229:I229))</x:f>
      </x:c>
      <x:c r="K229" s="70" t="str">
        <x:f>IF(E229="","",IFERROR(INDEX('05_Employees'!$H:$H,MATCH(E229,'05_Employees'!$A:$A,0)),"NO RATE"))</x:f>
      </x:c>
      <x:c r="L229" s="70" t="str">
        <x:f>IF(OR(J229="",NOT(ISNUMBER(K229))),"",J229*K229)</x:f>
      </x:c>
      <x:c r="M229" s="15"/>
      <x:c r="N229" s="15" t="str">
        <x:f>IF(COUNTA(B229:I229,M229:M229)=0,"",TEXTJOIN("; ",TRUE,IF(B229="","Missing work date",""),IF(C229="","Missing project",""),IF(E229="","Missing employee",""),IF(H229="","Missing regular hours",""),IF(K229="NO RATE","Missing pay rate","")))</x:f>
      </x:c>
    </x:row>
    <x:row r="230" ht="20" customHeight="1">
      <x:c r="A230" s="15"/>
      <x:c r="B230" s="28"/>
      <x:c r="C230" s="15"/>
      <x:c r="D230" s="15"/>
      <x:c r="E230" s="15"/>
      <x:c r="F230" s="15"/>
      <x:c r="G230" s="15"/>
      <x:c r="H230" s="136"/>
      <x:c r="I230" s="136"/>
      <x:c r="J230" s="136" t="str">
        <x:f>IF(COUNTA(H230:I230)=0,"",SUM(H230:I230))</x:f>
      </x:c>
      <x:c r="K230" s="70" t="str">
        <x:f>IF(E230="","",IFERROR(INDEX('05_Employees'!$H:$H,MATCH(E230,'05_Employees'!$A:$A,0)),"NO RATE"))</x:f>
      </x:c>
      <x:c r="L230" s="70" t="str">
        <x:f>IF(OR(J230="",NOT(ISNUMBER(K230))),"",J230*K230)</x:f>
      </x:c>
      <x:c r="M230" s="15"/>
      <x:c r="N230" s="15" t="str">
        <x:f>IF(COUNTA(B230:I230,M230:M230)=0,"",TEXTJOIN("; ",TRUE,IF(B230="","Missing work date",""),IF(C230="","Missing project",""),IF(E230="","Missing employee",""),IF(H230="","Missing regular hours",""),IF(K230="NO RATE","Missing pay rate","")))</x:f>
      </x:c>
    </x:row>
    <x:row r="231" ht="20" customHeight="1">
      <x:c r="A231" s="15"/>
      <x:c r="B231" s="28"/>
      <x:c r="C231" s="15"/>
      <x:c r="D231" s="15"/>
      <x:c r="E231" s="15"/>
      <x:c r="F231" s="15"/>
      <x:c r="G231" s="15"/>
      <x:c r="H231" s="136"/>
      <x:c r="I231" s="136"/>
      <x:c r="J231" s="136" t="str">
        <x:f>IF(COUNTA(H231:I231)=0,"",SUM(H231:I231))</x:f>
      </x:c>
      <x:c r="K231" s="70" t="str">
        <x:f>IF(E231="","",IFERROR(INDEX('05_Employees'!$H:$H,MATCH(E231,'05_Employees'!$A:$A,0)),"NO RATE"))</x:f>
      </x:c>
      <x:c r="L231" s="70" t="str">
        <x:f>IF(OR(J231="",NOT(ISNUMBER(K231))),"",J231*K231)</x:f>
      </x:c>
      <x:c r="M231" s="15"/>
      <x:c r="N231" s="15" t="str">
        <x:f>IF(COUNTA(B231:I231,M231:M231)=0,"",TEXTJOIN("; ",TRUE,IF(B231="","Missing work date",""),IF(C231="","Missing project",""),IF(E231="","Missing employee",""),IF(H231="","Missing regular hours",""),IF(K231="NO RATE","Missing pay rate","")))</x:f>
      </x:c>
    </x:row>
    <x:row r="232" ht="20" customHeight="1">
      <x:c r="A232" s="15"/>
      <x:c r="B232" s="28"/>
      <x:c r="C232" s="15"/>
      <x:c r="D232" s="15"/>
      <x:c r="E232" s="15"/>
      <x:c r="F232" s="15"/>
      <x:c r="G232" s="15"/>
      <x:c r="H232" s="136"/>
      <x:c r="I232" s="136"/>
      <x:c r="J232" s="136" t="str">
        <x:f>IF(COUNTA(H232:I232)=0,"",SUM(H232:I232))</x:f>
      </x:c>
      <x:c r="K232" s="70" t="str">
        <x:f>IF(E232="","",IFERROR(INDEX('05_Employees'!$H:$H,MATCH(E232,'05_Employees'!$A:$A,0)),"NO RATE"))</x:f>
      </x:c>
      <x:c r="L232" s="70" t="str">
        <x:f>IF(OR(J232="",NOT(ISNUMBER(K232))),"",J232*K232)</x:f>
      </x:c>
      <x:c r="M232" s="15"/>
      <x:c r="N232" s="15" t="str">
        <x:f>IF(COUNTA(B232:I232,M232:M232)=0,"",TEXTJOIN("; ",TRUE,IF(B232="","Missing work date",""),IF(C232="","Missing project",""),IF(E232="","Missing employee",""),IF(H232="","Missing regular hours",""),IF(K232="NO RATE","Missing pay rate","")))</x:f>
      </x:c>
    </x:row>
    <x:row r="233" ht="20" customHeight="1">
      <x:c r="A233" s="15"/>
      <x:c r="B233" s="28"/>
      <x:c r="C233" s="15"/>
      <x:c r="D233" s="15"/>
      <x:c r="E233" s="15"/>
      <x:c r="F233" s="15"/>
      <x:c r="G233" s="15"/>
      <x:c r="H233" s="136"/>
      <x:c r="I233" s="136"/>
      <x:c r="J233" s="136" t="str">
        <x:f>IF(COUNTA(H233:I233)=0,"",SUM(H233:I233))</x:f>
      </x:c>
      <x:c r="K233" s="70" t="str">
        <x:f>IF(E233="","",IFERROR(INDEX('05_Employees'!$H:$H,MATCH(E233,'05_Employees'!$A:$A,0)),"NO RATE"))</x:f>
      </x:c>
      <x:c r="L233" s="70" t="str">
        <x:f>IF(OR(J233="",NOT(ISNUMBER(K233))),"",J233*K233)</x:f>
      </x:c>
      <x:c r="M233" s="15"/>
      <x:c r="N233" s="15" t="str">
        <x:f>IF(COUNTA(B233:I233,M233:M233)=0,"",TEXTJOIN("; ",TRUE,IF(B233="","Missing work date",""),IF(C233="","Missing project",""),IF(E233="","Missing employee",""),IF(H233="","Missing regular hours",""),IF(K233="NO RATE","Missing pay rate","")))</x:f>
      </x:c>
    </x:row>
    <x:row r="234" ht="20" customHeight="1">
      <x:c r="A234" s="15"/>
      <x:c r="B234" s="28"/>
      <x:c r="C234" s="15"/>
      <x:c r="D234" s="15"/>
      <x:c r="E234" s="15"/>
      <x:c r="F234" s="15"/>
      <x:c r="G234" s="15"/>
      <x:c r="H234" s="136"/>
      <x:c r="I234" s="136"/>
      <x:c r="J234" s="136" t="str">
        <x:f>IF(COUNTA(H234:I234)=0,"",SUM(H234:I234))</x:f>
      </x:c>
      <x:c r="K234" s="70" t="str">
        <x:f>IF(E234="","",IFERROR(INDEX('05_Employees'!$H:$H,MATCH(E234,'05_Employees'!$A:$A,0)),"NO RATE"))</x:f>
      </x:c>
      <x:c r="L234" s="70" t="str">
        <x:f>IF(OR(J234="",NOT(ISNUMBER(K234))),"",J234*K234)</x:f>
      </x:c>
      <x:c r="M234" s="15"/>
      <x:c r="N234" s="15" t="str">
        <x:f>IF(COUNTA(B234:I234,M234:M234)=0,"",TEXTJOIN("; ",TRUE,IF(B234="","Missing work date",""),IF(C234="","Missing project",""),IF(E234="","Missing employee",""),IF(H234="","Missing regular hours",""),IF(K234="NO RATE","Missing pay rate","")))</x:f>
      </x:c>
    </x:row>
    <x:row r="235" ht="20" customHeight="1">
      <x:c r="A235" s="15"/>
      <x:c r="B235" s="28"/>
      <x:c r="C235" s="15"/>
      <x:c r="D235" s="15"/>
      <x:c r="E235" s="15"/>
      <x:c r="F235" s="15"/>
      <x:c r="G235" s="15"/>
      <x:c r="H235" s="136"/>
      <x:c r="I235" s="136"/>
      <x:c r="J235" s="136" t="str">
        <x:f>IF(COUNTA(H235:I235)=0,"",SUM(H235:I235))</x:f>
      </x:c>
      <x:c r="K235" s="70" t="str">
        <x:f>IF(E235="","",IFERROR(INDEX('05_Employees'!$H:$H,MATCH(E235,'05_Employees'!$A:$A,0)),"NO RATE"))</x:f>
      </x:c>
      <x:c r="L235" s="70" t="str">
        <x:f>IF(OR(J235="",NOT(ISNUMBER(K235))),"",J235*K235)</x:f>
      </x:c>
      <x:c r="M235" s="15"/>
      <x:c r="N235" s="15" t="str">
        <x:f>IF(COUNTA(B235:I235,M235:M235)=0,"",TEXTJOIN("; ",TRUE,IF(B235="","Missing work date",""),IF(C235="","Missing project",""),IF(E235="","Missing employee",""),IF(H235="","Missing regular hours",""),IF(K235="NO RATE","Missing pay rate","")))</x:f>
      </x:c>
    </x:row>
    <x:row r="236" ht="20" customHeight="1">
      <x:c r="A236" s="15"/>
      <x:c r="B236" s="28"/>
      <x:c r="C236" s="15"/>
      <x:c r="D236" s="15"/>
      <x:c r="E236" s="15"/>
      <x:c r="F236" s="15"/>
      <x:c r="G236" s="15"/>
      <x:c r="H236" s="136"/>
      <x:c r="I236" s="136"/>
      <x:c r="J236" s="136" t="str">
        <x:f>IF(COUNTA(H236:I236)=0,"",SUM(H236:I236))</x:f>
      </x:c>
      <x:c r="K236" s="70" t="str">
        <x:f>IF(E236="","",IFERROR(INDEX('05_Employees'!$H:$H,MATCH(E236,'05_Employees'!$A:$A,0)),"NO RATE"))</x:f>
      </x:c>
      <x:c r="L236" s="70" t="str">
        <x:f>IF(OR(J236="",NOT(ISNUMBER(K236))),"",J236*K236)</x:f>
      </x:c>
      <x:c r="M236" s="15"/>
      <x:c r="N236" s="15" t="str">
        <x:f>IF(COUNTA(B236:I236,M236:M236)=0,"",TEXTJOIN("; ",TRUE,IF(B236="","Missing work date",""),IF(C236="","Missing project",""),IF(E236="","Missing employee",""),IF(H236="","Missing regular hours",""),IF(K236="NO RATE","Missing pay rate","")))</x:f>
      </x:c>
    </x:row>
    <x:row r="237" ht="20" customHeight="1">
      <x:c r="A237" s="15"/>
      <x:c r="B237" s="28"/>
      <x:c r="C237" s="15"/>
      <x:c r="D237" s="15"/>
      <x:c r="E237" s="15"/>
      <x:c r="F237" s="15"/>
      <x:c r="G237" s="15"/>
      <x:c r="H237" s="136"/>
      <x:c r="I237" s="136"/>
      <x:c r="J237" s="136" t="str">
        <x:f>IF(COUNTA(H237:I237)=0,"",SUM(H237:I237))</x:f>
      </x:c>
      <x:c r="K237" s="70" t="str">
        <x:f>IF(E237="","",IFERROR(INDEX('05_Employees'!$H:$H,MATCH(E237,'05_Employees'!$A:$A,0)),"NO RATE"))</x:f>
      </x:c>
      <x:c r="L237" s="70" t="str">
        <x:f>IF(OR(J237="",NOT(ISNUMBER(K237))),"",J237*K237)</x:f>
      </x:c>
      <x:c r="M237" s="15"/>
      <x:c r="N237" s="15" t="str">
        <x:f>IF(COUNTA(B237:I237,M237:M237)=0,"",TEXTJOIN("; ",TRUE,IF(B237="","Missing work date",""),IF(C237="","Missing project",""),IF(E237="","Missing employee",""),IF(H237="","Missing regular hours",""),IF(K237="NO RATE","Missing pay rate","")))</x:f>
      </x:c>
    </x:row>
    <x:row r="238" ht="20" customHeight="1">
      <x:c r="A238" s="15"/>
      <x:c r="B238" s="28"/>
      <x:c r="C238" s="15"/>
      <x:c r="D238" s="15"/>
      <x:c r="E238" s="15"/>
      <x:c r="F238" s="15"/>
      <x:c r="G238" s="15"/>
      <x:c r="H238" s="136"/>
      <x:c r="I238" s="136"/>
      <x:c r="J238" s="136" t="str">
        <x:f>IF(COUNTA(H238:I238)=0,"",SUM(H238:I238))</x:f>
      </x:c>
      <x:c r="K238" s="70" t="str">
        <x:f>IF(E238="","",IFERROR(INDEX('05_Employees'!$H:$H,MATCH(E238,'05_Employees'!$A:$A,0)),"NO RATE"))</x:f>
      </x:c>
      <x:c r="L238" s="70" t="str">
        <x:f>IF(OR(J238="",NOT(ISNUMBER(K238))),"",J238*K238)</x:f>
      </x:c>
      <x:c r="M238" s="15"/>
      <x:c r="N238" s="15" t="str">
        <x:f>IF(COUNTA(B238:I238,M238:M238)=0,"",TEXTJOIN("; ",TRUE,IF(B238="","Missing work date",""),IF(C238="","Missing project",""),IF(E238="","Missing employee",""),IF(H238="","Missing regular hours",""),IF(K238="NO RATE","Missing pay rate","")))</x:f>
      </x:c>
    </x:row>
    <x:row r="239" ht="20" customHeight="1">
      <x:c r="A239" s="15"/>
      <x:c r="B239" s="28"/>
      <x:c r="C239" s="15"/>
      <x:c r="D239" s="15"/>
      <x:c r="E239" s="15"/>
      <x:c r="F239" s="15"/>
      <x:c r="G239" s="15"/>
      <x:c r="H239" s="136"/>
      <x:c r="I239" s="136"/>
      <x:c r="J239" s="136" t="str">
        <x:f>IF(COUNTA(H239:I239)=0,"",SUM(H239:I239))</x:f>
      </x:c>
      <x:c r="K239" s="70" t="str">
        <x:f>IF(E239="","",IFERROR(INDEX('05_Employees'!$H:$H,MATCH(E239,'05_Employees'!$A:$A,0)),"NO RATE"))</x:f>
      </x:c>
      <x:c r="L239" s="70" t="str">
        <x:f>IF(OR(J239="",NOT(ISNUMBER(K239))),"",J239*K239)</x:f>
      </x:c>
      <x:c r="M239" s="15"/>
      <x:c r="N239" s="15" t="str">
        <x:f>IF(COUNTA(B239:I239,M239:M239)=0,"",TEXTJOIN("; ",TRUE,IF(B239="","Missing work date",""),IF(C239="","Missing project",""),IF(E239="","Missing employee",""),IF(H239="","Missing regular hours",""),IF(K239="NO RATE","Missing pay rate","")))</x:f>
      </x:c>
    </x:row>
    <x:row r="240" ht="20" customHeight="1">
      <x:c r="A240" s="15"/>
      <x:c r="B240" s="28"/>
      <x:c r="C240" s="15"/>
      <x:c r="D240" s="15"/>
      <x:c r="E240" s="15"/>
      <x:c r="F240" s="15"/>
      <x:c r="G240" s="15"/>
      <x:c r="H240" s="136"/>
      <x:c r="I240" s="136"/>
      <x:c r="J240" s="136" t="str">
        <x:f>IF(COUNTA(H240:I240)=0,"",SUM(H240:I240))</x:f>
      </x:c>
      <x:c r="K240" s="70" t="str">
        <x:f>IF(E240="","",IFERROR(INDEX('05_Employees'!$H:$H,MATCH(E240,'05_Employees'!$A:$A,0)),"NO RATE"))</x:f>
      </x:c>
      <x:c r="L240" s="70" t="str">
        <x:f>IF(OR(J240="",NOT(ISNUMBER(K240))),"",J240*K240)</x:f>
      </x:c>
      <x:c r="M240" s="15"/>
      <x:c r="N240" s="15" t="str">
        <x:f>IF(COUNTA(B240:I240,M240:M240)=0,"",TEXTJOIN("; ",TRUE,IF(B240="","Missing work date",""),IF(C240="","Missing project",""),IF(E240="","Missing employee",""),IF(H240="","Missing regular hours",""),IF(K240="NO RATE","Missing pay rate","")))</x:f>
      </x:c>
    </x:row>
    <x:row r="241" ht="20" customHeight="1">
      <x:c r="A241" s="15"/>
      <x:c r="B241" s="28"/>
      <x:c r="C241" s="15"/>
      <x:c r="D241" s="15"/>
      <x:c r="E241" s="15"/>
      <x:c r="F241" s="15"/>
      <x:c r="G241" s="15"/>
      <x:c r="H241" s="136"/>
      <x:c r="I241" s="136"/>
      <x:c r="J241" s="136" t="str">
        <x:f>IF(COUNTA(H241:I241)=0,"",SUM(H241:I241))</x:f>
      </x:c>
      <x:c r="K241" s="70" t="str">
        <x:f>IF(E241="","",IFERROR(INDEX('05_Employees'!$H:$H,MATCH(E241,'05_Employees'!$A:$A,0)),"NO RATE"))</x:f>
      </x:c>
      <x:c r="L241" s="70" t="str">
        <x:f>IF(OR(J241="",NOT(ISNUMBER(K241))),"",J241*K241)</x:f>
      </x:c>
      <x:c r="M241" s="15"/>
      <x:c r="N241" s="15" t="str">
        <x:f>IF(COUNTA(B241:I241,M241:M241)=0,"",TEXTJOIN("; ",TRUE,IF(B241="","Missing work date",""),IF(C241="","Missing project",""),IF(E241="","Missing employee",""),IF(H241="","Missing regular hours",""),IF(K241="NO RATE","Missing pay rate","")))</x:f>
      </x:c>
    </x:row>
    <x:row r="242" ht="20" customHeight="1">
      <x:c r="A242" s="15"/>
      <x:c r="B242" s="28"/>
      <x:c r="C242" s="15"/>
      <x:c r="D242" s="15"/>
      <x:c r="E242" s="15"/>
      <x:c r="F242" s="15"/>
      <x:c r="G242" s="15"/>
      <x:c r="H242" s="136"/>
      <x:c r="I242" s="136"/>
      <x:c r="J242" s="136" t="str">
        <x:f>IF(COUNTA(H242:I242)=0,"",SUM(H242:I242))</x:f>
      </x:c>
      <x:c r="K242" s="70" t="str">
        <x:f>IF(E242="","",IFERROR(INDEX('05_Employees'!$H:$H,MATCH(E242,'05_Employees'!$A:$A,0)),"NO RATE"))</x:f>
      </x:c>
      <x:c r="L242" s="70" t="str">
        <x:f>IF(OR(J242="",NOT(ISNUMBER(K242))),"",J242*K242)</x:f>
      </x:c>
      <x:c r="M242" s="15"/>
      <x:c r="N242" s="15" t="str">
        <x:f>IF(COUNTA(B242:I242,M242:M242)=0,"",TEXTJOIN("; ",TRUE,IF(B242="","Missing work date",""),IF(C242="","Missing project",""),IF(E242="","Missing employee",""),IF(H242="","Missing regular hours",""),IF(K242="NO RATE","Missing pay rate","")))</x:f>
      </x:c>
    </x:row>
    <x:row r="243" ht="20" customHeight="1">
      <x:c r="A243" s="15"/>
      <x:c r="B243" s="28"/>
      <x:c r="C243" s="15"/>
      <x:c r="D243" s="15"/>
      <x:c r="E243" s="15"/>
      <x:c r="F243" s="15"/>
      <x:c r="G243" s="15"/>
      <x:c r="H243" s="136"/>
      <x:c r="I243" s="136"/>
      <x:c r="J243" s="136" t="str">
        <x:f>IF(COUNTA(H243:I243)=0,"",SUM(H243:I243))</x:f>
      </x:c>
      <x:c r="K243" s="70" t="str">
        <x:f>IF(E243="","",IFERROR(INDEX('05_Employees'!$H:$H,MATCH(E243,'05_Employees'!$A:$A,0)),"NO RATE"))</x:f>
      </x:c>
      <x:c r="L243" s="70" t="str">
        <x:f>IF(OR(J243="",NOT(ISNUMBER(K243))),"",J243*K243)</x:f>
      </x:c>
      <x:c r="M243" s="15"/>
      <x:c r="N243" s="15" t="str">
        <x:f>IF(COUNTA(B243:I243,M243:M243)=0,"",TEXTJOIN("; ",TRUE,IF(B243="","Missing work date",""),IF(C243="","Missing project",""),IF(E243="","Missing employee",""),IF(H243="","Missing regular hours",""),IF(K243="NO RATE","Missing pay rate","")))</x:f>
      </x:c>
    </x:row>
    <x:row r="244" ht="20" customHeight="1">
      <x:c r="A244" s="15"/>
      <x:c r="B244" s="28"/>
      <x:c r="C244" s="15"/>
      <x:c r="D244" s="15"/>
      <x:c r="E244" s="15"/>
      <x:c r="F244" s="15"/>
      <x:c r="G244" s="15"/>
      <x:c r="H244" s="136"/>
      <x:c r="I244" s="136"/>
      <x:c r="J244" s="136" t="str">
        <x:f>IF(COUNTA(H244:I244)=0,"",SUM(H244:I244))</x:f>
      </x:c>
      <x:c r="K244" s="70" t="str">
        <x:f>IF(E244="","",IFERROR(INDEX('05_Employees'!$H:$H,MATCH(E244,'05_Employees'!$A:$A,0)),"NO RATE"))</x:f>
      </x:c>
      <x:c r="L244" s="70" t="str">
        <x:f>IF(OR(J244="",NOT(ISNUMBER(K244))),"",J244*K244)</x:f>
      </x:c>
      <x:c r="M244" s="15"/>
      <x:c r="N244" s="15" t="str">
        <x:f>IF(COUNTA(B244:I244,M244:M244)=0,"",TEXTJOIN("; ",TRUE,IF(B244="","Missing work date",""),IF(C244="","Missing project",""),IF(E244="","Missing employee",""),IF(H244="","Missing regular hours",""),IF(K244="NO RATE","Missing pay rate","")))</x:f>
      </x:c>
    </x:row>
    <x:row r="245" ht="20" customHeight="1">
      <x:c r="A245" s="15"/>
      <x:c r="B245" s="28"/>
      <x:c r="C245" s="15"/>
      <x:c r="D245" s="15"/>
      <x:c r="E245" s="15"/>
      <x:c r="F245" s="15"/>
      <x:c r="G245" s="15"/>
      <x:c r="H245" s="136"/>
      <x:c r="I245" s="136"/>
      <x:c r="J245" s="136" t="str">
        <x:f>IF(COUNTA(H245:I245)=0,"",SUM(H245:I245))</x:f>
      </x:c>
      <x:c r="K245" s="70" t="str">
        <x:f>IF(E245="","",IFERROR(INDEX('05_Employees'!$H:$H,MATCH(E245,'05_Employees'!$A:$A,0)),"NO RATE"))</x:f>
      </x:c>
      <x:c r="L245" s="70" t="str">
        <x:f>IF(OR(J245="",NOT(ISNUMBER(K245))),"",J245*K245)</x:f>
      </x:c>
      <x:c r="M245" s="15"/>
      <x:c r="N245" s="15" t="str">
        <x:f>IF(COUNTA(B245:I245,M245:M245)=0,"",TEXTJOIN("; ",TRUE,IF(B245="","Missing work date",""),IF(C245="","Missing project",""),IF(E245="","Missing employee",""),IF(H245="","Missing regular hours",""),IF(K245="NO RATE","Missing pay rate","")))</x:f>
      </x:c>
    </x:row>
    <x:row r="246" ht="20" customHeight="1">
      <x:c r="A246" s="15"/>
      <x:c r="B246" s="28"/>
      <x:c r="C246" s="15"/>
      <x:c r="D246" s="15"/>
      <x:c r="E246" s="15"/>
      <x:c r="F246" s="15"/>
      <x:c r="G246" s="15"/>
      <x:c r="H246" s="136"/>
      <x:c r="I246" s="136"/>
      <x:c r="J246" s="136" t="str">
        <x:f>IF(COUNTA(H246:I246)=0,"",SUM(H246:I246))</x:f>
      </x:c>
      <x:c r="K246" s="70" t="str">
        <x:f>IF(E246="","",IFERROR(INDEX('05_Employees'!$H:$H,MATCH(E246,'05_Employees'!$A:$A,0)),"NO RATE"))</x:f>
      </x:c>
      <x:c r="L246" s="70" t="str">
        <x:f>IF(OR(J246="",NOT(ISNUMBER(K246))),"",J246*K246)</x:f>
      </x:c>
      <x:c r="M246" s="15"/>
      <x:c r="N246" s="15" t="str">
        <x:f>IF(COUNTA(B246:I246,M246:M246)=0,"",TEXTJOIN("; ",TRUE,IF(B246="","Missing work date",""),IF(C246="","Missing project",""),IF(E246="","Missing employee",""),IF(H246="","Missing regular hours",""),IF(K246="NO RATE","Missing pay rate","")))</x:f>
      </x:c>
    </x:row>
    <x:row r="247" ht="20" customHeight="1">
      <x:c r="A247" s="15"/>
      <x:c r="B247" s="28"/>
      <x:c r="C247" s="15"/>
      <x:c r="D247" s="15"/>
      <x:c r="E247" s="15"/>
      <x:c r="F247" s="15"/>
      <x:c r="G247" s="15"/>
      <x:c r="H247" s="136"/>
      <x:c r="I247" s="136"/>
      <x:c r="J247" s="136" t="str">
        <x:f>IF(COUNTA(H247:I247)=0,"",SUM(H247:I247))</x:f>
      </x:c>
      <x:c r="K247" s="70" t="str">
        <x:f>IF(E247="","",IFERROR(INDEX('05_Employees'!$H:$H,MATCH(E247,'05_Employees'!$A:$A,0)),"NO RATE"))</x:f>
      </x:c>
      <x:c r="L247" s="70" t="str">
        <x:f>IF(OR(J247="",NOT(ISNUMBER(K247))),"",J247*K247)</x:f>
      </x:c>
      <x:c r="M247" s="15"/>
      <x:c r="N247" s="15" t="str">
        <x:f>IF(COUNTA(B247:I247,M247:M247)=0,"",TEXTJOIN("; ",TRUE,IF(B247="","Missing work date",""),IF(C247="","Missing project",""),IF(E247="","Missing employee",""),IF(H247="","Missing regular hours",""),IF(K247="NO RATE","Missing pay rate","")))</x:f>
      </x:c>
    </x:row>
    <x:row r="248" ht="20" customHeight="1">
      <x:c r="A248" s="15"/>
      <x:c r="B248" s="28"/>
      <x:c r="C248" s="15"/>
      <x:c r="D248" s="15"/>
      <x:c r="E248" s="15"/>
      <x:c r="F248" s="15"/>
      <x:c r="G248" s="15"/>
      <x:c r="H248" s="136"/>
      <x:c r="I248" s="136"/>
      <x:c r="J248" s="136" t="str">
        <x:f>IF(COUNTA(H248:I248)=0,"",SUM(H248:I248))</x:f>
      </x:c>
      <x:c r="K248" s="70" t="str">
        <x:f>IF(E248="","",IFERROR(INDEX('05_Employees'!$H:$H,MATCH(E248,'05_Employees'!$A:$A,0)),"NO RATE"))</x:f>
      </x:c>
      <x:c r="L248" s="70" t="str">
        <x:f>IF(OR(J248="",NOT(ISNUMBER(K248))),"",J248*K248)</x:f>
      </x:c>
      <x:c r="M248" s="15"/>
      <x:c r="N248" s="15" t="str">
        <x:f>IF(COUNTA(B248:I248,M248:M248)=0,"",TEXTJOIN("; ",TRUE,IF(B248="","Missing work date",""),IF(C248="","Missing project",""),IF(E248="","Missing employee",""),IF(H248="","Missing regular hours",""),IF(K248="NO RATE","Missing pay rate","")))</x:f>
      </x:c>
    </x:row>
    <x:row r="249" ht="20" customHeight="1">
      <x:c r="A249" s="15"/>
      <x:c r="B249" s="28"/>
      <x:c r="C249" s="15"/>
      <x:c r="D249" s="15"/>
      <x:c r="E249" s="15"/>
      <x:c r="F249" s="15"/>
      <x:c r="G249" s="15"/>
      <x:c r="H249" s="136"/>
      <x:c r="I249" s="136"/>
      <x:c r="J249" s="136" t="str">
        <x:f>IF(COUNTA(H249:I249)=0,"",SUM(H249:I249))</x:f>
      </x:c>
      <x:c r="K249" s="70" t="str">
        <x:f>IF(E249="","",IFERROR(INDEX('05_Employees'!$H:$H,MATCH(E249,'05_Employees'!$A:$A,0)),"NO RATE"))</x:f>
      </x:c>
      <x:c r="L249" s="70" t="str">
        <x:f>IF(OR(J249="",NOT(ISNUMBER(K249))),"",J249*K249)</x:f>
      </x:c>
      <x:c r="M249" s="15"/>
      <x:c r="N249" s="15" t="str">
        <x:f>IF(COUNTA(B249:I249,M249:M249)=0,"",TEXTJOIN("; ",TRUE,IF(B249="","Missing work date",""),IF(C249="","Missing project",""),IF(E249="","Missing employee",""),IF(H249="","Missing regular hours",""),IF(K249="NO RATE","Missing pay rate","")))</x:f>
      </x:c>
    </x:row>
    <x:row r="250" ht="20" customHeight="1">
      <x:c r="A250" s="15"/>
      <x:c r="B250" s="28"/>
      <x:c r="C250" s="15"/>
      <x:c r="D250" s="15"/>
      <x:c r="E250" s="15"/>
      <x:c r="F250" s="15"/>
      <x:c r="G250" s="15"/>
      <x:c r="H250" s="136"/>
      <x:c r="I250" s="136"/>
      <x:c r="J250" s="136" t="str">
        <x:f>IF(COUNTA(H250:I250)=0,"",SUM(H250:I250))</x:f>
      </x:c>
      <x:c r="K250" s="70" t="str">
        <x:f>IF(E250="","",IFERROR(INDEX('05_Employees'!$H:$H,MATCH(E250,'05_Employees'!$A:$A,0)),"NO RATE"))</x:f>
      </x:c>
      <x:c r="L250" s="70" t="str">
        <x:f>IF(OR(J250="",NOT(ISNUMBER(K250))),"",J250*K250)</x:f>
      </x:c>
      <x:c r="M250" s="15"/>
      <x:c r="N250" s="15" t="str">
        <x:f>IF(COUNTA(B250:I250,M250:M250)=0,"",TEXTJOIN("; ",TRUE,IF(B250="","Missing work date",""),IF(C250="","Missing project",""),IF(E250="","Missing employee",""),IF(H250="","Missing regular hours",""),IF(K250="NO RATE","Missing pay rate","")))</x:f>
      </x:c>
    </x:row>
    <x:row r="251" ht="20" customHeight="1">
      <x:c r="A251" s="15"/>
      <x:c r="B251" s="28"/>
      <x:c r="C251" s="15"/>
      <x:c r="D251" s="15"/>
      <x:c r="E251" s="15"/>
      <x:c r="F251" s="15"/>
      <x:c r="G251" s="15"/>
      <x:c r="H251" s="136"/>
      <x:c r="I251" s="136"/>
      <x:c r="J251" s="136" t="str">
        <x:f>IF(COUNTA(H251:I251)=0,"",SUM(H251:I251))</x:f>
      </x:c>
      <x:c r="K251" s="70" t="str">
        <x:f>IF(E251="","",IFERROR(INDEX('05_Employees'!$H:$H,MATCH(E251,'05_Employees'!$A:$A,0)),"NO RATE"))</x:f>
      </x:c>
      <x:c r="L251" s="70" t="str">
        <x:f>IF(OR(J251="",NOT(ISNUMBER(K251))),"",J251*K251)</x:f>
      </x:c>
      <x:c r="M251" s="15"/>
      <x:c r="N251" s="15" t="str">
        <x:f>IF(COUNTA(B251:I251,M251:M251)=0,"",TEXTJOIN("; ",TRUE,IF(B251="","Missing work date",""),IF(C251="","Missing project",""),IF(E251="","Missing employee",""),IF(H251="","Missing regular hours",""),IF(K251="NO RATE","Missing pay rate","")))</x:f>
      </x:c>
    </x:row>
    <x:row r="252" ht="20" customHeight="1">
      <x:c r="A252" s="15"/>
      <x:c r="B252" s="28"/>
      <x:c r="C252" s="15"/>
      <x:c r="D252" s="15"/>
      <x:c r="E252" s="15"/>
      <x:c r="F252" s="15"/>
      <x:c r="G252" s="15"/>
      <x:c r="H252" s="136"/>
      <x:c r="I252" s="136"/>
      <x:c r="J252" s="136" t="str">
        <x:f>IF(COUNTA(H252:I252)=0,"",SUM(H252:I252))</x:f>
      </x:c>
      <x:c r="K252" s="70" t="str">
        <x:f>IF(E252="","",IFERROR(INDEX('05_Employees'!$H:$H,MATCH(E252,'05_Employees'!$A:$A,0)),"NO RATE"))</x:f>
      </x:c>
      <x:c r="L252" s="70" t="str">
        <x:f>IF(OR(J252="",NOT(ISNUMBER(K252))),"",J252*K252)</x:f>
      </x:c>
      <x:c r="M252" s="15"/>
      <x:c r="N252" s="15" t="str">
        <x:f>IF(COUNTA(B252:I252,M252:M252)=0,"",TEXTJOIN("; ",TRUE,IF(B252="","Missing work date",""),IF(C252="","Missing project",""),IF(E252="","Missing employee",""),IF(H252="","Missing regular hours",""),IF(K252="NO RATE","Missing pay rate","")))</x:f>
      </x:c>
    </x:row>
    <x:row r="253" ht="20" customHeight="1">
      <x:c r="A253" s="15"/>
      <x:c r="B253" s="28"/>
      <x:c r="C253" s="15"/>
      <x:c r="D253" s="15"/>
      <x:c r="E253" s="15"/>
      <x:c r="F253" s="15"/>
      <x:c r="G253" s="15"/>
      <x:c r="H253" s="136"/>
      <x:c r="I253" s="136"/>
      <x:c r="J253" s="136" t="str">
        <x:f>IF(COUNTA(H253:I253)=0,"",SUM(H253:I253))</x:f>
      </x:c>
      <x:c r="K253" s="70" t="str">
        <x:f>IF(E253="","",IFERROR(INDEX('05_Employees'!$H:$H,MATCH(E253,'05_Employees'!$A:$A,0)),"NO RATE"))</x:f>
      </x:c>
      <x:c r="L253" s="70" t="str">
        <x:f>IF(OR(J253="",NOT(ISNUMBER(K253))),"",J253*K253)</x:f>
      </x:c>
      <x:c r="M253" s="15"/>
      <x:c r="N253" s="15" t="str">
        <x:f>IF(COUNTA(B253:I253,M253:M253)=0,"",TEXTJOIN("; ",TRUE,IF(B253="","Missing work date",""),IF(C253="","Missing project",""),IF(E253="","Missing employee",""),IF(H253="","Missing regular hours",""),IF(K253="NO RATE","Missing pay rate","")))</x:f>
      </x:c>
    </x:row>
    <x:row r="254" ht="20" customHeight="1">
      <x:c r="A254" s="15"/>
      <x:c r="B254" s="28"/>
      <x:c r="C254" s="15"/>
      <x:c r="D254" s="15"/>
      <x:c r="E254" s="15"/>
      <x:c r="F254" s="15"/>
      <x:c r="G254" s="15"/>
      <x:c r="H254" s="136"/>
      <x:c r="I254" s="136"/>
      <x:c r="J254" s="136" t="str">
        <x:f>IF(COUNTA(H254:I254)=0,"",SUM(H254:I254))</x:f>
      </x:c>
      <x:c r="K254" s="70" t="str">
        <x:f>IF(E254="","",IFERROR(INDEX('05_Employees'!$H:$H,MATCH(E254,'05_Employees'!$A:$A,0)),"NO RATE"))</x:f>
      </x:c>
      <x:c r="L254" s="70" t="str">
        <x:f>IF(OR(J254="",NOT(ISNUMBER(K254))),"",J254*K254)</x:f>
      </x:c>
      <x:c r="M254" s="15"/>
      <x:c r="N254" s="15" t="str">
        <x:f>IF(COUNTA(B254:I254,M254:M254)=0,"",TEXTJOIN("; ",TRUE,IF(B254="","Missing work date",""),IF(C254="","Missing project",""),IF(E254="","Missing employee",""),IF(H254="","Missing regular hours",""),IF(K254="NO RATE","Missing pay rate","")))</x:f>
      </x:c>
    </x:row>
    <x:row r="255" ht="20" customHeight="1">
      <x:c r="A255" s="15"/>
      <x:c r="B255" s="28"/>
      <x:c r="C255" s="15"/>
      <x:c r="D255" s="15"/>
      <x:c r="E255" s="15"/>
      <x:c r="F255" s="15"/>
      <x:c r="G255" s="15"/>
      <x:c r="H255" s="136"/>
      <x:c r="I255" s="136"/>
      <x:c r="J255" s="136" t="str">
        <x:f>IF(COUNTA(H255:I255)=0,"",SUM(H255:I255))</x:f>
      </x:c>
      <x:c r="K255" s="70" t="str">
        <x:f>IF(E255="","",IFERROR(INDEX('05_Employees'!$H:$H,MATCH(E255,'05_Employees'!$A:$A,0)),"NO RATE"))</x:f>
      </x:c>
      <x:c r="L255" s="70" t="str">
        <x:f>IF(OR(J255="",NOT(ISNUMBER(K255))),"",J255*K255)</x:f>
      </x:c>
      <x:c r="M255" s="15"/>
      <x:c r="N255" s="15" t="str">
        <x:f>IF(COUNTA(B255:I255,M255:M255)=0,"",TEXTJOIN("; ",TRUE,IF(B255="","Missing work date",""),IF(C255="","Missing project",""),IF(E255="","Missing employee",""),IF(H255="","Missing regular hours",""),IF(K255="NO RATE","Missing pay rate","")))</x:f>
      </x:c>
    </x:row>
    <x:row r="256" ht="20" customHeight="1">
      <x:c r="A256" s="15"/>
      <x:c r="B256" s="28"/>
      <x:c r="C256" s="15"/>
      <x:c r="D256" s="15"/>
      <x:c r="E256" s="15"/>
      <x:c r="F256" s="15"/>
      <x:c r="G256" s="15"/>
      <x:c r="H256" s="136"/>
      <x:c r="I256" s="136"/>
      <x:c r="J256" s="136" t="str">
        <x:f>IF(COUNTA(H256:I256)=0,"",SUM(H256:I256))</x:f>
      </x:c>
      <x:c r="K256" s="70" t="str">
        <x:f>IF(E256="","",IFERROR(INDEX('05_Employees'!$H:$H,MATCH(E256,'05_Employees'!$A:$A,0)),"NO RATE"))</x:f>
      </x:c>
      <x:c r="L256" s="70" t="str">
        <x:f>IF(OR(J256="",NOT(ISNUMBER(K256))),"",J256*K256)</x:f>
      </x:c>
      <x:c r="M256" s="15"/>
      <x:c r="N256" s="15" t="str">
        <x:f>IF(COUNTA(B256:I256,M256:M256)=0,"",TEXTJOIN("; ",TRUE,IF(B256="","Missing work date",""),IF(C256="","Missing project",""),IF(E256="","Missing employee",""),IF(H256="","Missing regular hours",""),IF(K256="NO RATE","Missing pay rate","")))</x:f>
      </x:c>
    </x:row>
    <x:row r="257" ht="20" customHeight="1">
      <x:c r="A257" s="15"/>
      <x:c r="B257" s="28"/>
      <x:c r="C257" s="15"/>
      <x:c r="D257" s="15"/>
      <x:c r="E257" s="15"/>
      <x:c r="F257" s="15"/>
      <x:c r="G257" s="15"/>
      <x:c r="H257" s="136"/>
      <x:c r="I257" s="136"/>
      <x:c r="J257" s="136" t="str">
        <x:f>IF(COUNTA(H257:I257)=0,"",SUM(H257:I257))</x:f>
      </x:c>
      <x:c r="K257" s="70" t="str">
        <x:f>IF(E257="","",IFERROR(INDEX('05_Employees'!$H:$H,MATCH(E257,'05_Employees'!$A:$A,0)),"NO RATE"))</x:f>
      </x:c>
      <x:c r="L257" s="70" t="str">
        <x:f>IF(OR(J257="",NOT(ISNUMBER(K257))),"",J257*K257)</x:f>
      </x:c>
      <x:c r="M257" s="15"/>
      <x:c r="N257" s="15" t="str">
        <x:f>IF(COUNTA(B257:I257,M257:M257)=0,"",TEXTJOIN("; ",TRUE,IF(B257="","Missing work date",""),IF(C257="","Missing project",""),IF(E257="","Missing employee",""),IF(H257="","Missing regular hours",""),IF(K257="NO RATE","Missing pay rate","")))</x:f>
      </x:c>
    </x:row>
    <x:row r="258" ht="20" customHeight="1">
      <x:c r="A258" s="15"/>
      <x:c r="B258" s="28"/>
      <x:c r="C258" s="15"/>
      <x:c r="D258" s="15"/>
      <x:c r="E258" s="15"/>
      <x:c r="F258" s="15"/>
      <x:c r="G258" s="15"/>
      <x:c r="H258" s="136"/>
      <x:c r="I258" s="136"/>
      <x:c r="J258" s="136" t="str">
        <x:f>IF(COUNTA(H258:I258)=0,"",SUM(H258:I258))</x:f>
      </x:c>
      <x:c r="K258" s="70" t="str">
        <x:f>IF(E258="","",IFERROR(INDEX('05_Employees'!$H:$H,MATCH(E258,'05_Employees'!$A:$A,0)),"NO RATE"))</x:f>
      </x:c>
      <x:c r="L258" s="70" t="str">
        <x:f>IF(OR(J258="",NOT(ISNUMBER(K258))),"",J258*K258)</x:f>
      </x:c>
      <x:c r="M258" s="15"/>
      <x:c r="N258" s="15" t="str">
        <x:f>IF(COUNTA(B258:I258,M258:M258)=0,"",TEXTJOIN("; ",TRUE,IF(B258="","Missing work date",""),IF(C258="","Missing project",""),IF(E258="","Missing employee",""),IF(H258="","Missing regular hours",""),IF(K258="NO RATE","Missing pay rate","")))</x:f>
      </x:c>
    </x:row>
    <x:row r="259" ht="20" customHeight="1">
      <x:c r="A259" s="15"/>
      <x:c r="B259" s="28"/>
      <x:c r="C259" s="15"/>
      <x:c r="D259" s="15"/>
      <x:c r="E259" s="15"/>
      <x:c r="F259" s="15"/>
      <x:c r="G259" s="15"/>
      <x:c r="H259" s="136"/>
      <x:c r="I259" s="136"/>
      <x:c r="J259" s="136" t="str">
        <x:f>IF(COUNTA(H259:I259)=0,"",SUM(H259:I259))</x:f>
      </x:c>
      <x:c r="K259" s="70" t="str">
        <x:f>IF(E259="","",IFERROR(INDEX('05_Employees'!$H:$H,MATCH(E259,'05_Employees'!$A:$A,0)),"NO RATE"))</x:f>
      </x:c>
      <x:c r="L259" s="70" t="str">
        <x:f>IF(OR(J259="",NOT(ISNUMBER(K259))),"",J259*K259)</x:f>
      </x:c>
      <x:c r="M259" s="15"/>
      <x:c r="N259" s="15" t="str">
        <x:f>IF(COUNTA(B259:I259,M259:M259)=0,"",TEXTJOIN("; ",TRUE,IF(B259="","Missing work date",""),IF(C259="","Missing project",""),IF(E259="","Missing employee",""),IF(H259="","Missing regular hours",""),IF(K259="NO RATE","Missing pay rate","")))</x:f>
      </x:c>
    </x:row>
    <x:row r="260" ht="20" customHeight="1">
      <x:c r="A260" s="15"/>
      <x:c r="B260" s="28"/>
      <x:c r="C260" s="15"/>
      <x:c r="D260" s="15"/>
      <x:c r="E260" s="15"/>
      <x:c r="F260" s="15"/>
      <x:c r="G260" s="15"/>
      <x:c r="H260" s="136"/>
      <x:c r="I260" s="136"/>
      <x:c r="J260" s="136" t="str">
        <x:f>IF(COUNTA(H260:I260)=0,"",SUM(H260:I260))</x:f>
      </x:c>
      <x:c r="K260" s="70" t="str">
        <x:f>IF(E260="","",IFERROR(INDEX('05_Employees'!$H:$H,MATCH(E260,'05_Employees'!$A:$A,0)),"NO RATE"))</x:f>
      </x:c>
      <x:c r="L260" s="70" t="str">
        <x:f>IF(OR(J260="",NOT(ISNUMBER(K260))),"",J260*K260)</x:f>
      </x:c>
      <x:c r="M260" s="15"/>
      <x:c r="N260" s="15" t="str">
        <x:f>IF(COUNTA(B260:I260,M260:M260)=0,"",TEXTJOIN("; ",TRUE,IF(B260="","Missing work date",""),IF(C260="","Missing project",""),IF(E260="","Missing employee",""),IF(H260="","Missing regular hours",""),IF(K260="NO RATE","Missing pay rate","")))</x:f>
      </x:c>
    </x:row>
    <x:row r="261" ht="20" customHeight="1">
      <x:c r="A261" s="15"/>
      <x:c r="B261" s="28"/>
      <x:c r="C261" s="15"/>
      <x:c r="D261" s="15"/>
      <x:c r="E261" s="15"/>
      <x:c r="F261" s="15"/>
      <x:c r="G261" s="15"/>
      <x:c r="H261" s="136"/>
      <x:c r="I261" s="136"/>
      <x:c r="J261" s="136" t="str">
        <x:f>IF(COUNTA(H261:I261)=0,"",SUM(H261:I261))</x:f>
      </x:c>
      <x:c r="K261" s="70" t="str">
        <x:f>IF(E261="","",IFERROR(INDEX('05_Employees'!$H:$H,MATCH(E261,'05_Employees'!$A:$A,0)),"NO RATE"))</x:f>
      </x:c>
      <x:c r="L261" s="70" t="str">
        <x:f>IF(OR(J261="",NOT(ISNUMBER(K261))),"",J261*K261)</x:f>
      </x:c>
      <x:c r="M261" s="15"/>
      <x:c r="N261" s="15" t="str">
        <x:f>IF(COUNTA(B261:I261,M261:M261)=0,"",TEXTJOIN("; ",TRUE,IF(B261="","Missing work date",""),IF(C261="","Missing project",""),IF(E261="","Missing employee",""),IF(H261="","Missing regular hours",""),IF(K261="NO RATE","Missing pay rate","")))</x:f>
      </x:c>
    </x:row>
    <x:row r="262" ht="20" customHeight="1">
      <x:c r="A262" s="15"/>
      <x:c r="B262" s="28"/>
      <x:c r="C262" s="15"/>
      <x:c r="D262" s="15"/>
      <x:c r="E262" s="15"/>
      <x:c r="F262" s="15"/>
      <x:c r="G262" s="15"/>
      <x:c r="H262" s="136"/>
      <x:c r="I262" s="136"/>
      <x:c r="J262" s="136" t="str">
        <x:f>IF(COUNTA(H262:I262)=0,"",SUM(H262:I262))</x:f>
      </x:c>
      <x:c r="K262" s="70" t="str">
        <x:f>IF(E262="","",IFERROR(INDEX('05_Employees'!$H:$H,MATCH(E262,'05_Employees'!$A:$A,0)),"NO RATE"))</x:f>
      </x:c>
      <x:c r="L262" s="70" t="str">
        <x:f>IF(OR(J262="",NOT(ISNUMBER(K262))),"",J262*K262)</x:f>
      </x:c>
      <x:c r="M262" s="15"/>
      <x:c r="N262" s="15" t="str">
        <x:f>IF(COUNTA(B262:I262,M262:M262)=0,"",TEXTJOIN("; ",TRUE,IF(B262="","Missing work date",""),IF(C262="","Missing project",""),IF(E262="","Missing employee",""),IF(H262="","Missing regular hours",""),IF(K262="NO RATE","Missing pay rate","")))</x:f>
      </x:c>
    </x:row>
    <x:row r="263" ht="20" customHeight="1">
      <x:c r="A263" s="15"/>
      <x:c r="B263" s="28"/>
      <x:c r="C263" s="15"/>
      <x:c r="D263" s="15"/>
      <x:c r="E263" s="15"/>
      <x:c r="F263" s="15"/>
      <x:c r="G263" s="15"/>
      <x:c r="H263" s="136"/>
      <x:c r="I263" s="136"/>
      <x:c r="J263" s="136" t="str">
        <x:f>IF(COUNTA(H263:I263)=0,"",SUM(H263:I263))</x:f>
      </x:c>
      <x:c r="K263" s="70" t="str">
        <x:f>IF(E263="","",IFERROR(INDEX('05_Employees'!$H:$H,MATCH(E263,'05_Employees'!$A:$A,0)),"NO RATE"))</x:f>
      </x:c>
      <x:c r="L263" s="70" t="str">
        <x:f>IF(OR(J263="",NOT(ISNUMBER(K263))),"",J263*K263)</x:f>
      </x:c>
      <x:c r="M263" s="15"/>
      <x:c r="N263" s="15" t="str">
        <x:f>IF(COUNTA(B263:I263,M263:M263)=0,"",TEXTJOIN("; ",TRUE,IF(B263="","Missing work date",""),IF(C263="","Missing project",""),IF(E263="","Missing employee",""),IF(H263="","Missing regular hours",""),IF(K263="NO RATE","Missing pay rate","")))</x:f>
      </x:c>
    </x:row>
    <x:row r="264" ht="20" customHeight="1">
      <x:c r="A264" s="15"/>
      <x:c r="B264" s="28"/>
      <x:c r="C264" s="15"/>
      <x:c r="D264" s="15"/>
      <x:c r="E264" s="15"/>
      <x:c r="F264" s="15"/>
      <x:c r="G264" s="15"/>
      <x:c r="H264" s="136"/>
      <x:c r="I264" s="136"/>
      <x:c r="J264" s="136" t="str">
        <x:f>IF(COUNTA(H264:I264)=0,"",SUM(H264:I264))</x:f>
      </x:c>
      <x:c r="K264" s="70" t="str">
        <x:f>IF(E264="","",IFERROR(INDEX('05_Employees'!$H:$H,MATCH(E264,'05_Employees'!$A:$A,0)),"NO RATE"))</x:f>
      </x:c>
      <x:c r="L264" s="70" t="str">
        <x:f>IF(OR(J264="",NOT(ISNUMBER(K264))),"",J264*K264)</x:f>
      </x:c>
      <x:c r="M264" s="15"/>
      <x:c r="N264" s="15" t="str">
        <x:f>IF(COUNTA(B264:I264,M264:M264)=0,"",TEXTJOIN("; ",TRUE,IF(B264="","Missing work date",""),IF(C264="","Missing project",""),IF(E264="","Missing employee",""),IF(H264="","Missing regular hours",""),IF(K264="NO RATE","Missing pay rate","")))</x:f>
      </x:c>
    </x:row>
    <x:row r="265" ht="20" customHeight="1">
      <x:c r="A265" s="15"/>
      <x:c r="B265" s="28"/>
      <x:c r="C265" s="15"/>
      <x:c r="D265" s="15"/>
      <x:c r="E265" s="15"/>
      <x:c r="F265" s="15"/>
      <x:c r="G265" s="15"/>
      <x:c r="H265" s="136"/>
      <x:c r="I265" s="136"/>
      <x:c r="J265" s="136" t="str">
        <x:f>IF(COUNTA(H265:I265)=0,"",SUM(H265:I265))</x:f>
      </x:c>
      <x:c r="K265" s="70" t="str">
        <x:f>IF(E265="","",IFERROR(INDEX('05_Employees'!$H:$H,MATCH(E265,'05_Employees'!$A:$A,0)),"NO RATE"))</x:f>
      </x:c>
      <x:c r="L265" s="70" t="str">
        <x:f>IF(OR(J265="",NOT(ISNUMBER(K265))),"",J265*K265)</x:f>
      </x:c>
      <x:c r="M265" s="15"/>
      <x:c r="N265" s="15" t="str">
        <x:f>IF(COUNTA(B265:I265,M265:M265)=0,"",TEXTJOIN("; ",TRUE,IF(B265="","Missing work date",""),IF(C265="","Missing project",""),IF(E265="","Missing employee",""),IF(H265="","Missing regular hours",""),IF(K265="NO RATE","Missing pay rate","")))</x:f>
      </x:c>
    </x:row>
    <x:row r="266" ht="20" customHeight="1">
      <x:c r="A266" s="15"/>
      <x:c r="B266" s="28"/>
      <x:c r="C266" s="15"/>
      <x:c r="D266" s="15"/>
      <x:c r="E266" s="15"/>
      <x:c r="F266" s="15"/>
      <x:c r="G266" s="15"/>
      <x:c r="H266" s="136"/>
      <x:c r="I266" s="136"/>
      <x:c r="J266" s="136" t="str">
        <x:f>IF(COUNTA(H266:I266)=0,"",SUM(H266:I266))</x:f>
      </x:c>
      <x:c r="K266" s="70" t="str">
        <x:f>IF(E266="","",IFERROR(INDEX('05_Employees'!$H:$H,MATCH(E266,'05_Employees'!$A:$A,0)),"NO RATE"))</x:f>
      </x:c>
      <x:c r="L266" s="70" t="str">
        <x:f>IF(OR(J266="",NOT(ISNUMBER(K266))),"",J266*K266)</x:f>
      </x:c>
      <x:c r="M266" s="15"/>
      <x:c r="N266" s="15" t="str">
        <x:f>IF(COUNTA(B266:I266,M266:M266)=0,"",TEXTJOIN("; ",TRUE,IF(B266="","Missing work date",""),IF(C266="","Missing project",""),IF(E266="","Missing employee",""),IF(H266="","Missing regular hours",""),IF(K266="NO RATE","Missing pay rate","")))</x:f>
      </x:c>
    </x:row>
    <x:row r="267" ht="20" customHeight="1">
      <x:c r="A267" s="15"/>
      <x:c r="B267" s="28"/>
      <x:c r="C267" s="15"/>
      <x:c r="D267" s="15"/>
      <x:c r="E267" s="15"/>
      <x:c r="F267" s="15"/>
      <x:c r="G267" s="15"/>
      <x:c r="H267" s="136"/>
      <x:c r="I267" s="136"/>
      <x:c r="J267" s="136" t="str">
        <x:f>IF(COUNTA(H267:I267)=0,"",SUM(H267:I267))</x:f>
      </x:c>
      <x:c r="K267" s="70" t="str">
        <x:f>IF(E267="","",IFERROR(INDEX('05_Employees'!$H:$H,MATCH(E267,'05_Employees'!$A:$A,0)),"NO RATE"))</x:f>
      </x:c>
      <x:c r="L267" s="70" t="str">
        <x:f>IF(OR(J267="",NOT(ISNUMBER(K267))),"",J267*K267)</x:f>
      </x:c>
      <x:c r="M267" s="15"/>
      <x:c r="N267" s="15" t="str">
        <x:f>IF(COUNTA(B267:I267,M267:M267)=0,"",TEXTJOIN("; ",TRUE,IF(B267="","Missing work date",""),IF(C267="","Missing project",""),IF(E267="","Missing employee",""),IF(H267="","Missing regular hours",""),IF(K267="NO RATE","Missing pay rate","")))</x:f>
      </x:c>
    </x:row>
    <x:row r="268" ht="20" customHeight="1">
      <x:c r="A268" s="15"/>
      <x:c r="B268" s="28"/>
      <x:c r="C268" s="15"/>
      <x:c r="D268" s="15"/>
      <x:c r="E268" s="15"/>
      <x:c r="F268" s="15"/>
      <x:c r="G268" s="15"/>
      <x:c r="H268" s="136"/>
      <x:c r="I268" s="136"/>
      <x:c r="J268" s="136" t="str">
        <x:f>IF(COUNTA(H268:I268)=0,"",SUM(H268:I268))</x:f>
      </x:c>
      <x:c r="K268" s="70" t="str">
        <x:f>IF(E268="","",IFERROR(INDEX('05_Employees'!$H:$H,MATCH(E268,'05_Employees'!$A:$A,0)),"NO RATE"))</x:f>
      </x:c>
      <x:c r="L268" s="70" t="str">
        <x:f>IF(OR(J268="",NOT(ISNUMBER(K268))),"",J268*K268)</x:f>
      </x:c>
      <x:c r="M268" s="15"/>
      <x:c r="N268" s="15" t="str">
        <x:f>IF(COUNTA(B268:I268,M268:M268)=0,"",TEXTJOIN("; ",TRUE,IF(B268="","Missing work date",""),IF(C268="","Missing project",""),IF(E268="","Missing employee",""),IF(H268="","Missing regular hours",""),IF(K268="NO RATE","Missing pay rate","")))</x:f>
      </x:c>
    </x:row>
    <x:row r="269" ht="20" customHeight="1">
      <x:c r="A269" s="15"/>
      <x:c r="B269" s="28"/>
      <x:c r="C269" s="15"/>
      <x:c r="D269" s="15"/>
      <x:c r="E269" s="15"/>
      <x:c r="F269" s="15"/>
      <x:c r="G269" s="15"/>
      <x:c r="H269" s="136"/>
      <x:c r="I269" s="136"/>
      <x:c r="J269" s="136" t="str">
        <x:f>IF(COUNTA(H269:I269)=0,"",SUM(H269:I269))</x:f>
      </x:c>
      <x:c r="K269" s="70" t="str">
        <x:f>IF(E269="","",IFERROR(INDEX('05_Employees'!$H:$H,MATCH(E269,'05_Employees'!$A:$A,0)),"NO RATE"))</x:f>
      </x:c>
      <x:c r="L269" s="70" t="str">
        <x:f>IF(OR(J269="",NOT(ISNUMBER(K269))),"",J269*K269)</x:f>
      </x:c>
      <x:c r="M269" s="15"/>
      <x:c r="N269" s="15" t="str">
        <x:f>IF(COUNTA(B269:I269,M269:M269)=0,"",TEXTJOIN("; ",TRUE,IF(B269="","Missing work date",""),IF(C269="","Missing project",""),IF(E269="","Missing employee",""),IF(H269="","Missing regular hours",""),IF(K269="NO RATE","Missing pay rate","")))</x:f>
      </x:c>
    </x:row>
    <x:row r="270" ht="20" customHeight="1">
      <x:c r="A270" s="15"/>
      <x:c r="B270" s="28"/>
      <x:c r="C270" s="15"/>
      <x:c r="D270" s="15"/>
      <x:c r="E270" s="15"/>
      <x:c r="F270" s="15"/>
      <x:c r="G270" s="15"/>
      <x:c r="H270" s="136"/>
      <x:c r="I270" s="136"/>
      <x:c r="J270" s="136" t="str">
        <x:f>IF(COUNTA(H270:I270)=0,"",SUM(H270:I270))</x:f>
      </x:c>
      <x:c r="K270" s="70" t="str">
        <x:f>IF(E270="","",IFERROR(INDEX('05_Employees'!$H:$H,MATCH(E270,'05_Employees'!$A:$A,0)),"NO RATE"))</x:f>
      </x:c>
      <x:c r="L270" s="70" t="str">
        <x:f>IF(OR(J270="",NOT(ISNUMBER(K270))),"",J270*K270)</x:f>
      </x:c>
      <x:c r="M270" s="15"/>
      <x:c r="N270" s="15" t="str">
        <x:f>IF(COUNTA(B270:I270,M270:M270)=0,"",TEXTJOIN("; ",TRUE,IF(B270="","Missing work date",""),IF(C270="","Missing project",""),IF(E270="","Missing employee",""),IF(H270="","Missing regular hours",""),IF(K270="NO RATE","Missing pay rate","")))</x:f>
      </x:c>
    </x:row>
    <x:row r="271" ht="20" customHeight="1">
      <x:c r="A271" s="15"/>
      <x:c r="B271" s="28"/>
      <x:c r="C271" s="15"/>
      <x:c r="D271" s="15"/>
      <x:c r="E271" s="15"/>
      <x:c r="F271" s="15"/>
      <x:c r="G271" s="15"/>
      <x:c r="H271" s="136"/>
      <x:c r="I271" s="136"/>
      <x:c r="J271" s="136" t="str">
        <x:f>IF(COUNTA(H271:I271)=0,"",SUM(H271:I271))</x:f>
      </x:c>
      <x:c r="K271" s="70" t="str">
        <x:f>IF(E271="","",IFERROR(INDEX('05_Employees'!$H:$H,MATCH(E271,'05_Employees'!$A:$A,0)),"NO RATE"))</x:f>
      </x:c>
      <x:c r="L271" s="70" t="str">
        <x:f>IF(OR(J271="",NOT(ISNUMBER(K271))),"",J271*K271)</x:f>
      </x:c>
      <x:c r="M271" s="15"/>
      <x:c r="N271" s="15" t="str">
        <x:f>IF(COUNTA(B271:I271,M271:M271)=0,"",TEXTJOIN("; ",TRUE,IF(B271="","Missing work date",""),IF(C271="","Missing project",""),IF(E271="","Missing employee",""),IF(H271="","Missing regular hours",""),IF(K271="NO RATE","Missing pay rate","")))</x:f>
      </x:c>
    </x:row>
    <x:row r="272" ht="20" customHeight="1">
      <x:c r="A272" s="15"/>
      <x:c r="B272" s="28"/>
      <x:c r="C272" s="15"/>
      <x:c r="D272" s="15"/>
      <x:c r="E272" s="15"/>
      <x:c r="F272" s="15"/>
      <x:c r="G272" s="15"/>
      <x:c r="H272" s="136"/>
      <x:c r="I272" s="136"/>
      <x:c r="J272" s="136" t="str">
        <x:f>IF(COUNTA(H272:I272)=0,"",SUM(H272:I272))</x:f>
      </x:c>
      <x:c r="K272" s="70" t="str">
        <x:f>IF(E272="","",IFERROR(INDEX('05_Employees'!$H:$H,MATCH(E272,'05_Employees'!$A:$A,0)),"NO RATE"))</x:f>
      </x:c>
      <x:c r="L272" s="70" t="str">
        <x:f>IF(OR(J272="",NOT(ISNUMBER(K272))),"",J272*K272)</x:f>
      </x:c>
      <x:c r="M272" s="15"/>
      <x:c r="N272" s="15" t="str">
        <x:f>IF(COUNTA(B272:I272,M272:M272)=0,"",TEXTJOIN("; ",TRUE,IF(B272="","Missing work date",""),IF(C272="","Missing project",""),IF(E272="","Missing employee",""),IF(H272="","Missing regular hours",""),IF(K272="NO RATE","Missing pay rate","")))</x:f>
      </x:c>
    </x:row>
    <x:row r="273" ht="20" customHeight="1">
      <x:c r="A273" s="15"/>
      <x:c r="B273" s="28"/>
      <x:c r="C273" s="15"/>
      <x:c r="D273" s="15"/>
      <x:c r="E273" s="15"/>
      <x:c r="F273" s="15"/>
      <x:c r="G273" s="15"/>
      <x:c r="H273" s="136"/>
      <x:c r="I273" s="136"/>
      <x:c r="J273" s="136" t="str">
        <x:f>IF(COUNTA(H273:I273)=0,"",SUM(H273:I273))</x:f>
      </x:c>
      <x:c r="K273" s="70" t="str">
        <x:f>IF(E273="","",IFERROR(INDEX('05_Employees'!$H:$H,MATCH(E273,'05_Employees'!$A:$A,0)),"NO RATE"))</x:f>
      </x:c>
      <x:c r="L273" s="70" t="str">
        <x:f>IF(OR(J273="",NOT(ISNUMBER(K273))),"",J273*K273)</x:f>
      </x:c>
      <x:c r="M273" s="15"/>
      <x:c r="N273" s="15" t="str">
        <x:f>IF(COUNTA(B273:I273,M273:M273)=0,"",TEXTJOIN("; ",TRUE,IF(B273="","Missing work date",""),IF(C273="","Missing project",""),IF(E273="","Missing employee",""),IF(H273="","Missing regular hours",""),IF(K273="NO RATE","Missing pay rate","")))</x:f>
      </x:c>
    </x:row>
    <x:row r="274" ht="20" customHeight="1">
      <x:c r="A274" s="15"/>
      <x:c r="B274" s="28"/>
      <x:c r="C274" s="15"/>
      <x:c r="D274" s="15"/>
      <x:c r="E274" s="15"/>
      <x:c r="F274" s="15"/>
      <x:c r="G274" s="15"/>
      <x:c r="H274" s="136"/>
      <x:c r="I274" s="136"/>
      <x:c r="J274" s="136" t="str">
        <x:f>IF(COUNTA(H274:I274)=0,"",SUM(H274:I274))</x:f>
      </x:c>
      <x:c r="K274" s="70" t="str">
        <x:f>IF(E274="","",IFERROR(INDEX('05_Employees'!$H:$H,MATCH(E274,'05_Employees'!$A:$A,0)),"NO RATE"))</x:f>
      </x:c>
      <x:c r="L274" s="70" t="str">
        <x:f>IF(OR(J274="",NOT(ISNUMBER(K274))),"",J274*K274)</x:f>
      </x:c>
      <x:c r="M274" s="15"/>
      <x:c r="N274" s="15" t="str">
        <x:f>IF(COUNTA(B274:I274,M274:M274)=0,"",TEXTJOIN("; ",TRUE,IF(B274="","Missing work date",""),IF(C274="","Missing project",""),IF(E274="","Missing employee",""),IF(H274="","Missing regular hours",""),IF(K274="NO RATE","Missing pay rate","")))</x:f>
      </x:c>
    </x:row>
    <x:row r="275" ht="20" customHeight="1">
      <x:c r="A275" s="15"/>
      <x:c r="B275" s="28"/>
      <x:c r="C275" s="15"/>
      <x:c r="D275" s="15"/>
      <x:c r="E275" s="15"/>
      <x:c r="F275" s="15"/>
      <x:c r="G275" s="15"/>
      <x:c r="H275" s="136"/>
      <x:c r="I275" s="136"/>
      <x:c r="J275" s="136" t="str">
        <x:f>IF(COUNTA(H275:I275)=0,"",SUM(H275:I275))</x:f>
      </x:c>
      <x:c r="K275" s="70" t="str">
        <x:f>IF(E275="","",IFERROR(INDEX('05_Employees'!$H:$H,MATCH(E275,'05_Employees'!$A:$A,0)),"NO RATE"))</x:f>
      </x:c>
      <x:c r="L275" s="70" t="str">
        <x:f>IF(OR(J275="",NOT(ISNUMBER(K275))),"",J275*K275)</x:f>
      </x:c>
      <x:c r="M275" s="15"/>
      <x:c r="N275" s="15" t="str">
        <x:f>IF(COUNTA(B275:I275,M275:M275)=0,"",TEXTJOIN("; ",TRUE,IF(B275="","Missing work date",""),IF(C275="","Missing project",""),IF(E275="","Missing employee",""),IF(H275="","Missing regular hours",""),IF(K275="NO RATE","Missing pay rate","")))</x:f>
      </x:c>
    </x:row>
    <x:row r="276" ht="20" customHeight="1">
      <x:c r="A276" s="15"/>
      <x:c r="B276" s="28"/>
      <x:c r="C276" s="15"/>
      <x:c r="D276" s="15"/>
      <x:c r="E276" s="15"/>
      <x:c r="F276" s="15"/>
      <x:c r="G276" s="15"/>
      <x:c r="H276" s="136"/>
      <x:c r="I276" s="136"/>
      <x:c r="J276" s="136" t="str">
        <x:f>IF(COUNTA(H276:I276)=0,"",SUM(H276:I276))</x:f>
      </x:c>
      <x:c r="K276" s="70" t="str">
        <x:f>IF(E276="","",IFERROR(INDEX('05_Employees'!$H:$H,MATCH(E276,'05_Employees'!$A:$A,0)),"NO RATE"))</x:f>
      </x:c>
      <x:c r="L276" s="70" t="str">
        <x:f>IF(OR(J276="",NOT(ISNUMBER(K276))),"",J276*K276)</x:f>
      </x:c>
      <x:c r="M276" s="15"/>
      <x:c r="N276" s="15" t="str">
        <x:f>IF(COUNTA(B276:I276,M276:M276)=0,"",TEXTJOIN("; ",TRUE,IF(B276="","Missing work date",""),IF(C276="","Missing project",""),IF(E276="","Missing employee",""),IF(H276="","Missing regular hours",""),IF(K276="NO RATE","Missing pay rate","")))</x:f>
      </x:c>
    </x:row>
    <x:row r="277" ht="20" customHeight="1">
      <x:c r="A277" s="15"/>
      <x:c r="B277" s="28"/>
      <x:c r="C277" s="15"/>
      <x:c r="D277" s="15"/>
      <x:c r="E277" s="15"/>
      <x:c r="F277" s="15"/>
      <x:c r="G277" s="15"/>
      <x:c r="H277" s="136"/>
      <x:c r="I277" s="136"/>
      <x:c r="J277" s="136" t="str">
        <x:f>IF(COUNTA(H277:I277)=0,"",SUM(H277:I277))</x:f>
      </x:c>
      <x:c r="K277" s="70" t="str">
        <x:f>IF(E277="","",IFERROR(INDEX('05_Employees'!$H:$H,MATCH(E277,'05_Employees'!$A:$A,0)),"NO RATE"))</x:f>
      </x:c>
      <x:c r="L277" s="70" t="str">
        <x:f>IF(OR(J277="",NOT(ISNUMBER(K277))),"",J277*K277)</x:f>
      </x:c>
      <x:c r="M277" s="15"/>
      <x:c r="N277" s="15" t="str">
        <x:f>IF(COUNTA(B277:I277,M277:M277)=0,"",TEXTJOIN("; ",TRUE,IF(B277="","Missing work date",""),IF(C277="","Missing project",""),IF(E277="","Missing employee",""),IF(H277="","Missing regular hours",""),IF(K277="NO RATE","Missing pay rate","")))</x:f>
      </x:c>
    </x:row>
    <x:row r="278" ht="20" customHeight="1">
      <x:c r="A278" s="15"/>
      <x:c r="B278" s="28"/>
      <x:c r="C278" s="15"/>
      <x:c r="D278" s="15"/>
      <x:c r="E278" s="15"/>
      <x:c r="F278" s="15"/>
      <x:c r="G278" s="15"/>
      <x:c r="H278" s="136"/>
      <x:c r="I278" s="136"/>
      <x:c r="J278" s="136" t="str">
        <x:f>IF(COUNTA(H278:I278)=0,"",SUM(H278:I278))</x:f>
      </x:c>
      <x:c r="K278" s="70" t="str">
        <x:f>IF(E278="","",IFERROR(INDEX('05_Employees'!$H:$H,MATCH(E278,'05_Employees'!$A:$A,0)),"NO RATE"))</x:f>
      </x:c>
      <x:c r="L278" s="70" t="str">
        <x:f>IF(OR(J278="",NOT(ISNUMBER(K278))),"",J278*K278)</x:f>
      </x:c>
      <x:c r="M278" s="15"/>
      <x:c r="N278" s="15" t="str">
        <x:f>IF(COUNTA(B278:I278,M278:M278)=0,"",TEXTJOIN("; ",TRUE,IF(B278="","Missing work date",""),IF(C278="","Missing project",""),IF(E278="","Missing employee",""),IF(H278="","Missing regular hours",""),IF(K278="NO RATE","Missing pay rate","")))</x:f>
      </x:c>
    </x:row>
    <x:row r="279" ht="20" customHeight="1">
      <x:c r="A279" s="15"/>
      <x:c r="B279" s="28"/>
      <x:c r="C279" s="15"/>
      <x:c r="D279" s="15"/>
      <x:c r="E279" s="15"/>
      <x:c r="F279" s="15"/>
      <x:c r="G279" s="15"/>
      <x:c r="H279" s="136"/>
      <x:c r="I279" s="136"/>
      <x:c r="J279" s="136" t="str">
        <x:f>IF(COUNTA(H279:I279)=0,"",SUM(H279:I279))</x:f>
      </x:c>
      <x:c r="K279" s="70" t="str">
        <x:f>IF(E279="","",IFERROR(INDEX('05_Employees'!$H:$H,MATCH(E279,'05_Employees'!$A:$A,0)),"NO RATE"))</x:f>
      </x:c>
      <x:c r="L279" s="70" t="str">
        <x:f>IF(OR(J279="",NOT(ISNUMBER(K279))),"",J279*K279)</x:f>
      </x:c>
      <x:c r="M279" s="15"/>
      <x:c r="N279" s="15" t="str">
        <x:f>IF(COUNTA(B279:I279,M279:M279)=0,"",TEXTJOIN("; ",TRUE,IF(B279="","Missing work date",""),IF(C279="","Missing project",""),IF(E279="","Missing employee",""),IF(H279="","Missing regular hours",""),IF(K279="NO RATE","Missing pay rate","")))</x:f>
      </x:c>
    </x:row>
    <x:row r="280" ht="20" customHeight="1">
      <x:c r="A280" s="15"/>
      <x:c r="B280" s="28"/>
      <x:c r="C280" s="15"/>
      <x:c r="D280" s="15"/>
      <x:c r="E280" s="15"/>
      <x:c r="F280" s="15"/>
      <x:c r="G280" s="15"/>
      <x:c r="H280" s="136"/>
      <x:c r="I280" s="136"/>
      <x:c r="J280" s="136" t="str">
        <x:f>IF(COUNTA(H280:I280)=0,"",SUM(H280:I280))</x:f>
      </x:c>
      <x:c r="K280" s="70" t="str">
        <x:f>IF(E280="","",IFERROR(INDEX('05_Employees'!$H:$H,MATCH(E280,'05_Employees'!$A:$A,0)),"NO RATE"))</x:f>
      </x:c>
      <x:c r="L280" s="70" t="str">
        <x:f>IF(OR(J280="",NOT(ISNUMBER(K280))),"",J280*K280)</x:f>
      </x:c>
      <x:c r="M280" s="15"/>
      <x:c r="N280" s="15" t="str">
        <x:f>IF(COUNTA(B280:I280,M280:M280)=0,"",TEXTJOIN("; ",TRUE,IF(B280="","Missing work date",""),IF(C280="","Missing project",""),IF(E280="","Missing employee",""),IF(H280="","Missing regular hours",""),IF(K280="NO RATE","Missing pay rate","")))</x:f>
      </x:c>
    </x:row>
    <x:row r="281" ht="20" customHeight="1">
      <x:c r="A281" s="15"/>
      <x:c r="B281" s="28"/>
      <x:c r="C281" s="15"/>
      <x:c r="D281" s="15"/>
      <x:c r="E281" s="15"/>
      <x:c r="F281" s="15"/>
      <x:c r="G281" s="15"/>
      <x:c r="H281" s="136"/>
      <x:c r="I281" s="136"/>
      <x:c r="J281" s="136" t="str">
        <x:f>IF(COUNTA(H281:I281)=0,"",SUM(H281:I281))</x:f>
      </x:c>
      <x:c r="K281" s="70" t="str">
        <x:f>IF(E281="","",IFERROR(INDEX('05_Employees'!$H:$H,MATCH(E281,'05_Employees'!$A:$A,0)),"NO RATE"))</x:f>
      </x:c>
      <x:c r="L281" s="70" t="str">
        <x:f>IF(OR(J281="",NOT(ISNUMBER(K281))),"",J281*K281)</x:f>
      </x:c>
      <x:c r="M281" s="15"/>
      <x:c r="N281" s="15" t="str">
        <x:f>IF(COUNTA(B281:I281,M281:M281)=0,"",TEXTJOIN("; ",TRUE,IF(B281="","Missing work date",""),IF(C281="","Missing project",""),IF(E281="","Missing employee",""),IF(H281="","Missing regular hours",""),IF(K281="NO RATE","Missing pay rate","")))</x:f>
      </x:c>
    </x:row>
    <x:row r="282" ht="20" customHeight="1">
      <x:c r="A282" s="15"/>
      <x:c r="B282" s="28"/>
      <x:c r="C282" s="15"/>
      <x:c r="D282" s="15"/>
      <x:c r="E282" s="15"/>
      <x:c r="F282" s="15"/>
      <x:c r="G282" s="15"/>
      <x:c r="H282" s="136"/>
      <x:c r="I282" s="136"/>
      <x:c r="J282" s="136" t="str">
        <x:f>IF(COUNTA(H282:I282)=0,"",SUM(H282:I282))</x:f>
      </x:c>
      <x:c r="K282" s="70" t="str">
        <x:f>IF(E282="","",IFERROR(INDEX('05_Employees'!$H:$H,MATCH(E282,'05_Employees'!$A:$A,0)),"NO RATE"))</x:f>
      </x:c>
      <x:c r="L282" s="70" t="str">
        <x:f>IF(OR(J282="",NOT(ISNUMBER(K282))),"",J282*K282)</x:f>
      </x:c>
      <x:c r="M282" s="15"/>
      <x:c r="N282" s="15" t="str">
        <x:f>IF(COUNTA(B282:I282,M282:M282)=0,"",TEXTJOIN("; ",TRUE,IF(B282="","Missing work date",""),IF(C282="","Missing project",""),IF(E282="","Missing employee",""),IF(H282="","Missing regular hours",""),IF(K282="NO RATE","Missing pay rate","")))</x:f>
      </x:c>
    </x:row>
    <x:row r="283" ht="20" customHeight="1">
      <x:c r="A283" s="15"/>
      <x:c r="B283" s="28"/>
      <x:c r="C283" s="15"/>
      <x:c r="D283" s="15"/>
      <x:c r="E283" s="15"/>
      <x:c r="F283" s="15"/>
      <x:c r="G283" s="15"/>
      <x:c r="H283" s="136"/>
      <x:c r="I283" s="136"/>
      <x:c r="J283" s="136" t="str">
        <x:f>IF(COUNTA(H283:I283)=0,"",SUM(H283:I283))</x:f>
      </x:c>
      <x:c r="K283" s="70" t="str">
        <x:f>IF(E283="","",IFERROR(INDEX('05_Employees'!$H:$H,MATCH(E283,'05_Employees'!$A:$A,0)),"NO RATE"))</x:f>
      </x:c>
      <x:c r="L283" s="70" t="str">
        <x:f>IF(OR(J283="",NOT(ISNUMBER(K283))),"",J283*K283)</x:f>
      </x:c>
      <x:c r="M283" s="15"/>
      <x:c r="N283" s="15" t="str">
        <x:f>IF(COUNTA(B283:I283,M283:M283)=0,"",TEXTJOIN("; ",TRUE,IF(B283="","Missing work date",""),IF(C283="","Missing project",""),IF(E283="","Missing employee",""),IF(H283="","Missing regular hours",""),IF(K283="NO RATE","Missing pay rate","")))</x:f>
      </x:c>
    </x:row>
    <x:row r="284" ht="20" customHeight="1">
      <x:c r="A284" s="15"/>
      <x:c r="B284" s="28"/>
      <x:c r="C284" s="15"/>
      <x:c r="D284" s="15"/>
      <x:c r="E284" s="15"/>
      <x:c r="F284" s="15"/>
      <x:c r="G284" s="15"/>
      <x:c r="H284" s="136"/>
      <x:c r="I284" s="136"/>
      <x:c r="J284" s="136" t="str">
        <x:f>IF(COUNTA(H284:I284)=0,"",SUM(H284:I284))</x:f>
      </x:c>
      <x:c r="K284" s="70" t="str">
        <x:f>IF(E284="","",IFERROR(INDEX('05_Employees'!$H:$H,MATCH(E284,'05_Employees'!$A:$A,0)),"NO RATE"))</x:f>
      </x:c>
      <x:c r="L284" s="70" t="str">
        <x:f>IF(OR(J284="",NOT(ISNUMBER(K284))),"",J284*K284)</x:f>
      </x:c>
      <x:c r="M284" s="15"/>
      <x:c r="N284" s="15" t="str">
        <x:f>IF(COUNTA(B284:I284,M284:M284)=0,"",TEXTJOIN("; ",TRUE,IF(B284="","Missing work date",""),IF(C284="","Missing project",""),IF(E284="","Missing employee",""),IF(H284="","Missing regular hours",""),IF(K284="NO RATE","Missing pay rate","")))</x:f>
      </x:c>
    </x:row>
    <x:row r="285" ht="20" customHeight="1">
      <x:c r="A285" s="15"/>
      <x:c r="B285" s="28"/>
      <x:c r="C285" s="15"/>
      <x:c r="D285" s="15"/>
      <x:c r="E285" s="15"/>
      <x:c r="F285" s="15"/>
      <x:c r="G285" s="15"/>
      <x:c r="H285" s="136"/>
      <x:c r="I285" s="136"/>
      <x:c r="J285" s="136" t="str">
        <x:f>IF(COUNTA(H285:I285)=0,"",SUM(H285:I285))</x:f>
      </x:c>
      <x:c r="K285" s="70" t="str">
        <x:f>IF(E285="","",IFERROR(INDEX('05_Employees'!$H:$H,MATCH(E285,'05_Employees'!$A:$A,0)),"NO RATE"))</x:f>
      </x:c>
      <x:c r="L285" s="70" t="str">
        <x:f>IF(OR(J285="",NOT(ISNUMBER(K285))),"",J285*K285)</x:f>
      </x:c>
      <x:c r="M285" s="15"/>
      <x:c r="N285" s="15" t="str">
        <x:f>IF(COUNTA(B285:I285,M285:M285)=0,"",TEXTJOIN("; ",TRUE,IF(B285="","Missing work date",""),IF(C285="","Missing project",""),IF(E285="","Missing employee",""),IF(H285="","Missing regular hours",""),IF(K285="NO RATE","Missing pay rate","")))</x:f>
      </x:c>
    </x:row>
    <x:row r="286" ht="20" customHeight="1">
      <x:c r="A286" s="15"/>
      <x:c r="B286" s="28"/>
      <x:c r="C286" s="15"/>
      <x:c r="D286" s="15"/>
      <x:c r="E286" s="15"/>
      <x:c r="F286" s="15"/>
      <x:c r="G286" s="15"/>
      <x:c r="H286" s="136"/>
      <x:c r="I286" s="136"/>
      <x:c r="J286" s="136" t="str">
        <x:f>IF(COUNTA(H286:I286)=0,"",SUM(H286:I286))</x:f>
      </x:c>
      <x:c r="K286" s="70" t="str">
        <x:f>IF(E286="","",IFERROR(INDEX('05_Employees'!$H:$H,MATCH(E286,'05_Employees'!$A:$A,0)),"NO RATE"))</x:f>
      </x:c>
      <x:c r="L286" s="70" t="str">
        <x:f>IF(OR(J286="",NOT(ISNUMBER(K286))),"",J286*K286)</x:f>
      </x:c>
      <x:c r="M286" s="15"/>
      <x:c r="N286" s="15" t="str">
        <x:f>IF(COUNTA(B286:I286,M286:M286)=0,"",TEXTJOIN("; ",TRUE,IF(B286="","Missing work date",""),IF(C286="","Missing project",""),IF(E286="","Missing employee",""),IF(H286="","Missing regular hours",""),IF(K286="NO RATE","Missing pay rate","")))</x:f>
      </x:c>
    </x:row>
    <x:row r="287" ht="20" customHeight="1">
      <x:c r="A287" s="15"/>
      <x:c r="B287" s="28"/>
      <x:c r="C287" s="15"/>
      <x:c r="D287" s="15"/>
      <x:c r="E287" s="15"/>
      <x:c r="F287" s="15"/>
      <x:c r="G287" s="15"/>
      <x:c r="H287" s="136"/>
      <x:c r="I287" s="136"/>
      <x:c r="J287" s="136" t="str">
        <x:f>IF(COUNTA(H287:I287)=0,"",SUM(H287:I287))</x:f>
      </x:c>
      <x:c r="K287" s="70" t="str">
        <x:f>IF(E287="","",IFERROR(INDEX('05_Employees'!$H:$H,MATCH(E287,'05_Employees'!$A:$A,0)),"NO RATE"))</x:f>
      </x:c>
      <x:c r="L287" s="70" t="str">
        <x:f>IF(OR(J287="",NOT(ISNUMBER(K287))),"",J287*K287)</x:f>
      </x:c>
      <x:c r="M287" s="15"/>
      <x:c r="N287" s="15" t="str">
        <x:f>IF(COUNTA(B287:I287,M287:M287)=0,"",TEXTJOIN("; ",TRUE,IF(B287="","Missing work date",""),IF(C287="","Missing project",""),IF(E287="","Missing employee",""),IF(H287="","Missing regular hours",""),IF(K287="NO RATE","Missing pay rate","")))</x:f>
      </x:c>
    </x:row>
    <x:row r="288" ht="20" customHeight="1">
      <x:c r="A288" s="15"/>
      <x:c r="B288" s="28"/>
      <x:c r="C288" s="15"/>
      <x:c r="D288" s="15"/>
      <x:c r="E288" s="15"/>
      <x:c r="F288" s="15"/>
      <x:c r="G288" s="15"/>
      <x:c r="H288" s="136"/>
      <x:c r="I288" s="136"/>
      <x:c r="J288" s="136" t="str">
        <x:f>IF(COUNTA(H288:I288)=0,"",SUM(H288:I288))</x:f>
      </x:c>
      <x:c r="K288" s="70" t="str">
        <x:f>IF(E288="","",IFERROR(INDEX('05_Employees'!$H:$H,MATCH(E288,'05_Employees'!$A:$A,0)),"NO RATE"))</x:f>
      </x:c>
      <x:c r="L288" s="70" t="str">
        <x:f>IF(OR(J288="",NOT(ISNUMBER(K288))),"",J288*K288)</x:f>
      </x:c>
      <x:c r="M288" s="15"/>
      <x:c r="N288" s="15" t="str">
        <x:f>IF(COUNTA(B288:I288,M288:M288)=0,"",TEXTJOIN("; ",TRUE,IF(B288="","Missing work date",""),IF(C288="","Missing project",""),IF(E288="","Missing employee",""),IF(H288="","Missing regular hours",""),IF(K288="NO RATE","Missing pay rate","")))</x:f>
      </x:c>
    </x:row>
    <x:row r="289" ht="20" customHeight="1">
      <x:c r="A289" s="15"/>
      <x:c r="B289" s="28"/>
      <x:c r="C289" s="15"/>
      <x:c r="D289" s="15"/>
      <x:c r="E289" s="15"/>
      <x:c r="F289" s="15"/>
      <x:c r="G289" s="15"/>
      <x:c r="H289" s="136"/>
      <x:c r="I289" s="136"/>
      <x:c r="J289" s="136" t="str">
        <x:f>IF(COUNTA(H289:I289)=0,"",SUM(H289:I289))</x:f>
      </x:c>
      <x:c r="K289" s="70" t="str">
        <x:f>IF(E289="","",IFERROR(INDEX('05_Employees'!$H:$H,MATCH(E289,'05_Employees'!$A:$A,0)),"NO RATE"))</x:f>
      </x:c>
      <x:c r="L289" s="70" t="str">
        <x:f>IF(OR(J289="",NOT(ISNUMBER(K289))),"",J289*K289)</x:f>
      </x:c>
      <x:c r="M289" s="15"/>
      <x:c r="N289" s="15" t="str">
        <x:f>IF(COUNTA(B289:I289,M289:M289)=0,"",TEXTJOIN("; ",TRUE,IF(B289="","Missing work date",""),IF(C289="","Missing project",""),IF(E289="","Missing employee",""),IF(H289="","Missing regular hours",""),IF(K289="NO RATE","Missing pay rate","")))</x:f>
      </x:c>
    </x:row>
    <x:row r="290" ht="20" customHeight="1">
      <x:c r="A290" s="15"/>
      <x:c r="B290" s="28"/>
      <x:c r="C290" s="15"/>
      <x:c r="D290" s="15"/>
      <x:c r="E290" s="15"/>
      <x:c r="F290" s="15"/>
      <x:c r="G290" s="15"/>
      <x:c r="H290" s="136"/>
      <x:c r="I290" s="136"/>
      <x:c r="J290" s="136" t="str">
        <x:f>IF(COUNTA(H290:I290)=0,"",SUM(H290:I290))</x:f>
      </x:c>
      <x:c r="K290" s="70" t="str">
        <x:f>IF(E290="","",IFERROR(INDEX('05_Employees'!$H:$H,MATCH(E290,'05_Employees'!$A:$A,0)),"NO RATE"))</x:f>
      </x:c>
      <x:c r="L290" s="70" t="str">
        <x:f>IF(OR(J290="",NOT(ISNUMBER(K290))),"",J290*K290)</x:f>
      </x:c>
      <x:c r="M290" s="15"/>
      <x:c r="N290" s="15" t="str">
        <x:f>IF(COUNTA(B290:I290,M290:M290)=0,"",TEXTJOIN("; ",TRUE,IF(B290="","Missing work date",""),IF(C290="","Missing project",""),IF(E290="","Missing employee",""),IF(H290="","Missing regular hours",""),IF(K290="NO RATE","Missing pay rate","")))</x:f>
      </x:c>
    </x:row>
    <x:row r="291" ht="20" customHeight="1">
      <x:c r="A291" s="15"/>
      <x:c r="B291" s="28"/>
      <x:c r="C291" s="15"/>
      <x:c r="D291" s="15"/>
      <x:c r="E291" s="15"/>
      <x:c r="F291" s="15"/>
      <x:c r="G291" s="15"/>
      <x:c r="H291" s="136"/>
      <x:c r="I291" s="136"/>
      <x:c r="J291" s="136" t="str">
        <x:f>IF(COUNTA(H291:I291)=0,"",SUM(H291:I291))</x:f>
      </x:c>
      <x:c r="K291" s="70" t="str">
        <x:f>IF(E291="","",IFERROR(INDEX('05_Employees'!$H:$H,MATCH(E291,'05_Employees'!$A:$A,0)),"NO RATE"))</x:f>
      </x:c>
      <x:c r="L291" s="70" t="str">
        <x:f>IF(OR(J291="",NOT(ISNUMBER(K291))),"",J291*K291)</x:f>
      </x:c>
      <x:c r="M291" s="15"/>
      <x:c r="N291" s="15" t="str">
        <x:f>IF(COUNTA(B291:I291,M291:M291)=0,"",TEXTJOIN("; ",TRUE,IF(B291="","Missing work date",""),IF(C291="","Missing project",""),IF(E291="","Missing employee",""),IF(H291="","Missing regular hours",""),IF(K291="NO RATE","Missing pay rate","")))</x:f>
      </x:c>
    </x:row>
    <x:row r="292" ht="20" customHeight="1">
      <x:c r="A292" s="15"/>
      <x:c r="B292" s="28"/>
      <x:c r="C292" s="15"/>
      <x:c r="D292" s="15"/>
      <x:c r="E292" s="15"/>
      <x:c r="F292" s="15"/>
      <x:c r="G292" s="15"/>
      <x:c r="H292" s="136"/>
      <x:c r="I292" s="136"/>
      <x:c r="J292" s="136" t="str">
        <x:f>IF(COUNTA(H292:I292)=0,"",SUM(H292:I292))</x:f>
      </x:c>
      <x:c r="K292" s="70" t="str">
        <x:f>IF(E292="","",IFERROR(INDEX('05_Employees'!$H:$H,MATCH(E292,'05_Employees'!$A:$A,0)),"NO RATE"))</x:f>
      </x:c>
      <x:c r="L292" s="70" t="str">
        <x:f>IF(OR(J292="",NOT(ISNUMBER(K292))),"",J292*K292)</x:f>
      </x:c>
      <x:c r="M292" s="15"/>
      <x:c r="N292" s="15" t="str">
        <x:f>IF(COUNTA(B292:I292,M292:M292)=0,"",TEXTJOIN("; ",TRUE,IF(B292="","Missing work date",""),IF(C292="","Missing project",""),IF(E292="","Missing employee",""),IF(H292="","Missing regular hours",""),IF(K292="NO RATE","Missing pay rate","")))</x:f>
      </x:c>
    </x:row>
    <x:row r="293" ht="20" customHeight="1">
      <x:c r="A293" s="15"/>
      <x:c r="B293" s="28"/>
      <x:c r="C293" s="15"/>
      <x:c r="D293" s="15"/>
      <x:c r="E293" s="15"/>
      <x:c r="F293" s="15"/>
      <x:c r="G293" s="15"/>
      <x:c r="H293" s="136"/>
      <x:c r="I293" s="136"/>
      <x:c r="J293" s="136" t="str">
        <x:f>IF(COUNTA(H293:I293)=0,"",SUM(H293:I293))</x:f>
      </x:c>
      <x:c r="K293" s="70" t="str">
        <x:f>IF(E293="","",IFERROR(INDEX('05_Employees'!$H:$H,MATCH(E293,'05_Employees'!$A:$A,0)),"NO RATE"))</x:f>
      </x:c>
      <x:c r="L293" s="70" t="str">
        <x:f>IF(OR(J293="",NOT(ISNUMBER(K293))),"",J293*K293)</x:f>
      </x:c>
      <x:c r="M293" s="15"/>
      <x:c r="N293" s="15" t="str">
        <x:f>IF(COUNTA(B293:I293,M293:M293)=0,"",TEXTJOIN("; ",TRUE,IF(B293="","Missing work date",""),IF(C293="","Missing project",""),IF(E293="","Missing employee",""),IF(H293="","Missing regular hours",""),IF(K293="NO RATE","Missing pay rate","")))</x:f>
      </x:c>
    </x:row>
    <x:row r="294" ht="20" customHeight="1">
      <x:c r="A294" s="15"/>
      <x:c r="B294" s="28"/>
      <x:c r="C294" s="15"/>
      <x:c r="D294" s="15"/>
      <x:c r="E294" s="15"/>
      <x:c r="F294" s="15"/>
      <x:c r="G294" s="15"/>
      <x:c r="H294" s="136"/>
      <x:c r="I294" s="136"/>
      <x:c r="J294" s="136" t="str">
        <x:f>IF(COUNTA(H294:I294)=0,"",SUM(H294:I294))</x:f>
      </x:c>
      <x:c r="K294" s="70" t="str">
        <x:f>IF(E294="","",IFERROR(INDEX('05_Employees'!$H:$H,MATCH(E294,'05_Employees'!$A:$A,0)),"NO RATE"))</x:f>
      </x:c>
      <x:c r="L294" s="70" t="str">
        <x:f>IF(OR(J294="",NOT(ISNUMBER(K294))),"",J294*K294)</x:f>
      </x:c>
      <x:c r="M294" s="15"/>
      <x:c r="N294" s="15" t="str">
        <x:f>IF(COUNTA(B294:I294,M294:M294)=0,"",TEXTJOIN("; ",TRUE,IF(B294="","Missing work date",""),IF(C294="","Missing project",""),IF(E294="","Missing employee",""),IF(H294="","Missing regular hours",""),IF(K294="NO RATE","Missing pay rate","")))</x:f>
      </x:c>
    </x:row>
    <x:row r="295" ht="20" customHeight="1">
      <x:c r="A295" s="15"/>
      <x:c r="B295" s="28"/>
      <x:c r="C295" s="15"/>
      <x:c r="D295" s="15"/>
      <x:c r="E295" s="15"/>
      <x:c r="F295" s="15"/>
      <x:c r="G295" s="15"/>
      <x:c r="H295" s="136"/>
      <x:c r="I295" s="136"/>
      <x:c r="J295" s="136" t="str">
        <x:f>IF(COUNTA(H295:I295)=0,"",SUM(H295:I295))</x:f>
      </x:c>
      <x:c r="K295" s="70" t="str">
        <x:f>IF(E295="","",IFERROR(INDEX('05_Employees'!$H:$H,MATCH(E295,'05_Employees'!$A:$A,0)),"NO RATE"))</x:f>
      </x:c>
      <x:c r="L295" s="70" t="str">
        <x:f>IF(OR(J295="",NOT(ISNUMBER(K295))),"",J295*K295)</x:f>
      </x:c>
      <x:c r="M295" s="15"/>
      <x:c r="N295" s="15" t="str">
        <x:f>IF(COUNTA(B295:I295,M295:M295)=0,"",TEXTJOIN("; ",TRUE,IF(B295="","Missing work date",""),IF(C295="","Missing project",""),IF(E295="","Missing employee",""),IF(H295="","Missing regular hours",""),IF(K295="NO RATE","Missing pay rate","")))</x:f>
      </x:c>
    </x:row>
    <x:row r="296" ht="20" customHeight="1">
      <x:c r="A296" s="15"/>
      <x:c r="B296" s="28"/>
      <x:c r="C296" s="15"/>
      <x:c r="D296" s="15"/>
      <x:c r="E296" s="15"/>
      <x:c r="F296" s="15"/>
      <x:c r="G296" s="15"/>
      <x:c r="H296" s="136"/>
      <x:c r="I296" s="136"/>
      <x:c r="J296" s="136" t="str">
        <x:f>IF(COUNTA(H296:I296)=0,"",SUM(H296:I296))</x:f>
      </x:c>
      <x:c r="K296" s="70" t="str">
        <x:f>IF(E296="","",IFERROR(INDEX('05_Employees'!$H:$H,MATCH(E296,'05_Employees'!$A:$A,0)),"NO RATE"))</x:f>
      </x:c>
      <x:c r="L296" s="70" t="str">
        <x:f>IF(OR(J296="",NOT(ISNUMBER(K296))),"",J296*K296)</x:f>
      </x:c>
      <x:c r="M296" s="15"/>
      <x:c r="N296" s="15" t="str">
        <x:f>IF(COUNTA(B296:I296,M296:M296)=0,"",TEXTJOIN("; ",TRUE,IF(B296="","Missing work date",""),IF(C296="","Missing project",""),IF(E296="","Missing employee",""),IF(H296="","Missing regular hours",""),IF(K296="NO RATE","Missing pay rate","")))</x:f>
      </x:c>
    </x:row>
    <x:row r="297" ht="20" customHeight="1">
      <x:c r="A297" s="15"/>
      <x:c r="B297" s="28"/>
      <x:c r="C297" s="15"/>
      <x:c r="D297" s="15"/>
      <x:c r="E297" s="15"/>
      <x:c r="F297" s="15"/>
      <x:c r="G297" s="15"/>
      <x:c r="H297" s="136"/>
      <x:c r="I297" s="136"/>
      <x:c r="J297" s="136" t="str">
        <x:f>IF(COUNTA(H297:I297)=0,"",SUM(H297:I297))</x:f>
      </x:c>
      <x:c r="K297" s="70" t="str">
        <x:f>IF(E297="","",IFERROR(INDEX('05_Employees'!$H:$H,MATCH(E297,'05_Employees'!$A:$A,0)),"NO RATE"))</x:f>
      </x:c>
      <x:c r="L297" s="70" t="str">
        <x:f>IF(OR(J297="",NOT(ISNUMBER(K297))),"",J297*K297)</x:f>
      </x:c>
      <x:c r="M297" s="15"/>
      <x:c r="N297" s="15" t="str">
        <x:f>IF(COUNTA(B297:I297,M297:M297)=0,"",TEXTJOIN("; ",TRUE,IF(B297="","Missing work date",""),IF(C297="","Missing project",""),IF(E297="","Missing employee",""),IF(H297="","Missing regular hours",""),IF(K297="NO RATE","Missing pay rate","")))</x:f>
      </x:c>
    </x:row>
    <x:row r="298" ht="20" customHeight="1">
      <x:c r="A298" s="15"/>
      <x:c r="B298" s="28"/>
      <x:c r="C298" s="15"/>
      <x:c r="D298" s="15"/>
      <x:c r="E298" s="15"/>
      <x:c r="F298" s="15"/>
      <x:c r="G298" s="15"/>
      <x:c r="H298" s="136"/>
      <x:c r="I298" s="136"/>
      <x:c r="J298" s="136" t="str">
        <x:f>IF(COUNTA(H298:I298)=0,"",SUM(H298:I298))</x:f>
      </x:c>
      <x:c r="K298" s="70" t="str">
        <x:f>IF(E298="","",IFERROR(INDEX('05_Employees'!$H:$H,MATCH(E298,'05_Employees'!$A:$A,0)),"NO RATE"))</x:f>
      </x:c>
      <x:c r="L298" s="70" t="str">
        <x:f>IF(OR(J298="",NOT(ISNUMBER(K298))),"",J298*K298)</x:f>
      </x:c>
      <x:c r="M298" s="15"/>
      <x:c r="N298" s="15" t="str">
        <x:f>IF(COUNTA(B298:I298,M298:M298)=0,"",TEXTJOIN("; ",TRUE,IF(B298="","Missing work date",""),IF(C298="","Missing project",""),IF(E298="","Missing employee",""),IF(H298="","Missing regular hours",""),IF(K298="NO RATE","Missing pay rate","")))</x:f>
      </x:c>
    </x:row>
    <x:row r="299" ht="20" customHeight="1">
      <x:c r="A299" s="15"/>
      <x:c r="B299" s="28"/>
      <x:c r="C299" s="15"/>
      <x:c r="D299" s="15"/>
      <x:c r="E299" s="15"/>
      <x:c r="F299" s="15"/>
      <x:c r="G299" s="15"/>
      <x:c r="H299" s="136"/>
      <x:c r="I299" s="136"/>
      <x:c r="J299" s="136" t="str">
        <x:f>IF(COUNTA(H299:I299)=0,"",SUM(H299:I299))</x:f>
      </x:c>
      <x:c r="K299" s="70" t="str">
        <x:f>IF(E299="","",IFERROR(INDEX('05_Employees'!$H:$H,MATCH(E299,'05_Employees'!$A:$A,0)),"NO RATE"))</x:f>
      </x:c>
      <x:c r="L299" s="70" t="str">
        <x:f>IF(OR(J299="",NOT(ISNUMBER(K299))),"",J299*K299)</x:f>
      </x:c>
      <x:c r="M299" s="15"/>
      <x:c r="N299" s="15" t="str">
        <x:f>IF(COUNTA(B299:I299,M299:M299)=0,"",TEXTJOIN("; ",TRUE,IF(B299="","Missing work date",""),IF(C299="","Missing project",""),IF(E299="","Missing employee",""),IF(H299="","Missing regular hours",""),IF(K299="NO RATE","Missing pay rate","")))</x:f>
      </x:c>
    </x:row>
    <x:row r="300" ht="20" customHeight="1">
      <x:c r="A300" s="15"/>
      <x:c r="B300" s="28"/>
      <x:c r="C300" s="15"/>
      <x:c r="D300" s="15"/>
      <x:c r="E300" s="15"/>
      <x:c r="F300" s="15"/>
      <x:c r="G300" s="15"/>
      <x:c r="H300" s="136"/>
      <x:c r="I300" s="136"/>
      <x:c r="J300" s="136" t="str">
        <x:f>IF(COUNTA(H300:I300)=0,"",SUM(H300:I300))</x:f>
      </x:c>
      <x:c r="K300" s="70" t="str">
        <x:f>IF(E300="","",IFERROR(INDEX('05_Employees'!$H:$H,MATCH(E300,'05_Employees'!$A:$A,0)),"NO RATE"))</x:f>
      </x:c>
      <x:c r="L300" s="70" t="str">
        <x:f>IF(OR(J300="",NOT(ISNUMBER(K300))),"",J300*K300)</x:f>
      </x:c>
      <x:c r="M300" s="15"/>
      <x:c r="N300" s="15" t="str">
        <x:f>IF(COUNTA(B300:I300,M300:M300)=0,"",TEXTJOIN("; ",TRUE,IF(B300="","Missing work date",""),IF(C300="","Missing project",""),IF(E300="","Missing employee",""),IF(H300="","Missing regular hours",""),IF(K300="NO RATE","Missing pay rate","")))</x:f>
      </x:c>
    </x:row>
    <x:row r="301" ht="20" customHeight="1">
      <x:c r="A301" s="15"/>
      <x:c r="B301" s="28"/>
      <x:c r="C301" s="15"/>
      <x:c r="D301" s="15"/>
      <x:c r="E301" s="15"/>
      <x:c r="F301" s="15"/>
      <x:c r="G301" s="15"/>
      <x:c r="H301" s="136"/>
      <x:c r="I301" s="136"/>
      <x:c r="J301" s="136" t="str">
        <x:f>IF(COUNTA(H301:I301)=0,"",SUM(H301:I301))</x:f>
      </x:c>
      <x:c r="K301" s="70" t="str">
        <x:f>IF(E301="","",IFERROR(INDEX('05_Employees'!$H:$H,MATCH(E301,'05_Employees'!$A:$A,0)),"NO RATE"))</x:f>
      </x:c>
      <x:c r="L301" s="70" t="str">
        <x:f>IF(OR(J301="",NOT(ISNUMBER(K301))),"",J301*K301)</x:f>
      </x:c>
      <x:c r="M301" s="15"/>
      <x:c r="N301" s="15" t="str">
        <x:f>IF(COUNTA(B301:I301,M301:M301)=0,"",TEXTJOIN("; ",TRUE,IF(B301="","Missing work date",""),IF(C301="","Missing project",""),IF(E301="","Missing employee",""),IF(H301="","Missing regular hours",""),IF(K301="NO RATE","Missing pay rate","")))</x:f>
      </x:c>
    </x:row>
  </x:sheetData>
  <x:conditionalFormatting sqref="N2:N301">
    <x:cfRule type="expression" dxfId="3" priority="1">
      <x:formula>N2&lt;&gt;""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247aee26c6c41b2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8" hidden="0" customWidth="1"/>
    <x:col min="6" max="6" width="12" hidden="0" customWidth="1"/>
    <x:col min="7" max="7" width="10" hidden="0" customWidth="1"/>
    <x:col min="8" max="8" width="12" hidden="0" customWidth="1"/>
    <x:col min="9" max="9" width="14" hidden="0" customWidth="1"/>
    <x:col min="10" max="10" width="12" hidden="0" customWidth="1"/>
    <x:col min="11" max="11" width="18" hidden="0" customWidth="1"/>
    <x:col min="12" max="12" width="48" hidden="0" customWidth="1"/>
  </x:cols>
  <x:sheetData>
    <x:row r="1" ht="30" customHeight="1">
      <x:c r="A1" s="166" t="str">
        <x:v>MaterialID</x:v>
      </x:c>
      <x:c r="B1" s="166" t="str">
        <x:v>WorkDate</x:v>
      </x:c>
      <x:c r="C1" s="166" t="str">
        <x:v>ProjectID</x:v>
      </x:c>
      <x:c r="D1" s="166" t="str">
        <x:v>JobID</x:v>
      </x:c>
      <x:c r="E1" s="166" t="str">
        <x:v>MaterialName</x:v>
      </x:c>
      <x:c r="F1" s="166" t="str">
        <x:v>Quantity</x:v>
      </x:c>
      <x:c r="G1" s="166" t="str">
        <x:v>Unit</x:v>
      </x:c>
      <x:c r="H1" s="166" t="str">
        <x:v>UnitCost</x:v>
      </x:c>
      <x:c r="I1" s="166" t="str">
        <x:v>TotalCost</x:v>
      </x:c>
      <x:c r="J1" s="166" t="str">
        <x:v>Billable</x:v>
      </x:c>
      <x:c r="K1" s="166" t="str">
        <x:v>SourceSubmissionID</x:v>
      </x:c>
      <x:c r="L1" s="166" t="str">
        <x:v>ValidationIssues</x:v>
      </x:c>
    </x:row>
    <x:row r="2" ht="20" customHeight="1">
      <x:c r="A2" s="15" t="str">
        <x:v>MAT-0001</x:v>
      </x:c>
      <x:c r="B2" s="28" t="n">
        <x:v>46204</x:v>
      </x:c>
      <x:c r="C2" s="15" t="str">
        <x:v>PRJ-1001</x:v>
      </x:c>
      <x:c r="D2" s="15" t="str">
        <x:v>JOB-1001</x:v>
      </x:c>
      <x:c r="E2" s="15" t="str">
        <x:v>Conduit</x:v>
      </x:c>
      <x:c r="F2" s="138" t="n">
        <x:v>1200</x:v>
      </x:c>
      <x:c r="G2" s="15" t="str">
        <x:v>lf</x:v>
      </x:c>
      <x:c r="H2" s="70" t="n">
        <x:v>1.15</x:v>
      </x:c>
      <x:c r="I2" s="70" t="n">
        <x:f>IF(OR(F2="",H2=""),"",F2*H2)</x:f>
        <x:v>1380</x:v>
      </x:c>
      <x:c r="J2" s="15" t="str">
        <x:v>Yes</x:v>
      </x:c>
      <x:c r="K2" s="15" t="str">
        <x:v>SUB-0001</x:v>
      </x:c>
      <x:c r="L2" s="15" t="str">
        <x:f>IF(COUNTA(B2:H2,J2:K2)=0,"",TEXTJOIN("; ",TRUE,IF(B2="","Missing work date",""),IF(C2="","Missing project",""),IF(E2="","Missing material",""),IF(F2="","Missing quantity",""),IF(H2="","Missing unit cost","")))</x:f>
      </x:c>
    </x:row>
    <x:row r="3" ht="20" customHeight="1">
      <x:c r="A3" s="15" t="str">
        <x:v>MAT-0002</x:v>
      </x:c>
      <x:c r="B3" s="28" t="n">
        <x:v>46204</x:v>
      </x:c>
      <x:c r="C3" s="15" t="str">
        <x:v>PRJ-1001</x:v>
      </x:c>
      <x:c r="D3" s="15" t="str">
        <x:v>JOB-1002</x:v>
      </x:c>
      <x:c r="E3" s="15" t="str">
        <x:v>Bore mud/additives</x:v>
      </x:c>
      <x:c r="F3" s="138" t="n">
        <x:v>3</x:v>
      </x:c>
      <x:c r="G3" s="15" t="str">
        <x:v>each</x:v>
      </x:c>
      <x:c r="H3" s="70" t="n">
        <x:v>85</x:v>
      </x:c>
      <x:c r="I3" s="70" t="n">
        <x:f>IF(OR(F3="",H3=""),"",F3*H3)</x:f>
        <x:v>255</x:v>
      </x:c>
      <x:c r="J3" s="15" t="str">
        <x:v>Yes</x:v>
      </x:c>
      <x:c r="K3" s="15" t="str">
        <x:v>SUB-0002</x:v>
      </x:c>
      <x:c r="L3" s="15" t="str">
        <x:f>IF(COUNTA(B3:H3,J3:K3)=0,"",TEXTJOIN("; ",TRUE,IF(B3="","Missing work date",""),IF(C3="","Missing project",""),IF(E3="","Missing material",""),IF(F3="","Missing quantity",""),IF(H3="","Missing unit cost","")))</x:f>
      </x:c>
    </x:row>
    <x:row r="4" ht="20" customHeight="1">
      <x:c r="A4" s="15" t="str">
        <x:v>MAT-0003</x:v>
      </x:c>
      <x:c r="B4" s="28" t="n">
        <x:v>46205</x:v>
      </x:c>
      <x:c r="C4" s="15" t="str">
        <x:v>PRJ-1001</x:v>
      </x:c>
      <x:c r="D4" s="15" t="str">
        <x:v>JOB-1001</x:v>
      </x:c>
      <x:c r="E4" s="15" t="str">
        <x:v>Warning tape</x:v>
      </x:c>
      <x:c r="F4" s="138" t="n">
        <x:v>1400</x:v>
      </x:c>
      <x:c r="G4" s="15" t="str">
        <x:v>lf</x:v>
      </x:c>
      <x:c r="H4" s="70" t="n">
        <x:v>0.09</x:v>
      </x:c>
      <x:c r="I4" s="70" t="n">
        <x:f>IF(OR(F4="",H4=""),"",F4*H4)</x:f>
        <x:v>126</x:v>
      </x:c>
      <x:c r="J4" s="15" t="str">
        <x:v>Yes</x:v>
      </x:c>
      <x:c r="K4" s="15" t="str">
        <x:v>SUB-0004</x:v>
      </x:c>
      <x:c r="L4" s="15" t="str">
        <x:f>IF(COUNTA(B4:H4,J4:K4)=0,"",TEXTJOIN("; ",TRUE,IF(B4="","Missing work date",""),IF(C4="","Missing project",""),IF(E4="","Missing material",""),IF(F4="","Missing quantity",""),IF(H4="","Missing unit cost","")))</x:f>
      </x:c>
    </x:row>
    <x:row r="5" ht="20" customHeight="1">
      <x:c r="A5" s="15"/>
      <x:c r="B5" s="28"/>
      <x:c r="C5" s="15"/>
      <x:c r="D5" s="15"/>
      <x:c r="E5" s="15"/>
      <x:c r="F5" s="138"/>
      <x:c r="G5" s="15"/>
      <x:c r="H5" s="70"/>
      <x:c r="I5" s="70" t="str">
        <x:f>IF(OR(F5="",H5=""),"",F5*H5)</x:f>
      </x:c>
      <x:c r="J5" s="15"/>
      <x:c r="K5" s="15"/>
      <x:c r="L5" s="15" t="str">
        <x:f>IF(COUNTA(B5:H5,J5:K5)=0,"",TEXTJOIN("; ",TRUE,IF(B5="","Missing work date",""),IF(C5="","Missing project",""),IF(E5="","Missing material",""),IF(F5="","Missing quantity",""),IF(H5="","Missing unit cost","")))</x:f>
      </x:c>
    </x:row>
    <x:row r="6" ht="20" customHeight="1">
      <x:c r="A6" s="15"/>
      <x:c r="B6" s="28"/>
      <x:c r="C6" s="15"/>
      <x:c r="D6" s="15"/>
      <x:c r="E6" s="15"/>
      <x:c r="F6" s="138"/>
      <x:c r="G6" s="15"/>
      <x:c r="H6" s="70"/>
      <x:c r="I6" s="70" t="str">
        <x:f>IF(OR(F6="",H6=""),"",F6*H6)</x:f>
      </x:c>
      <x:c r="J6" s="15"/>
      <x:c r="K6" s="15"/>
      <x:c r="L6" s="15" t="str">
        <x:f>IF(COUNTA(B6:H6,J6:K6)=0,"",TEXTJOIN("; ",TRUE,IF(B6="","Missing work date",""),IF(C6="","Missing project",""),IF(E6="","Missing material",""),IF(F6="","Missing quantity",""),IF(H6="","Missing unit cost","")))</x:f>
      </x:c>
    </x:row>
    <x:row r="7" ht="20" customHeight="1">
      <x:c r="A7" s="15"/>
      <x:c r="B7" s="28"/>
      <x:c r="C7" s="15"/>
      <x:c r="D7" s="15"/>
      <x:c r="E7" s="15"/>
      <x:c r="F7" s="138"/>
      <x:c r="G7" s="15"/>
      <x:c r="H7" s="70"/>
      <x:c r="I7" s="70" t="str">
        <x:f>IF(OR(F7="",H7=""),"",F7*H7)</x:f>
      </x:c>
      <x:c r="J7" s="15"/>
      <x:c r="K7" s="15"/>
      <x:c r="L7" s="15" t="str">
        <x:f>IF(COUNTA(B7:H7,J7:K7)=0,"",TEXTJOIN("; ",TRUE,IF(B7="","Missing work date",""),IF(C7="","Missing project",""),IF(E7="","Missing material",""),IF(F7="","Missing quantity",""),IF(H7="","Missing unit cost","")))</x:f>
      </x:c>
    </x:row>
    <x:row r="8" ht="20" customHeight="1">
      <x:c r="A8" s="15"/>
      <x:c r="B8" s="28"/>
      <x:c r="C8" s="15"/>
      <x:c r="D8" s="15"/>
      <x:c r="E8" s="15"/>
      <x:c r="F8" s="138"/>
      <x:c r="G8" s="15"/>
      <x:c r="H8" s="70"/>
      <x:c r="I8" s="70" t="str">
        <x:f>IF(OR(F8="",H8=""),"",F8*H8)</x:f>
      </x:c>
      <x:c r="J8" s="15"/>
      <x:c r="K8" s="15"/>
      <x:c r="L8" s="15" t="str">
        <x:f>IF(COUNTA(B8:H8,J8:K8)=0,"",TEXTJOIN("; ",TRUE,IF(B8="","Missing work date",""),IF(C8="","Missing project",""),IF(E8="","Missing material",""),IF(F8="","Missing quantity",""),IF(H8="","Missing unit cost","")))</x:f>
      </x:c>
    </x:row>
    <x:row r="9" ht="20" customHeight="1">
      <x:c r="A9" s="15"/>
      <x:c r="B9" s="28"/>
      <x:c r="C9" s="15"/>
      <x:c r="D9" s="15"/>
      <x:c r="E9" s="15"/>
      <x:c r="F9" s="138"/>
      <x:c r="G9" s="15"/>
      <x:c r="H9" s="70"/>
      <x:c r="I9" s="70" t="str">
        <x:f>IF(OR(F9="",H9=""),"",F9*H9)</x:f>
      </x:c>
      <x:c r="J9" s="15"/>
      <x:c r="K9" s="15"/>
      <x:c r="L9" s="15" t="str">
        <x:f>IF(COUNTA(B9:H9,J9:K9)=0,"",TEXTJOIN("; ",TRUE,IF(B9="","Missing work date",""),IF(C9="","Missing project",""),IF(E9="","Missing material",""),IF(F9="","Missing quantity",""),IF(H9="","Missing unit cost","")))</x:f>
      </x:c>
    </x:row>
    <x:row r="10" ht="20" customHeight="1">
      <x:c r="A10" s="15"/>
      <x:c r="B10" s="28"/>
      <x:c r="C10" s="15"/>
      <x:c r="D10" s="15"/>
      <x:c r="E10" s="15"/>
      <x:c r="F10" s="138"/>
      <x:c r="G10" s="15"/>
      <x:c r="H10" s="70"/>
      <x:c r="I10" s="70" t="str">
        <x:f>IF(OR(F10="",H10=""),"",F10*H10)</x:f>
      </x:c>
      <x:c r="J10" s="15"/>
      <x:c r="K10" s="15"/>
      <x:c r="L10" s="15" t="str">
        <x:f>IF(COUNTA(B10:H10,J10:K10)=0,"",TEXTJOIN("; ",TRUE,IF(B10="","Missing work date",""),IF(C10="","Missing project",""),IF(E10="","Missing material",""),IF(F10="","Missing quantity",""),IF(H10="","Missing unit cost","")))</x:f>
      </x:c>
    </x:row>
    <x:row r="11" ht="20" customHeight="1">
      <x:c r="A11" s="15"/>
      <x:c r="B11" s="28"/>
      <x:c r="C11" s="15"/>
      <x:c r="D11" s="15"/>
      <x:c r="E11" s="15"/>
      <x:c r="F11" s="138"/>
      <x:c r="G11" s="15"/>
      <x:c r="H11" s="70"/>
      <x:c r="I11" s="70" t="str">
        <x:f>IF(OR(F11="",H11=""),"",F11*H11)</x:f>
      </x:c>
      <x:c r="J11" s="15"/>
      <x:c r="K11" s="15"/>
      <x:c r="L11" s="15" t="str">
        <x:f>IF(COUNTA(B11:H11,J11:K11)=0,"",TEXTJOIN("; ",TRUE,IF(B11="","Missing work date",""),IF(C11="","Missing project",""),IF(E11="","Missing material",""),IF(F11="","Missing quantity",""),IF(H11="","Missing unit cost","")))</x:f>
      </x:c>
    </x:row>
    <x:row r="12" ht="20" customHeight="1">
      <x:c r="A12" s="15"/>
      <x:c r="B12" s="28"/>
      <x:c r="C12" s="15"/>
      <x:c r="D12" s="15"/>
      <x:c r="E12" s="15"/>
      <x:c r="F12" s="138"/>
      <x:c r="G12" s="15"/>
      <x:c r="H12" s="70"/>
      <x:c r="I12" s="70" t="str">
        <x:f>IF(OR(F12="",H12=""),"",F12*H12)</x:f>
      </x:c>
      <x:c r="J12" s="15"/>
      <x:c r="K12" s="15"/>
      <x:c r="L12" s="15" t="str">
        <x:f>IF(COUNTA(B12:H12,J12:K12)=0,"",TEXTJOIN("; ",TRUE,IF(B12="","Missing work date",""),IF(C12="","Missing project",""),IF(E12="","Missing material",""),IF(F12="","Missing quantity",""),IF(H12="","Missing unit cost","")))</x:f>
      </x:c>
    </x:row>
    <x:row r="13" ht="20" customHeight="1">
      <x:c r="A13" s="15"/>
      <x:c r="B13" s="28"/>
      <x:c r="C13" s="15"/>
      <x:c r="D13" s="15"/>
      <x:c r="E13" s="15"/>
      <x:c r="F13" s="138"/>
      <x:c r="G13" s="15"/>
      <x:c r="H13" s="70"/>
      <x:c r="I13" s="70" t="str">
        <x:f>IF(OR(F13="",H13=""),"",F13*H13)</x:f>
      </x:c>
      <x:c r="J13" s="15"/>
      <x:c r="K13" s="15"/>
      <x:c r="L13" s="15" t="str">
        <x:f>IF(COUNTA(B13:H13,J13:K13)=0,"",TEXTJOIN("; ",TRUE,IF(B13="","Missing work date",""),IF(C13="","Missing project",""),IF(E13="","Missing material",""),IF(F13="","Missing quantity",""),IF(H13="","Missing unit cost","")))</x:f>
      </x:c>
    </x:row>
    <x:row r="14" ht="20" customHeight="1">
      <x:c r="A14" s="15"/>
      <x:c r="B14" s="28"/>
      <x:c r="C14" s="15"/>
      <x:c r="D14" s="15"/>
      <x:c r="E14" s="15"/>
      <x:c r="F14" s="138"/>
      <x:c r="G14" s="15"/>
      <x:c r="H14" s="70"/>
      <x:c r="I14" s="70" t="str">
        <x:f>IF(OR(F14="",H14=""),"",F14*H14)</x:f>
      </x:c>
      <x:c r="J14" s="15"/>
      <x:c r="K14" s="15"/>
      <x:c r="L14" s="15" t="str">
        <x:f>IF(COUNTA(B14:H14,J14:K14)=0,"",TEXTJOIN("; ",TRUE,IF(B14="","Missing work date",""),IF(C14="","Missing project",""),IF(E14="","Missing material",""),IF(F14="","Missing quantity",""),IF(H14="","Missing unit cost","")))</x:f>
      </x:c>
    </x:row>
    <x:row r="15" ht="20" customHeight="1">
      <x:c r="A15" s="15"/>
      <x:c r="B15" s="28"/>
      <x:c r="C15" s="15"/>
      <x:c r="D15" s="15"/>
      <x:c r="E15" s="15"/>
      <x:c r="F15" s="138"/>
      <x:c r="G15" s="15"/>
      <x:c r="H15" s="70"/>
      <x:c r="I15" s="70" t="str">
        <x:f>IF(OR(F15="",H15=""),"",F15*H15)</x:f>
      </x:c>
      <x:c r="J15" s="15"/>
      <x:c r="K15" s="15"/>
      <x:c r="L15" s="15" t="str">
        <x:f>IF(COUNTA(B15:H15,J15:K15)=0,"",TEXTJOIN("; ",TRUE,IF(B15="","Missing work date",""),IF(C15="","Missing project",""),IF(E15="","Missing material",""),IF(F15="","Missing quantity",""),IF(H15="","Missing unit cost","")))</x:f>
      </x:c>
    </x:row>
    <x:row r="16" ht="20" customHeight="1">
      <x:c r="A16" s="15"/>
      <x:c r="B16" s="28"/>
      <x:c r="C16" s="15"/>
      <x:c r="D16" s="15"/>
      <x:c r="E16" s="15"/>
      <x:c r="F16" s="138"/>
      <x:c r="G16" s="15"/>
      <x:c r="H16" s="70"/>
      <x:c r="I16" s="70" t="str">
        <x:f>IF(OR(F16="",H16=""),"",F16*H16)</x:f>
      </x:c>
      <x:c r="J16" s="15"/>
      <x:c r="K16" s="15"/>
      <x:c r="L16" s="15" t="str">
        <x:f>IF(COUNTA(B16:H16,J16:K16)=0,"",TEXTJOIN("; ",TRUE,IF(B16="","Missing work date",""),IF(C16="","Missing project",""),IF(E16="","Missing material",""),IF(F16="","Missing quantity",""),IF(H16="","Missing unit cost","")))</x:f>
      </x:c>
    </x:row>
    <x:row r="17" ht="20" customHeight="1">
      <x:c r="A17" s="15"/>
      <x:c r="B17" s="28"/>
      <x:c r="C17" s="15"/>
      <x:c r="D17" s="15"/>
      <x:c r="E17" s="15"/>
      <x:c r="F17" s="138"/>
      <x:c r="G17" s="15"/>
      <x:c r="H17" s="70"/>
      <x:c r="I17" s="70" t="str">
        <x:f>IF(OR(F17="",H17=""),"",F17*H17)</x:f>
      </x:c>
      <x:c r="J17" s="15"/>
      <x:c r="K17" s="15"/>
      <x:c r="L17" s="15" t="str">
        <x:f>IF(COUNTA(B17:H17,J17:K17)=0,"",TEXTJOIN("; ",TRUE,IF(B17="","Missing work date",""),IF(C17="","Missing project",""),IF(E17="","Missing material",""),IF(F17="","Missing quantity",""),IF(H17="","Missing unit cost","")))</x:f>
      </x:c>
    </x:row>
    <x:row r="18" ht="20" customHeight="1">
      <x:c r="A18" s="15"/>
      <x:c r="B18" s="28"/>
      <x:c r="C18" s="15"/>
      <x:c r="D18" s="15"/>
      <x:c r="E18" s="15"/>
      <x:c r="F18" s="138"/>
      <x:c r="G18" s="15"/>
      <x:c r="H18" s="70"/>
      <x:c r="I18" s="70" t="str">
        <x:f>IF(OR(F18="",H18=""),"",F18*H18)</x:f>
      </x:c>
      <x:c r="J18" s="15"/>
      <x:c r="K18" s="15"/>
      <x:c r="L18" s="15" t="str">
        <x:f>IF(COUNTA(B18:H18,J18:K18)=0,"",TEXTJOIN("; ",TRUE,IF(B18="","Missing work date",""),IF(C18="","Missing project",""),IF(E18="","Missing material",""),IF(F18="","Missing quantity",""),IF(H18="","Missing unit cost","")))</x:f>
      </x:c>
    </x:row>
    <x:row r="19" ht="20" customHeight="1">
      <x:c r="A19" s="15"/>
      <x:c r="B19" s="28"/>
      <x:c r="C19" s="15"/>
      <x:c r="D19" s="15"/>
      <x:c r="E19" s="15"/>
      <x:c r="F19" s="138"/>
      <x:c r="G19" s="15"/>
      <x:c r="H19" s="70"/>
      <x:c r="I19" s="70" t="str">
        <x:f>IF(OR(F19="",H19=""),"",F19*H19)</x:f>
      </x:c>
      <x:c r="J19" s="15"/>
      <x:c r="K19" s="15"/>
      <x:c r="L19" s="15" t="str">
        <x:f>IF(COUNTA(B19:H19,J19:K19)=0,"",TEXTJOIN("; ",TRUE,IF(B19="","Missing work date",""),IF(C19="","Missing project",""),IF(E19="","Missing material",""),IF(F19="","Missing quantity",""),IF(H19="","Missing unit cost","")))</x:f>
      </x:c>
    </x:row>
    <x:row r="20" ht="20" customHeight="1">
      <x:c r="A20" s="15"/>
      <x:c r="B20" s="28"/>
      <x:c r="C20" s="15"/>
      <x:c r="D20" s="15"/>
      <x:c r="E20" s="15"/>
      <x:c r="F20" s="138"/>
      <x:c r="G20" s="15"/>
      <x:c r="H20" s="70"/>
      <x:c r="I20" s="70" t="str">
        <x:f>IF(OR(F20="",H20=""),"",F20*H20)</x:f>
      </x:c>
      <x:c r="J20" s="15"/>
      <x:c r="K20" s="15"/>
      <x:c r="L20" s="15" t="str">
        <x:f>IF(COUNTA(B20:H20,J20:K20)=0,"",TEXTJOIN("; ",TRUE,IF(B20="","Missing work date",""),IF(C20="","Missing project",""),IF(E20="","Missing material",""),IF(F20="","Missing quantity",""),IF(H20="","Missing unit cost","")))</x:f>
      </x:c>
    </x:row>
    <x:row r="21" ht="20" customHeight="1">
      <x:c r="A21" s="15"/>
      <x:c r="B21" s="28"/>
      <x:c r="C21" s="15"/>
      <x:c r="D21" s="15"/>
      <x:c r="E21" s="15"/>
      <x:c r="F21" s="138"/>
      <x:c r="G21" s="15"/>
      <x:c r="H21" s="70"/>
      <x:c r="I21" s="70" t="str">
        <x:f>IF(OR(F21="",H21=""),"",F21*H21)</x:f>
      </x:c>
      <x:c r="J21" s="15"/>
      <x:c r="K21" s="15"/>
      <x:c r="L21" s="15" t="str">
        <x:f>IF(COUNTA(B21:H21,J21:K21)=0,"",TEXTJOIN("; ",TRUE,IF(B21="","Missing work date",""),IF(C21="","Missing project",""),IF(E21="","Missing material",""),IF(F21="","Missing quantity",""),IF(H21="","Missing unit cost","")))</x:f>
      </x:c>
    </x:row>
    <x:row r="22" ht="20" customHeight="1">
      <x:c r="A22" s="15"/>
      <x:c r="B22" s="28"/>
      <x:c r="C22" s="15"/>
      <x:c r="D22" s="15"/>
      <x:c r="E22" s="15"/>
      <x:c r="F22" s="138"/>
      <x:c r="G22" s="15"/>
      <x:c r="H22" s="70"/>
      <x:c r="I22" s="70" t="str">
        <x:f>IF(OR(F22="",H22=""),"",F22*H22)</x:f>
      </x:c>
      <x:c r="J22" s="15"/>
      <x:c r="K22" s="15"/>
      <x:c r="L22" s="15" t="str">
        <x:f>IF(COUNTA(B22:H22,J22:K22)=0,"",TEXTJOIN("; ",TRUE,IF(B22="","Missing work date",""),IF(C22="","Missing project",""),IF(E22="","Missing material",""),IF(F22="","Missing quantity",""),IF(H22="","Missing unit cost","")))</x:f>
      </x:c>
    </x:row>
    <x:row r="23" ht="20" customHeight="1">
      <x:c r="A23" s="15"/>
      <x:c r="B23" s="28"/>
      <x:c r="C23" s="15"/>
      <x:c r="D23" s="15"/>
      <x:c r="E23" s="15"/>
      <x:c r="F23" s="138"/>
      <x:c r="G23" s="15"/>
      <x:c r="H23" s="70"/>
      <x:c r="I23" s="70" t="str">
        <x:f>IF(OR(F23="",H23=""),"",F23*H23)</x:f>
      </x:c>
      <x:c r="J23" s="15"/>
      <x:c r="K23" s="15"/>
      <x:c r="L23" s="15" t="str">
        <x:f>IF(COUNTA(B23:H23,J23:K23)=0,"",TEXTJOIN("; ",TRUE,IF(B23="","Missing work date",""),IF(C23="","Missing project",""),IF(E23="","Missing material",""),IF(F23="","Missing quantity",""),IF(H23="","Missing unit cost","")))</x:f>
      </x:c>
    </x:row>
    <x:row r="24" ht="20" customHeight="1">
      <x:c r="A24" s="15"/>
      <x:c r="B24" s="28"/>
      <x:c r="C24" s="15"/>
      <x:c r="D24" s="15"/>
      <x:c r="E24" s="15"/>
      <x:c r="F24" s="138"/>
      <x:c r="G24" s="15"/>
      <x:c r="H24" s="70"/>
      <x:c r="I24" s="70" t="str">
        <x:f>IF(OR(F24="",H24=""),"",F24*H24)</x:f>
      </x:c>
      <x:c r="J24" s="15"/>
      <x:c r="K24" s="15"/>
      <x:c r="L24" s="15" t="str">
        <x:f>IF(COUNTA(B24:H24,J24:K24)=0,"",TEXTJOIN("; ",TRUE,IF(B24="","Missing work date",""),IF(C24="","Missing project",""),IF(E24="","Missing material",""),IF(F24="","Missing quantity",""),IF(H24="","Missing unit cost","")))</x:f>
      </x:c>
    </x:row>
    <x:row r="25" ht="20" customHeight="1">
      <x:c r="A25" s="15"/>
      <x:c r="B25" s="28"/>
      <x:c r="C25" s="15"/>
      <x:c r="D25" s="15"/>
      <x:c r="E25" s="15"/>
      <x:c r="F25" s="138"/>
      <x:c r="G25" s="15"/>
      <x:c r="H25" s="70"/>
      <x:c r="I25" s="70" t="str">
        <x:f>IF(OR(F25="",H25=""),"",F25*H25)</x:f>
      </x:c>
      <x:c r="J25" s="15"/>
      <x:c r="K25" s="15"/>
      <x:c r="L25" s="15" t="str">
        <x:f>IF(COUNTA(B25:H25,J25:K25)=0,"",TEXTJOIN("; ",TRUE,IF(B25="","Missing work date",""),IF(C25="","Missing project",""),IF(E25="","Missing material",""),IF(F25="","Missing quantity",""),IF(H25="","Missing unit cost","")))</x:f>
      </x:c>
    </x:row>
    <x:row r="26" ht="20" customHeight="1">
      <x:c r="A26" s="15"/>
      <x:c r="B26" s="28"/>
      <x:c r="C26" s="15"/>
      <x:c r="D26" s="15"/>
      <x:c r="E26" s="15"/>
      <x:c r="F26" s="138"/>
      <x:c r="G26" s="15"/>
      <x:c r="H26" s="70"/>
      <x:c r="I26" s="70" t="str">
        <x:f>IF(OR(F26="",H26=""),"",F26*H26)</x:f>
      </x:c>
      <x:c r="J26" s="15"/>
      <x:c r="K26" s="15"/>
      <x:c r="L26" s="15" t="str">
        <x:f>IF(COUNTA(B26:H26,J26:K26)=0,"",TEXTJOIN("; ",TRUE,IF(B26="","Missing work date",""),IF(C26="","Missing project",""),IF(E26="","Missing material",""),IF(F26="","Missing quantity",""),IF(H26="","Missing unit cost","")))</x:f>
      </x:c>
    </x:row>
    <x:row r="27" ht="20" customHeight="1">
      <x:c r="A27" s="15"/>
      <x:c r="B27" s="28"/>
      <x:c r="C27" s="15"/>
      <x:c r="D27" s="15"/>
      <x:c r="E27" s="15"/>
      <x:c r="F27" s="138"/>
      <x:c r="G27" s="15"/>
      <x:c r="H27" s="70"/>
      <x:c r="I27" s="70" t="str">
        <x:f>IF(OR(F27="",H27=""),"",F27*H27)</x:f>
      </x:c>
      <x:c r="J27" s="15"/>
      <x:c r="K27" s="15"/>
      <x:c r="L27" s="15" t="str">
        <x:f>IF(COUNTA(B27:H27,J27:K27)=0,"",TEXTJOIN("; ",TRUE,IF(B27="","Missing work date",""),IF(C27="","Missing project",""),IF(E27="","Missing material",""),IF(F27="","Missing quantity",""),IF(H27="","Missing unit cost","")))</x:f>
      </x:c>
    </x:row>
    <x:row r="28" ht="20" customHeight="1">
      <x:c r="A28" s="15"/>
      <x:c r="B28" s="28"/>
      <x:c r="C28" s="15"/>
      <x:c r="D28" s="15"/>
      <x:c r="E28" s="15"/>
      <x:c r="F28" s="138"/>
      <x:c r="G28" s="15"/>
      <x:c r="H28" s="70"/>
      <x:c r="I28" s="70" t="str">
        <x:f>IF(OR(F28="",H28=""),"",F28*H28)</x:f>
      </x:c>
      <x:c r="J28" s="15"/>
      <x:c r="K28" s="15"/>
      <x:c r="L28" s="15" t="str">
        <x:f>IF(COUNTA(B28:H28,J28:K28)=0,"",TEXTJOIN("; ",TRUE,IF(B28="","Missing work date",""),IF(C28="","Missing project",""),IF(E28="","Missing material",""),IF(F28="","Missing quantity",""),IF(H28="","Missing unit cost","")))</x:f>
      </x:c>
    </x:row>
    <x:row r="29" ht="20" customHeight="1">
      <x:c r="A29" s="15"/>
      <x:c r="B29" s="28"/>
      <x:c r="C29" s="15"/>
      <x:c r="D29" s="15"/>
      <x:c r="E29" s="15"/>
      <x:c r="F29" s="138"/>
      <x:c r="G29" s="15"/>
      <x:c r="H29" s="70"/>
      <x:c r="I29" s="70" t="str">
        <x:f>IF(OR(F29="",H29=""),"",F29*H29)</x:f>
      </x:c>
      <x:c r="J29" s="15"/>
      <x:c r="K29" s="15"/>
      <x:c r="L29" s="15" t="str">
        <x:f>IF(COUNTA(B29:H29,J29:K29)=0,"",TEXTJOIN("; ",TRUE,IF(B29="","Missing work date",""),IF(C29="","Missing project",""),IF(E29="","Missing material",""),IF(F29="","Missing quantity",""),IF(H29="","Missing unit cost","")))</x:f>
      </x:c>
    </x:row>
    <x:row r="30" ht="20" customHeight="1">
      <x:c r="A30" s="15"/>
      <x:c r="B30" s="28"/>
      <x:c r="C30" s="15"/>
      <x:c r="D30" s="15"/>
      <x:c r="E30" s="15"/>
      <x:c r="F30" s="138"/>
      <x:c r="G30" s="15"/>
      <x:c r="H30" s="70"/>
      <x:c r="I30" s="70" t="str">
        <x:f>IF(OR(F30="",H30=""),"",F30*H30)</x:f>
      </x:c>
      <x:c r="J30" s="15"/>
      <x:c r="K30" s="15"/>
      <x:c r="L30" s="15" t="str">
        <x:f>IF(COUNTA(B30:H30,J30:K30)=0,"",TEXTJOIN("; ",TRUE,IF(B30="","Missing work date",""),IF(C30="","Missing project",""),IF(E30="","Missing material",""),IF(F30="","Missing quantity",""),IF(H30="","Missing unit cost","")))</x:f>
      </x:c>
    </x:row>
    <x:row r="31" ht="20" customHeight="1">
      <x:c r="A31" s="15"/>
      <x:c r="B31" s="28"/>
      <x:c r="C31" s="15"/>
      <x:c r="D31" s="15"/>
      <x:c r="E31" s="15"/>
      <x:c r="F31" s="138"/>
      <x:c r="G31" s="15"/>
      <x:c r="H31" s="70"/>
      <x:c r="I31" s="70" t="str">
        <x:f>IF(OR(F31="",H31=""),"",F31*H31)</x:f>
      </x:c>
      <x:c r="J31" s="15"/>
      <x:c r="K31" s="15"/>
      <x:c r="L31" s="15" t="str">
        <x:f>IF(COUNTA(B31:H31,J31:K31)=0,"",TEXTJOIN("; ",TRUE,IF(B31="","Missing work date",""),IF(C31="","Missing project",""),IF(E31="","Missing material",""),IF(F31="","Missing quantity",""),IF(H31="","Missing unit cost","")))</x:f>
      </x:c>
    </x:row>
    <x:row r="32" ht="20" customHeight="1">
      <x:c r="A32" s="15"/>
      <x:c r="B32" s="28"/>
      <x:c r="C32" s="15"/>
      <x:c r="D32" s="15"/>
      <x:c r="E32" s="15"/>
      <x:c r="F32" s="138"/>
      <x:c r="G32" s="15"/>
      <x:c r="H32" s="70"/>
      <x:c r="I32" s="70" t="str">
        <x:f>IF(OR(F32="",H32=""),"",F32*H32)</x:f>
      </x:c>
      <x:c r="J32" s="15"/>
      <x:c r="K32" s="15"/>
      <x:c r="L32" s="15" t="str">
        <x:f>IF(COUNTA(B32:H32,J32:K32)=0,"",TEXTJOIN("; ",TRUE,IF(B32="","Missing work date",""),IF(C32="","Missing project",""),IF(E32="","Missing material",""),IF(F32="","Missing quantity",""),IF(H32="","Missing unit cost","")))</x:f>
      </x:c>
    </x:row>
    <x:row r="33" ht="20" customHeight="1">
      <x:c r="A33" s="15"/>
      <x:c r="B33" s="28"/>
      <x:c r="C33" s="15"/>
      <x:c r="D33" s="15"/>
      <x:c r="E33" s="15"/>
      <x:c r="F33" s="138"/>
      <x:c r="G33" s="15"/>
      <x:c r="H33" s="70"/>
      <x:c r="I33" s="70" t="str">
        <x:f>IF(OR(F33="",H33=""),"",F33*H33)</x:f>
      </x:c>
      <x:c r="J33" s="15"/>
      <x:c r="K33" s="15"/>
      <x:c r="L33" s="15" t="str">
        <x:f>IF(COUNTA(B33:H33,J33:K33)=0,"",TEXTJOIN("; ",TRUE,IF(B33="","Missing work date",""),IF(C33="","Missing project",""),IF(E33="","Missing material",""),IF(F33="","Missing quantity",""),IF(H33="","Missing unit cost","")))</x:f>
      </x:c>
    </x:row>
    <x:row r="34" ht="20" customHeight="1">
      <x:c r="A34" s="15"/>
      <x:c r="B34" s="28"/>
      <x:c r="C34" s="15"/>
      <x:c r="D34" s="15"/>
      <x:c r="E34" s="15"/>
      <x:c r="F34" s="138"/>
      <x:c r="G34" s="15"/>
      <x:c r="H34" s="70"/>
      <x:c r="I34" s="70" t="str">
        <x:f>IF(OR(F34="",H34=""),"",F34*H34)</x:f>
      </x:c>
      <x:c r="J34" s="15"/>
      <x:c r="K34" s="15"/>
      <x:c r="L34" s="15" t="str">
        <x:f>IF(COUNTA(B34:H34,J34:K34)=0,"",TEXTJOIN("; ",TRUE,IF(B34="","Missing work date",""),IF(C34="","Missing project",""),IF(E34="","Missing material",""),IF(F34="","Missing quantity",""),IF(H34="","Missing unit cost","")))</x:f>
      </x:c>
    </x:row>
    <x:row r="35" ht="20" customHeight="1">
      <x:c r="A35" s="15"/>
      <x:c r="B35" s="28"/>
      <x:c r="C35" s="15"/>
      <x:c r="D35" s="15"/>
      <x:c r="E35" s="15"/>
      <x:c r="F35" s="138"/>
      <x:c r="G35" s="15"/>
      <x:c r="H35" s="70"/>
      <x:c r="I35" s="70" t="str">
        <x:f>IF(OR(F35="",H35=""),"",F35*H35)</x:f>
      </x:c>
      <x:c r="J35" s="15"/>
      <x:c r="K35" s="15"/>
      <x:c r="L35" s="15" t="str">
        <x:f>IF(COUNTA(B35:H35,J35:K35)=0,"",TEXTJOIN("; ",TRUE,IF(B35="","Missing work date",""),IF(C35="","Missing project",""),IF(E35="","Missing material",""),IF(F35="","Missing quantity",""),IF(H35="","Missing unit cost","")))</x:f>
      </x:c>
    </x:row>
    <x:row r="36" ht="20" customHeight="1">
      <x:c r="A36" s="15"/>
      <x:c r="B36" s="28"/>
      <x:c r="C36" s="15"/>
      <x:c r="D36" s="15"/>
      <x:c r="E36" s="15"/>
      <x:c r="F36" s="138"/>
      <x:c r="G36" s="15"/>
      <x:c r="H36" s="70"/>
      <x:c r="I36" s="70" t="str">
        <x:f>IF(OR(F36="",H36=""),"",F36*H36)</x:f>
      </x:c>
      <x:c r="J36" s="15"/>
      <x:c r="K36" s="15"/>
      <x:c r="L36" s="15" t="str">
        <x:f>IF(COUNTA(B36:H36,J36:K36)=0,"",TEXTJOIN("; ",TRUE,IF(B36="","Missing work date",""),IF(C36="","Missing project",""),IF(E36="","Missing material",""),IF(F36="","Missing quantity",""),IF(H36="","Missing unit cost","")))</x:f>
      </x:c>
    </x:row>
    <x:row r="37" ht="20" customHeight="1">
      <x:c r="A37" s="15"/>
      <x:c r="B37" s="28"/>
      <x:c r="C37" s="15"/>
      <x:c r="D37" s="15"/>
      <x:c r="E37" s="15"/>
      <x:c r="F37" s="138"/>
      <x:c r="G37" s="15"/>
      <x:c r="H37" s="70"/>
      <x:c r="I37" s="70" t="str">
        <x:f>IF(OR(F37="",H37=""),"",F37*H37)</x:f>
      </x:c>
      <x:c r="J37" s="15"/>
      <x:c r="K37" s="15"/>
      <x:c r="L37" s="15" t="str">
        <x:f>IF(COUNTA(B37:H37,J37:K37)=0,"",TEXTJOIN("; ",TRUE,IF(B37="","Missing work date",""),IF(C37="","Missing project",""),IF(E37="","Missing material",""),IF(F37="","Missing quantity",""),IF(H37="","Missing unit cost","")))</x:f>
      </x:c>
    </x:row>
    <x:row r="38" ht="20" customHeight="1">
      <x:c r="A38" s="15"/>
      <x:c r="B38" s="28"/>
      <x:c r="C38" s="15"/>
      <x:c r="D38" s="15"/>
      <x:c r="E38" s="15"/>
      <x:c r="F38" s="138"/>
      <x:c r="G38" s="15"/>
      <x:c r="H38" s="70"/>
      <x:c r="I38" s="70" t="str">
        <x:f>IF(OR(F38="",H38=""),"",F38*H38)</x:f>
      </x:c>
      <x:c r="J38" s="15"/>
      <x:c r="K38" s="15"/>
      <x:c r="L38" s="15" t="str">
        <x:f>IF(COUNTA(B38:H38,J38:K38)=0,"",TEXTJOIN("; ",TRUE,IF(B38="","Missing work date",""),IF(C38="","Missing project",""),IF(E38="","Missing material",""),IF(F38="","Missing quantity",""),IF(H38="","Missing unit cost","")))</x:f>
      </x:c>
    </x:row>
    <x:row r="39" ht="20" customHeight="1">
      <x:c r="A39" s="15"/>
      <x:c r="B39" s="28"/>
      <x:c r="C39" s="15"/>
      <x:c r="D39" s="15"/>
      <x:c r="E39" s="15"/>
      <x:c r="F39" s="138"/>
      <x:c r="G39" s="15"/>
      <x:c r="H39" s="70"/>
      <x:c r="I39" s="70" t="str">
        <x:f>IF(OR(F39="",H39=""),"",F39*H39)</x:f>
      </x:c>
      <x:c r="J39" s="15"/>
      <x:c r="K39" s="15"/>
      <x:c r="L39" s="15" t="str">
        <x:f>IF(COUNTA(B39:H39,J39:K39)=0,"",TEXTJOIN("; ",TRUE,IF(B39="","Missing work date",""),IF(C39="","Missing project",""),IF(E39="","Missing material",""),IF(F39="","Missing quantity",""),IF(H39="","Missing unit cost","")))</x:f>
      </x:c>
    </x:row>
    <x:row r="40" ht="20" customHeight="1">
      <x:c r="A40" s="15"/>
      <x:c r="B40" s="28"/>
      <x:c r="C40" s="15"/>
      <x:c r="D40" s="15"/>
      <x:c r="E40" s="15"/>
      <x:c r="F40" s="138"/>
      <x:c r="G40" s="15"/>
      <x:c r="H40" s="70"/>
      <x:c r="I40" s="70" t="str">
        <x:f>IF(OR(F40="",H40=""),"",F40*H40)</x:f>
      </x:c>
      <x:c r="J40" s="15"/>
      <x:c r="K40" s="15"/>
      <x:c r="L40" s="15" t="str">
        <x:f>IF(COUNTA(B40:H40,J40:K40)=0,"",TEXTJOIN("; ",TRUE,IF(B40="","Missing work date",""),IF(C40="","Missing project",""),IF(E40="","Missing material",""),IF(F40="","Missing quantity",""),IF(H40="","Missing unit cost","")))</x:f>
      </x:c>
    </x:row>
    <x:row r="41" ht="20" customHeight="1">
      <x:c r="A41" s="15"/>
      <x:c r="B41" s="28"/>
      <x:c r="C41" s="15"/>
      <x:c r="D41" s="15"/>
      <x:c r="E41" s="15"/>
      <x:c r="F41" s="138"/>
      <x:c r="G41" s="15"/>
      <x:c r="H41" s="70"/>
      <x:c r="I41" s="70" t="str">
        <x:f>IF(OR(F41="",H41=""),"",F41*H41)</x:f>
      </x:c>
      <x:c r="J41" s="15"/>
      <x:c r="K41" s="15"/>
      <x:c r="L41" s="15" t="str">
        <x:f>IF(COUNTA(B41:H41,J41:K41)=0,"",TEXTJOIN("; ",TRUE,IF(B41="","Missing work date",""),IF(C41="","Missing project",""),IF(E41="","Missing material",""),IF(F41="","Missing quantity",""),IF(H41="","Missing unit cost","")))</x:f>
      </x:c>
    </x:row>
    <x:row r="42" ht="20" customHeight="1">
      <x:c r="A42" s="15"/>
      <x:c r="B42" s="28"/>
      <x:c r="C42" s="15"/>
      <x:c r="D42" s="15"/>
      <x:c r="E42" s="15"/>
      <x:c r="F42" s="138"/>
      <x:c r="G42" s="15"/>
      <x:c r="H42" s="70"/>
      <x:c r="I42" s="70" t="str">
        <x:f>IF(OR(F42="",H42=""),"",F42*H42)</x:f>
      </x:c>
      <x:c r="J42" s="15"/>
      <x:c r="K42" s="15"/>
      <x:c r="L42" s="15" t="str">
        <x:f>IF(COUNTA(B42:H42,J42:K42)=0,"",TEXTJOIN("; ",TRUE,IF(B42="","Missing work date",""),IF(C42="","Missing project",""),IF(E42="","Missing material",""),IF(F42="","Missing quantity",""),IF(H42="","Missing unit cost","")))</x:f>
      </x:c>
    </x:row>
    <x:row r="43" ht="20" customHeight="1">
      <x:c r="A43" s="15"/>
      <x:c r="B43" s="28"/>
      <x:c r="C43" s="15"/>
      <x:c r="D43" s="15"/>
      <x:c r="E43" s="15"/>
      <x:c r="F43" s="138"/>
      <x:c r="G43" s="15"/>
      <x:c r="H43" s="70"/>
      <x:c r="I43" s="70" t="str">
        <x:f>IF(OR(F43="",H43=""),"",F43*H43)</x:f>
      </x:c>
      <x:c r="J43" s="15"/>
      <x:c r="K43" s="15"/>
      <x:c r="L43" s="15" t="str">
        <x:f>IF(COUNTA(B43:H43,J43:K43)=0,"",TEXTJOIN("; ",TRUE,IF(B43="","Missing work date",""),IF(C43="","Missing project",""),IF(E43="","Missing material",""),IF(F43="","Missing quantity",""),IF(H43="","Missing unit cost","")))</x:f>
      </x:c>
    </x:row>
    <x:row r="44" ht="20" customHeight="1">
      <x:c r="A44" s="15"/>
      <x:c r="B44" s="28"/>
      <x:c r="C44" s="15"/>
      <x:c r="D44" s="15"/>
      <x:c r="E44" s="15"/>
      <x:c r="F44" s="138"/>
      <x:c r="G44" s="15"/>
      <x:c r="H44" s="70"/>
      <x:c r="I44" s="70" t="str">
        <x:f>IF(OR(F44="",H44=""),"",F44*H44)</x:f>
      </x:c>
      <x:c r="J44" s="15"/>
      <x:c r="K44" s="15"/>
      <x:c r="L44" s="15" t="str">
        <x:f>IF(COUNTA(B44:H44,J44:K44)=0,"",TEXTJOIN("; ",TRUE,IF(B44="","Missing work date",""),IF(C44="","Missing project",""),IF(E44="","Missing material",""),IF(F44="","Missing quantity",""),IF(H44="","Missing unit cost","")))</x:f>
      </x:c>
    </x:row>
    <x:row r="45" ht="20" customHeight="1">
      <x:c r="A45" s="15"/>
      <x:c r="B45" s="28"/>
      <x:c r="C45" s="15"/>
      <x:c r="D45" s="15"/>
      <x:c r="E45" s="15"/>
      <x:c r="F45" s="138"/>
      <x:c r="G45" s="15"/>
      <x:c r="H45" s="70"/>
      <x:c r="I45" s="70" t="str">
        <x:f>IF(OR(F45="",H45=""),"",F45*H45)</x:f>
      </x:c>
      <x:c r="J45" s="15"/>
      <x:c r="K45" s="15"/>
      <x:c r="L45" s="15" t="str">
        <x:f>IF(COUNTA(B45:H45,J45:K45)=0,"",TEXTJOIN("; ",TRUE,IF(B45="","Missing work date",""),IF(C45="","Missing project",""),IF(E45="","Missing material",""),IF(F45="","Missing quantity",""),IF(H45="","Missing unit cost","")))</x:f>
      </x:c>
    </x:row>
    <x:row r="46" ht="20" customHeight="1">
      <x:c r="A46" s="15"/>
      <x:c r="B46" s="28"/>
      <x:c r="C46" s="15"/>
      <x:c r="D46" s="15"/>
      <x:c r="E46" s="15"/>
      <x:c r="F46" s="138"/>
      <x:c r="G46" s="15"/>
      <x:c r="H46" s="70"/>
      <x:c r="I46" s="70" t="str">
        <x:f>IF(OR(F46="",H46=""),"",F46*H46)</x:f>
      </x:c>
      <x:c r="J46" s="15"/>
      <x:c r="K46" s="15"/>
      <x:c r="L46" s="15" t="str">
        <x:f>IF(COUNTA(B46:H46,J46:K46)=0,"",TEXTJOIN("; ",TRUE,IF(B46="","Missing work date",""),IF(C46="","Missing project",""),IF(E46="","Missing material",""),IF(F46="","Missing quantity",""),IF(H46="","Missing unit cost","")))</x:f>
      </x:c>
    </x:row>
    <x:row r="47" ht="20" customHeight="1">
      <x:c r="A47" s="15"/>
      <x:c r="B47" s="28"/>
      <x:c r="C47" s="15"/>
      <x:c r="D47" s="15"/>
      <x:c r="E47" s="15"/>
      <x:c r="F47" s="138"/>
      <x:c r="G47" s="15"/>
      <x:c r="H47" s="70"/>
      <x:c r="I47" s="70" t="str">
        <x:f>IF(OR(F47="",H47=""),"",F47*H47)</x:f>
      </x:c>
      <x:c r="J47" s="15"/>
      <x:c r="K47" s="15"/>
      <x:c r="L47" s="15" t="str">
        <x:f>IF(COUNTA(B47:H47,J47:K47)=0,"",TEXTJOIN("; ",TRUE,IF(B47="","Missing work date",""),IF(C47="","Missing project",""),IF(E47="","Missing material",""),IF(F47="","Missing quantity",""),IF(H47="","Missing unit cost","")))</x:f>
      </x:c>
    </x:row>
    <x:row r="48" ht="20" customHeight="1">
      <x:c r="A48" s="15"/>
      <x:c r="B48" s="28"/>
      <x:c r="C48" s="15"/>
      <x:c r="D48" s="15"/>
      <x:c r="E48" s="15"/>
      <x:c r="F48" s="138"/>
      <x:c r="G48" s="15"/>
      <x:c r="H48" s="70"/>
      <x:c r="I48" s="70" t="str">
        <x:f>IF(OR(F48="",H48=""),"",F48*H48)</x:f>
      </x:c>
      <x:c r="J48" s="15"/>
      <x:c r="K48" s="15"/>
      <x:c r="L48" s="15" t="str">
        <x:f>IF(COUNTA(B48:H48,J48:K48)=0,"",TEXTJOIN("; ",TRUE,IF(B48="","Missing work date",""),IF(C48="","Missing project",""),IF(E48="","Missing material",""),IF(F48="","Missing quantity",""),IF(H48="","Missing unit cost","")))</x:f>
      </x:c>
    </x:row>
    <x:row r="49" ht="20" customHeight="1">
      <x:c r="A49" s="15"/>
      <x:c r="B49" s="28"/>
      <x:c r="C49" s="15"/>
      <x:c r="D49" s="15"/>
      <x:c r="E49" s="15"/>
      <x:c r="F49" s="138"/>
      <x:c r="G49" s="15"/>
      <x:c r="H49" s="70"/>
      <x:c r="I49" s="70" t="str">
        <x:f>IF(OR(F49="",H49=""),"",F49*H49)</x:f>
      </x:c>
      <x:c r="J49" s="15"/>
      <x:c r="K49" s="15"/>
      <x:c r="L49" s="15" t="str">
        <x:f>IF(COUNTA(B49:H49,J49:K49)=0,"",TEXTJOIN("; ",TRUE,IF(B49="","Missing work date",""),IF(C49="","Missing project",""),IF(E49="","Missing material",""),IF(F49="","Missing quantity",""),IF(H49="","Missing unit cost","")))</x:f>
      </x:c>
    </x:row>
    <x:row r="50" ht="20" customHeight="1">
      <x:c r="A50" s="15"/>
      <x:c r="B50" s="28"/>
      <x:c r="C50" s="15"/>
      <x:c r="D50" s="15"/>
      <x:c r="E50" s="15"/>
      <x:c r="F50" s="138"/>
      <x:c r="G50" s="15"/>
      <x:c r="H50" s="70"/>
      <x:c r="I50" s="70" t="str">
        <x:f>IF(OR(F50="",H50=""),"",F50*H50)</x:f>
      </x:c>
      <x:c r="J50" s="15"/>
      <x:c r="K50" s="15"/>
      <x:c r="L50" s="15" t="str">
        <x:f>IF(COUNTA(B50:H50,J50:K50)=0,"",TEXTJOIN("; ",TRUE,IF(B50="","Missing work date",""),IF(C50="","Missing project",""),IF(E50="","Missing material",""),IF(F50="","Missing quantity",""),IF(H50="","Missing unit cost","")))</x:f>
      </x:c>
    </x:row>
    <x:row r="51" ht="20" customHeight="1">
      <x:c r="A51" s="15"/>
      <x:c r="B51" s="28"/>
      <x:c r="C51" s="15"/>
      <x:c r="D51" s="15"/>
      <x:c r="E51" s="15"/>
      <x:c r="F51" s="138"/>
      <x:c r="G51" s="15"/>
      <x:c r="H51" s="70"/>
      <x:c r="I51" s="70" t="str">
        <x:f>IF(OR(F51="",H51=""),"",F51*H51)</x:f>
      </x:c>
      <x:c r="J51" s="15"/>
      <x:c r="K51" s="15"/>
      <x:c r="L51" s="15" t="str">
        <x:f>IF(COUNTA(B51:H51,J51:K51)=0,"",TEXTJOIN("; ",TRUE,IF(B51="","Missing work date",""),IF(C51="","Missing project",""),IF(E51="","Missing material",""),IF(F51="","Missing quantity",""),IF(H51="","Missing unit cost","")))</x:f>
      </x:c>
    </x:row>
    <x:row r="52" ht="20" customHeight="1">
      <x:c r="A52" s="15"/>
      <x:c r="B52" s="28"/>
      <x:c r="C52" s="15"/>
      <x:c r="D52" s="15"/>
      <x:c r="E52" s="15"/>
      <x:c r="F52" s="138"/>
      <x:c r="G52" s="15"/>
      <x:c r="H52" s="70"/>
      <x:c r="I52" s="70" t="str">
        <x:f>IF(OR(F52="",H52=""),"",F52*H52)</x:f>
      </x:c>
      <x:c r="J52" s="15"/>
      <x:c r="K52" s="15"/>
      <x:c r="L52" s="15" t="str">
        <x:f>IF(COUNTA(B52:H52,J52:K52)=0,"",TEXTJOIN("; ",TRUE,IF(B52="","Missing work date",""),IF(C52="","Missing project",""),IF(E52="","Missing material",""),IF(F52="","Missing quantity",""),IF(H52="","Missing unit cost","")))</x:f>
      </x:c>
    </x:row>
    <x:row r="53" ht="20" customHeight="1">
      <x:c r="A53" s="15"/>
      <x:c r="B53" s="28"/>
      <x:c r="C53" s="15"/>
      <x:c r="D53" s="15"/>
      <x:c r="E53" s="15"/>
      <x:c r="F53" s="138"/>
      <x:c r="G53" s="15"/>
      <x:c r="H53" s="70"/>
      <x:c r="I53" s="70" t="str">
        <x:f>IF(OR(F53="",H53=""),"",F53*H53)</x:f>
      </x:c>
      <x:c r="J53" s="15"/>
      <x:c r="K53" s="15"/>
      <x:c r="L53" s="15" t="str">
        <x:f>IF(COUNTA(B53:H53,J53:K53)=0,"",TEXTJOIN("; ",TRUE,IF(B53="","Missing work date",""),IF(C53="","Missing project",""),IF(E53="","Missing material",""),IF(F53="","Missing quantity",""),IF(H53="","Missing unit cost","")))</x:f>
      </x:c>
    </x:row>
    <x:row r="54" ht="20" customHeight="1">
      <x:c r="A54" s="15"/>
      <x:c r="B54" s="28"/>
      <x:c r="C54" s="15"/>
      <x:c r="D54" s="15"/>
      <x:c r="E54" s="15"/>
      <x:c r="F54" s="138"/>
      <x:c r="G54" s="15"/>
      <x:c r="H54" s="70"/>
      <x:c r="I54" s="70" t="str">
        <x:f>IF(OR(F54="",H54=""),"",F54*H54)</x:f>
      </x:c>
      <x:c r="J54" s="15"/>
      <x:c r="K54" s="15"/>
      <x:c r="L54" s="15" t="str">
        <x:f>IF(COUNTA(B54:H54,J54:K54)=0,"",TEXTJOIN("; ",TRUE,IF(B54="","Missing work date",""),IF(C54="","Missing project",""),IF(E54="","Missing material",""),IF(F54="","Missing quantity",""),IF(H54="","Missing unit cost","")))</x:f>
      </x:c>
    </x:row>
    <x:row r="55" ht="20" customHeight="1">
      <x:c r="A55" s="15"/>
      <x:c r="B55" s="28"/>
      <x:c r="C55" s="15"/>
      <x:c r="D55" s="15"/>
      <x:c r="E55" s="15"/>
      <x:c r="F55" s="138"/>
      <x:c r="G55" s="15"/>
      <x:c r="H55" s="70"/>
      <x:c r="I55" s="70" t="str">
        <x:f>IF(OR(F55="",H55=""),"",F55*H55)</x:f>
      </x:c>
      <x:c r="J55" s="15"/>
      <x:c r="K55" s="15"/>
      <x:c r="L55" s="15" t="str">
        <x:f>IF(COUNTA(B55:H55,J55:K55)=0,"",TEXTJOIN("; ",TRUE,IF(B55="","Missing work date",""),IF(C55="","Missing project",""),IF(E55="","Missing material",""),IF(F55="","Missing quantity",""),IF(H55="","Missing unit cost","")))</x:f>
      </x:c>
    </x:row>
    <x:row r="56" ht="20" customHeight="1">
      <x:c r="A56" s="15"/>
      <x:c r="B56" s="28"/>
      <x:c r="C56" s="15"/>
      <x:c r="D56" s="15"/>
      <x:c r="E56" s="15"/>
      <x:c r="F56" s="138"/>
      <x:c r="G56" s="15"/>
      <x:c r="H56" s="70"/>
      <x:c r="I56" s="70" t="str">
        <x:f>IF(OR(F56="",H56=""),"",F56*H56)</x:f>
      </x:c>
      <x:c r="J56" s="15"/>
      <x:c r="K56" s="15"/>
      <x:c r="L56" s="15" t="str">
        <x:f>IF(COUNTA(B56:H56,J56:K56)=0,"",TEXTJOIN("; ",TRUE,IF(B56="","Missing work date",""),IF(C56="","Missing project",""),IF(E56="","Missing material",""),IF(F56="","Missing quantity",""),IF(H56="","Missing unit cost","")))</x:f>
      </x:c>
    </x:row>
    <x:row r="57" ht="20" customHeight="1">
      <x:c r="A57" s="15"/>
      <x:c r="B57" s="28"/>
      <x:c r="C57" s="15"/>
      <x:c r="D57" s="15"/>
      <x:c r="E57" s="15"/>
      <x:c r="F57" s="138"/>
      <x:c r="G57" s="15"/>
      <x:c r="H57" s="70"/>
      <x:c r="I57" s="70" t="str">
        <x:f>IF(OR(F57="",H57=""),"",F57*H57)</x:f>
      </x:c>
      <x:c r="J57" s="15"/>
      <x:c r="K57" s="15"/>
      <x:c r="L57" s="15" t="str">
        <x:f>IF(COUNTA(B57:H57,J57:K57)=0,"",TEXTJOIN("; ",TRUE,IF(B57="","Missing work date",""),IF(C57="","Missing project",""),IF(E57="","Missing material",""),IF(F57="","Missing quantity",""),IF(H57="","Missing unit cost","")))</x:f>
      </x:c>
    </x:row>
    <x:row r="58" ht="20" customHeight="1">
      <x:c r="A58" s="15"/>
      <x:c r="B58" s="28"/>
      <x:c r="C58" s="15"/>
      <x:c r="D58" s="15"/>
      <x:c r="E58" s="15"/>
      <x:c r="F58" s="138"/>
      <x:c r="G58" s="15"/>
      <x:c r="H58" s="70"/>
      <x:c r="I58" s="70" t="str">
        <x:f>IF(OR(F58="",H58=""),"",F58*H58)</x:f>
      </x:c>
      <x:c r="J58" s="15"/>
      <x:c r="K58" s="15"/>
      <x:c r="L58" s="15" t="str">
        <x:f>IF(COUNTA(B58:H58,J58:K58)=0,"",TEXTJOIN("; ",TRUE,IF(B58="","Missing work date",""),IF(C58="","Missing project",""),IF(E58="","Missing material",""),IF(F58="","Missing quantity",""),IF(H58="","Missing unit cost","")))</x:f>
      </x:c>
    </x:row>
    <x:row r="59" ht="20" customHeight="1">
      <x:c r="A59" s="15"/>
      <x:c r="B59" s="28"/>
      <x:c r="C59" s="15"/>
      <x:c r="D59" s="15"/>
      <x:c r="E59" s="15"/>
      <x:c r="F59" s="138"/>
      <x:c r="G59" s="15"/>
      <x:c r="H59" s="70"/>
      <x:c r="I59" s="70" t="str">
        <x:f>IF(OR(F59="",H59=""),"",F59*H59)</x:f>
      </x:c>
      <x:c r="J59" s="15"/>
      <x:c r="K59" s="15"/>
      <x:c r="L59" s="15" t="str">
        <x:f>IF(COUNTA(B59:H59,J59:K59)=0,"",TEXTJOIN("; ",TRUE,IF(B59="","Missing work date",""),IF(C59="","Missing project",""),IF(E59="","Missing material",""),IF(F59="","Missing quantity",""),IF(H59="","Missing unit cost","")))</x:f>
      </x:c>
    </x:row>
    <x:row r="60" ht="20" customHeight="1">
      <x:c r="A60" s="15"/>
      <x:c r="B60" s="28"/>
      <x:c r="C60" s="15"/>
      <x:c r="D60" s="15"/>
      <x:c r="E60" s="15"/>
      <x:c r="F60" s="138"/>
      <x:c r="G60" s="15"/>
      <x:c r="H60" s="70"/>
      <x:c r="I60" s="70" t="str">
        <x:f>IF(OR(F60="",H60=""),"",F60*H60)</x:f>
      </x:c>
      <x:c r="J60" s="15"/>
      <x:c r="K60" s="15"/>
      <x:c r="L60" s="15" t="str">
        <x:f>IF(COUNTA(B60:H60,J60:K60)=0,"",TEXTJOIN("; ",TRUE,IF(B60="","Missing work date",""),IF(C60="","Missing project",""),IF(E60="","Missing material",""),IF(F60="","Missing quantity",""),IF(H60="","Missing unit cost","")))</x:f>
      </x:c>
    </x:row>
    <x:row r="61" ht="20" customHeight="1">
      <x:c r="A61" s="15"/>
      <x:c r="B61" s="28"/>
      <x:c r="C61" s="15"/>
      <x:c r="D61" s="15"/>
      <x:c r="E61" s="15"/>
      <x:c r="F61" s="138"/>
      <x:c r="G61" s="15"/>
      <x:c r="H61" s="70"/>
      <x:c r="I61" s="70" t="str">
        <x:f>IF(OR(F61="",H61=""),"",F61*H61)</x:f>
      </x:c>
      <x:c r="J61" s="15"/>
      <x:c r="K61" s="15"/>
      <x:c r="L61" s="15" t="str">
        <x:f>IF(COUNTA(B61:H61,J61:K61)=0,"",TEXTJOIN("; ",TRUE,IF(B61="","Missing work date",""),IF(C61="","Missing project",""),IF(E61="","Missing material",""),IF(F61="","Missing quantity",""),IF(H61="","Missing unit cost","")))</x:f>
      </x:c>
    </x:row>
    <x:row r="62" ht="20" customHeight="1">
      <x:c r="A62" s="15"/>
      <x:c r="B62" s="28"/>
      <x:c r="C62" s="15"/>
      <x:c r="D62" s="15"/>
      <x:c r="E62" s="15"/>
      <x:c r="F62" s="138"/>
      <x:c r="G62" s="15"/>
      <x:c r="H62" s="70"/>
      <x:c r="I62" s="70" t="str">
        <x:f>IF(OR(F62="",H62=""),"",F62*H62)</x:f>
      </x:c>
      <x:c r="J62" s="15"/>
      <x:c r="K62" s="15"/>
      <x:c r="L62" s="15" t="str">
        <x:f>IF(COUNTA(B62:H62,J62:K62)=0,"",TEXTJOIN("; ",TRUE,IF(B62="","Missing work date",""),IF(C62="","Missing project",""),IF(E62="","Missing material",""),IF(F62="","Missing quantity",""),IF(H62="","Missing unit cost","")))</x:f>
      </x:c>
    </x:row>
    <x:row r="63" ht="20" customHeight="1">
      <x:c r="A63" s="15"/>
      <x:c r="B63" s="28"/>
      <x:c r="C63" s="15"/>
      <x:c r="D63" s="15"/>
      <x:c r="E63" s="15"/>
      <x:c r="F63" s="138"/>
      <x:c r="G63" s="15"/>
      <x:c r="H63" s="70"/>
      <x:c r="I63" s="70" t="str">
        <x:f>IF(OR(F63="",H63=""),"",F63*H63)</x:f>
      </x:c>
      <x:c r="J63" s="15"/>
      <x:c r="K63" s="15"/>
      <x:c r="L63" s="15" t="str">
        <x:f>IF(COUNTA(B63:H63,J63:K63)=0,"",TEXTJOIN("; ",TRUE,IF(B63="","Missing work date",""),IF(C63="","Missing project",""),IF(E63="","Missing material",""),IF(F63="","Missing quantity",""),IF(H63="","Missing unit cost","")))</x:f>
      </x:c>
    </x:row>
    <x:row r="64" ht="20" customHeight="1">
      <x:c r="A64" s="15"/>
      <x:c r="B64" s="28"/>
      <x:c r="C64" s="15"/>
      <x:c r="D64" s="15"/>
      <x:c r="E64" s="15"/>
      <x:c r="F64" s="138"/>
      <x:c r="G64" s="15"/>
      <x:c r="H64" s="70"/>
      <x:c r="I64" s="70" t="str">
        <x:f>IF(OR(F64="",H64=""),"",F64*H64)</x:f>
      </x:c>
      <x:c r="J64" s="15"/>
      <x:c r="K64" s="15"/>
      <x:c r="L64" s="15" t="str">
        <x:f>IF(COUNTA(B64:H64,J64:K64)=0,"",TEXTJOIN("; ",TRUE,IF(B64="","Missing work date",""),IF(C64="","Missing project",""),IF(E64="","Missing material",""),IF(F64="","Missing quantity",""),IF(H64="","Missing unit cost","")))</x:f>
      </x:c>
    </x:row>
    <x:row r="65" ht="20" customHeight="1">
      <x:c r="A65" s="15"/>
      <x:c r="B65" s="28"/>
      <x:c r="C65" s="15"/>
      <x:c r="D65" s="15"/>
      <x:c r="E65" s="15"/>
      <x:c r="F65" s="138"/>
      <x:c r="G65" s="15"/>
      <x:c r="H65" s="70"/>
      <x:c r="I65" s="70" t="str">
        <x:f>IF(OR(F65="",H65=""),"",F65*H65)</x:f>
      </x:c>
      <x:c r="J65" s="15"/>
      <x:c r="K65" s="15"/>
      <x:c r="L65" s="15" t="str">
        <x:f>IF(COUNTA(B65:H65,J65:K65)=0,"",TEXTJOIN("; ",TRUE,IF(B65="","Missing work date",""),IF(C65="","Missing project",""),IF(E65="","Missing material",""),IF(F65="","Missing quantity",""),IF(H65="","Missing unit cost","")))</x:f>
      </x:c>
    </x:row>
    <x:row r="66" ht="20" customHeight="1">
      <x:c r="A66" s="15"/>
      <x:c r="B66" s="28"/>
      <x:c r="C66" s="15"/>
      <x:c r="D66" s="15"/>
      <x:c r="E66" s="15"/>
      <x:c r="F66" s="138"/>
      <x:c r="G66" s="15"/>
      <x:c r="H66" s="70"/>
      <x:c r="I66" s="70" t="str">
        <x:f>IF(OR(F66="",H66=""),"",F66*H66)</x:f>
      </x:c>
      <x:c r="J66" s="15"/>
      <x:c r="K66" s="15"/>
      <x:c r="L66" s="15" t="str">
        <x:f>IF(COUNTA(B66:H66,J66:K66)=0,"",TEXTJOIN("; ",TRUE,IF(B66="","Missing work date",""),IF(C66="","Missing project",""),IF(E66="","Missing material",""),IF(F66="","Missing quantity",""),IF(H66="","Missing unit cost","")))</x:f>
      </x:c>
    </x:row>
    <x:row r="67" ht="20" customHeight="1">
      <x:c r="A67" s="15"/>
      <x:c r="B67" s="28"/>
      <x:c r="C67" s="15"/>
      <x:c r="D67" s="15"/>
      <x:c r="E67" s="15"/>
      <x:c r="F67" s="138"/>
      <x:c r="G67" s="15"/>
      <x:c r="H67" s="70"/>
      <x:c r="I67" s="70" t="str">
        <x:f>IF(OR(F67="",H67=""),"",F67*H67)</x:f>
      </x:c>
      <x:c r="J67" s="15"/>
      <x:c r="K67" s="15"/>
      <x:c r="L67" s="15" t="str">
        <x:f>IF(COUNTA(B67:H67,J67:K67)=0,"",TEXTJOIN("; ",TRUE,IF(B67="","Missing work date",""),IF(C67="","Missing project",""),IF(E67="","Missing material",""),IF(F67="","Missing quantity",""),IF(H67="","Missing unit cost","")))</x:f>
      </x:c>
    </x:row>
    <x:row r="68" ht="20" customHeight="1">
      <x:c r="A68" s="15"/>
      <x:c r="B68" s="28"/>
      <x:c r="C68" s="15"/>
      <x:c r="D68" s="15"/>
      <x:c r="E68" s="15"/>
      <x:c r="F68" s="138"/>
      <x:c r="G68" s="15"/>
      <x:c r="H68" s="70"/>
      <x:c r="I68" s="70" t="str">
        <x:f>IF(OR(F68="",H68=""),"",F68*H68)</x:f>
      </x:c>
      <x:c r="J68" s="15"/>
      <x:c r="K68" s="15"/>
      <x:c r="L68" s="15" t="str">
        <x:f>IF(COUNTA(B68:H68,J68:K68)=0,"",TEXTJOIN("; ",TRUE,IF(B68="","Missing work date",""),IF(C68="","Missing project",""),IF(E68="","Missing material",""),IF(F68="","Missing quantity",""),IF(H68="","Missing unit cost","")))</x:f>
      </x:c>
    </x:row>
    <x:row r="69" ht="20" customHeight="1">
      <x:c r="A69" s="15"/>
      <x:c r="B69" s="28"/>
      <x:c r="C69" s="15"/>
      <x:c r="D69" s="15"/>
      <x:c r="E69" s="15"/>
      <x:c r="F69" s="138"/>
      <x:c r="G69" s="15"/>
      <x:c r="H69" s="70"/>
      <x:c r="I69" s="70" t="str">
        <x:f>IF(OR(F69="",H69=""),"",F69*H69)</x:f>
      </x:c>
      <x:c r="J69" s="15"/>
      <x:c r="K69" s="15"/>
      <x:c r="L69" s="15" t="str">
        <x:f>IF(COUNTA(B69:H69,J69:K69)=0,"",TEXTJOIN("; ",TRUE,IF(B69="","Missing work date",""),IF(C69="","Missing project",""),IF(E69="","Missing material",""),IF(F69="","Missing quantity",""),IF(H69="","Missing unit cost","")))</x:f>
      </x:c>
    </x:row>
    <x:row r="70" ht="20" customHeight="1">
      <x:c r="A70" s="15"/>
      <x:c r="B70" s="28"/>
      <x:c r="C70" s="15"/>
      <x:c r="D70" s="15"/>
      <x:c r="E70" s="15"/>
      <x:c r="F70" s="138"/>
      <x:c r="G70" s="15"/>
      <x:c r="H70" s="70"/>
      <x:c r="I70" s="70" t="str">
        <x:f>IF(OR(F70="",H70=""),"",F70*H70)</x:f>
      </x:c>
      <x:c r="J70" s="15"/>
      <x:c r="K70" s="15"/>
      <x:c r="L70" s="15" t="str">
        <x:f>IF(COUNTA(B70:H70,J70:K70)=0,"",TEXTJOIN("; ",TRUE,IF(B70="","Missing work date",""),IF(C70="","Missing project",""),IF(E70="","Missing material",""),IF(F70="","Missing quantity",""),IF(H70="","Missing unit cost","")))</x:f>
      </x:c>
    </x:row>
    <x:row r="71" ht="20" customHeight="1">
      <x:c r="A71" s="15"/>
      <x:c r="B71" s="28"/>
      <x:c r="C71" s="15"/>
      <x:c r="D71" s="15"/>
      <x:c r="E71" s="15"/>
      <x:c r="F71" s="138"/>
      <x:c r="G71" s="15"/>
      <x:c r="H71" s="70"/>
      <x:c r="I71" s="70" t="str">
        <x:f>IF(OR(F71="",H71=""),"",F71*H71)</x:f>
      </x:c>
      <x:c r="J71" s="15"/>
      <x:c r="K71" s="15"/>
      <x:c r="L71" s="15" t="str">
        <x:f>IF(COUNTA(B71:H71,J71:K71)=0,"",TEXTJOIN("; ",TRUE,IF(B71="","Missing work date",""),IF(C71="","Missing project",""),IF(E71="","Missing material",""),IF(F71="","Missing quantity",""),IF(H71="","Missing unit cost","")))</x:f>
      </x:c>
    </x:row>
    <x:row r="72" ht="20" customHeight="1">
      <x:c r="A72" s="15"/>
      <x:c r="B72" s="28"/>
      <x:c r="C72" s="15"/>
      <x:c r="D72" s="15"/>
      <x:c r="E72" s="15"/>
      <x:c r="F72" s="138"/>
      <x:c r="G72" s="15"/>
      <x:c r="H72" s="70"/>
      <x:c r="I72" s="70" t="str">
        <x:f>IF(OR(F72="",H72=""),"",F72*H72)</x:f>
      </x:c>
      <x:c r="J72" s="15"/>
      <x:c r="K72" s="15"/>
      <x:c r="L72" s="15" t="str">
        <x:f>IF(COUNTA(B72:H72,J72:K72)=0,"",TEXTJOIN("; ",TRUE,IF(B72="","Missing work date",""),IF(C72="","Missing project",""),IF(E72="","Missing material",""),IF(F72="","Missing quantity",""),IF(H72="","Missing unit cost","")))</x:f>
      </x:c>
    </x:row>
    <x:row r="73" ht="20" customHeight="1">
      <x:c r="A73" s="15"/>
      <x:c r="B73" s="28"/>
      <x:c r="C73" s="15"/>
      <x:c r="D73" s="15"/>
      <x:c r="E73" s="15"/>
      <x:c r="F73" s="138"/>
      <x:c r="G73" s="15"/>
      <x:c r="H73" s="70"/>
      <x:c r="I73" s="70" t="str">
        <x:f>IF(OR(F73="",H73=""),"",F73*H73)</x:f>
      </x:c>
      <x:c r="J73" s="15"/>
      <x:c r="K73" s="15"/>
      <x:c r="L73" s="15" t="str">
        <x:f>IF(COUNTA(B73:H73,J73:K73)=0,"",TEXTJOIN("; ",TRUE,IF(B73="","Missing work date",""),IF(C73="","Missing project",""),IF(E73="","Missing material",""),IF(F73="","Missing quantity",""),IF(H73="","Missing unit cost","")))</x:f>
      </x:c>
    </x:row>
    <x:row r="74" ht="20" customHeight="1">
      <x:c r="A74" s="15"/>
      <x:c r="B74" s="28"/>
      <x:c r="C74" s="15"/>
      <x:c r="D74" s="15"/>
      <x:c r="E74" s="15"/>
      <x:c r="F74" s="138"/>
      <x:c r="G74" s="15"/>
      <x:c r="H74" s="70"/>
      <x:c r="I74" s="70" t="str">
        <x:f>IF(OR(F74="",H74=""),"",F74*H74)</x:f>
      </x:c>
      <x:c r="J74" s="15"/>
      <x:c r="K74" s="15"/>
      <x:c r="L74" s="15" t="str">
        <x:f>IF(COUNTA(B74:H74,J74:K74)=0,"",TEXTJOIN("; ",TRUE,IF(B74="","Missing work date",""),IF(C74="","Missing project",""),IF(E74="","Missing material",""),IF(F74="","Missing quantity",""),IF(H74="","Missing unit cost","")))</x:f>
      </x:c>
    </x:row>
    <x:row r="75" ht="20" customHeight="1">
      <x:c r="A75" s="15"/>
      <x:c r="B75" s="28"/>
      <x:c r="C75" s="15"/>
      <x:c r="D75" s="15"/>
      <x:c r="E75" s="15"/>
      <x:c r="F75" s="138"/>
      <x:c r="G75" s="15"/>
      <x:c r="H75" s="70"/>
      <x:c r="I75" s="70" t="str">
        <x:f>IF(OR(F75="",H75=""),"",F75*H75)</x:f>
      </x:c>
      <x:c r="J75" s="15"/>
      <x:c r="K75" s="15"/>
      <x:c r="L75" s="15" t="str">
        <x:f>IF(COUNTA(B75:H75,J75:K75)=0,"",TEXTJOIN("; ",TRUE,IF(B75="","Missing work date",""),IF(C75="","Missing project",""),IF(E75="","Missing material",""),IF(F75="","Missing quantity",""),IF(H75="","Missing unit cost","")))</x:f>
      </x:c>
    </x:row>
    <x:row r="76" ht="20" customHeight="1">
      <x:c r="A76" s="15"/>
      <x:c r="B76" s="28"/>
      <x:c r="C76" s="15"/>
      <x:c r="D76" s="15"/>
      <x:c r="E76" s="15"/>
      <x:c r="F76" s="138"/>
      <x:c r="G76" s="15"/>
      <x:c r="H76" s="70"/>
      <x:c r="I76" s="70" t="str">
        <x:f>IF(OR(F76="",H76=""),"",F76*H76)</x:f>
      </x:c>
      <x:c r="J76" s="15"/>
      <x:c r="K76" s="15"/>
      <x:c r="L76" s="15" t="str">
        <x:f>IF(COUNTA(B76:H76,J76:K76)=0,"",TEXTJOIN("; ",TRUE,IF(B76="","Missing work date",""),IF(C76="","Missing project",""),IF(E76="","Missing material",""),IF(F76="","Missing quantity",""),IF(H76="","Missing unit cost","")))</x:f>
      </x:c>
    </x:row>
    <x:row r="77" ht="20" customHeight="1">
      <x:c r="A77" s="15"/>
      <x:c r="B77" s="28"/>
      <x:c r="C77" s="15"/>
      <x:c r="D77" s="15"/>
      <x:c r="E77" s="15"/>
      <x:c r="F77" s="138"/>
      <x:c r="G77" s="15"/>
      <x:c r="H77" s="70"/>
      <x:c r="I77" s="70" t="str">
        <x:f>IF(OR(F77="",H77=""),"",F77*H77)</x:f>
      </x:c>
      <x:c r="J77" s="15"/>
      <x:c r="K77" s="15"/>
      <x:c r="L77" s="15" t="str">
        <x:f>IF(COUNTA(B77:H77,J77:K77)=0,"",TEXTJOIN("; ",TRUE,IF(B77="","Missing work date",""),IF(C77="","Missing project",""),IF(E77="","Missing material",""),IF(F77="","Missing quantity",""),IF(H77="","Missing unit cost","")))</x:f>
      </x:c>
    </x:row>
    <x:row r="78" ht="20" customHeight="1">
      <x:c r="A78" s="15"/>
      <x:c r="B78" s="28"/>
      <x:c r="C78" s="15"/>
      <x:c r="D78" s="15"/>
      <x:c r="E78" s="15"/>
      <x:c r="F78" s="138"/>
      <x:c r="G78" s="15"/>
      <x:c r="H78" s="70"/>
      <x:c r="I78" s="70" t="str">
        <x:f>IF(OR(F78="",H78=""),"",F78*H78)</x:f>
      </x:c>
      <x:c r="J78" s="15"/>
      <x:c r="K78" s="15"/>
      <x:c r="L78" s="15" t="str">
        <x:f>IF(COUNTA(B78:H78,J78:K78)=0,"",TEXTJOIN("; ",TRUE,IF(B78="","Missing work date",""),IF(C78="","Missing project",""),IF(E78="","Missing material",""),IF(F78="","Missing quantity",""),IF(H78="","Missing unit cost","")))</x:f>
      </x:c>
    </x:row>
    <x:row r="79" ht="20" customHeight="1">
      <x:c r="A79" s="15"/>
      <x:c r="B79" s="28"/>
      <x:c r="C79" s="15"/>
      <x:c r="D79" s="15"/>
      <x:c r="E79" s="15"/>
      <x:c r="F79" s="138"/>
      <x:c r="G79" s="15"/>
      <x:c r="H79" s="70"/>
      <x:c r="I79" s="70" t="str">
        <x:f>IF(OR(F79="",H79=""),"",F79*H79)</x:f>
      </x:c>
      <x:c r="J79" s="15"/>
      <x:c r="K79" s="15"/>
      <x:c r="L79" s="15" t="str">
        <x:f>IF(COUNTA(B79:H79,J79:K79)=0,"",TEXTJOIN("; ",TRUE,IF(B79="","Missing work date",""),IF(C79="","Missing project",""),IF(E79="","Missing material",""),IF(F79="","Missing quantity",""),IF(H79="","Missing unit cost","")))</x:f>
      </x:c>
    </x:row>
    <x:row r="80" ht="20" customHeight="1">
      <x:c r="A80" s="15"/>
      <x:c r="B80" s="28"/>
      <x:c r="C80" s="15"/>
      <x:c r="D80" s="15"/>
      <x:c r="E80" s="15"/>
      <x:c r="F80" s="138"/>
      <x:c r="G80" s="15"/>
      <x:c r="H80" s="70"/>
      <x:c r="I80" s="70" t="str">
        <x:f>IF(OR(F80="",H80=""),"",F80*H80)</x:f>
      </x:c>
      <x:c r="J80" s="15"/>
      <x:c r="K80" s="15"/>
      <x:c r="L80" s="15" t="str">
        <x:f>IF(COUNTA(B80:H80,J80:K80)=0,"",TEXTJOIN("; ",TRUE,IF(B80="","Missing work date",""),IF(C80="","Missing project",""),IF(E80="","Missing material",""),IF(F80="","Missing quantity",""),IF(H80="","Missing unit cost","")))</x:f>
      </x:c>
    </x:row>
    <x:row r="81" ht="20" customHeight="1">
      <x:c r="A81" s="15"/>
      <x:c r="B81" s="28"/>
      <x:c r="C81" s="15"/>
      <x:c r="D81" s="15"/>
      <x:c r="E81" s="15"/>
      <x:c r="F81" s="138"/>
      <x:c r="G81" s="15"/>
      <x:c r="H81" s="70"/>
      <x:c r="I81" s="70" t="str">
        <x:f>IF(OR(F81="",H81=""),"",F81*H81)</x:f>
      </x:c>
      <x:c r="J81" s="15"/>
      <x:c r="K81" s="15"/>
      <x:c r="L81" s="15" t="str">
        <x:f>IF(COUNTA(B81:H81,J81:K81)=0,"",TEXTJOIN("; ",TRUE,IF(B81="","Missing work date",""),IF(C81="","Missing project",""),IF(E81="","Missing material",""),IF(F81="","Missing quantity",""),IF(H81="","Missing unit cost","")))</x:f>
      </x:c>
    </x:row>
    <x:row r="82" ht="20" customHeight="1">
      <x:c r="A82" s="15"/>
      <x:c r="B82" s="28"/>
      <x:c r="C82" s="15"/>
      <x:c r="D82" s="15"/>
      <x:c r="E82" s="15"/>
      <x:c r="F82" s="138"/>
      <x:c r="G82" s="15"/>
      <x:c r="H82" s="70"/>
      <x:c r="I82" s="70" t="str">
        <x:f>IF(OR(F82="",H82=""),"",F82*H82)</x:f>
      </x:c>
      <x:c r="J82" s="15"/>
      <x:c r="K82" s="15"/>
      <x:c r="L82" s="15" t="str">
        <x:f>IF(COUNTA(B82:H82,J82:K82)=0,"",TEXTJOIN("; ",TRUE,IF(B82="","Missing work date",""),IF(C82="","Missing project",""),IF(E82="","Missing material",""),IF(F82="","Missing quantity",""),IF(H82="","Missing unit cost","")))</x:f>
      </x:c>
    </x:row>
    <x:row r="83" ht="20" customHeight="1">
      <x:c r="A83" s="15"/>
      <x:c r="B83" s="28"/>
      <x:c r="C83" s="15"/>
      <x:c r="D83" s="15"/>
      <x:c r="E83" s="15"/>
      <x:c r="F83" s="138"/>
      <x:c r="G83" s="15"/>
      <x:c r="H83" s="70"/>
      <x:c r="I83" s="70" t="str">
        <x:f>IF(OR(F83="",H83=""),"",F83*H83)</x:f>
      </x:c>
      <x:c r="J83" s="15"/>
      <x:c r="K83" s="15"/>
      <x:c r="L83" s="15" t="str">
        <x:f>IF(COUNTA(B83:H83,J83:K83)=0,"",TEXTJOIN("; ",TRUE,IF(B83="","Missing work date",""),IF(C83="","Missing project",""),IF(E83="","Missing material",""),IF(F83="","Missing quantity",""),IF(H83="","Missing unit cost","")))</x:f>
      </x:c>
    </x:row>
    <x:row r="84" ht="20" customHeight="1">
      <x:c r="A84" s="15"/>
      <x:c r="B84" s="28"/>
      <x:c r="C84" s="15"/>
      <x:c r="D84" s="15"/>
      <x:c r="E84" s="15"/>
      <x:c r="F84" s="138"/>
      <x:c r="G84" s="15"/>
      <x:c r="H84" s="70"/>
      <x:c r="I84" s="70" t="str">
        <x:f>IF(OR(F84="",H84=""),"",F84*H84)</x:f>
      </x:c>
      <x:c r="J84" s="15"/>
      <x:c r="K84" s="15"/>
      <x:c r="L84" s="15" t="str">
        <x:f>IF(COUNTA(B84:H84,J84:K84)=0,"",TEXTJOIN("; ",TRUE,IF(B84="","Missing work date",""),IF(C84="","Missing project",""),IF(E84="","Missing material",""),IF(F84="","Missing quantity",""),IF(H84="","Missing unit cost","")))</x:f>
      </x:c>
    </x:row>
    <x:row r="85" ht="20" customHeight="1">
      <x:c r="A85" s="15"/>
      <x:c r="B85" s="28"/>
      <x:c r="C85" s="15"/>
      <x:c r="D85" s="15"/>
      <x:c r="E85" s="15"/>
      <x:c r="F85" s="138"/>
      <x:c r="G85" s="15"/>
      <x:c r="H85" s="70"/>
      <x:c r="I85" s="70" t="str">
        <x:f>IF(OR(F85="",H85=""),"",F85*H85)</x:f>
      </x:c>
      <x:c r="J85" s="15"/>
      <x:c r="K85" s="15"/>
      <x:c r="L85" s="15" t="str">
        <x:f>IF(COUNTA(B85:H85,J85:K85)=0,"",TEXTJOIN("; ",TRUE,IF(B85="","Missing work date",""),IF(C85="","Missing project",""),IF(E85="","Missing material",""),IF(F85="","Missing quantity",""),IF(H85="","Missing unit cost","")))</x:f>
      </x:c>
    </x:row>
    <x:row r="86" ht="20" customHeight="1">
      <x:c r="A86" s="15"/>
      <x:c r="B86" s="28"/>
      <x:c r="C86" s="15"/>
      <x:c r="D86" s="15"/>
      <x:c r="E86" s="15"/>
      <x:c r="F86" s="138"/>
      <x:c r="G86" s="15"/>
      <x:c r="H86" s="70"/>
      <x:c r="I86" s="70" t="str">
        <x:f>IF(OR(F86="",H86=""),"",F86*H86)</x:f>
      </x:c>
      <x:c r="J86" s="15"/>
      <x:c r="K86" s="15"/>
      <x:c r="L86" s="15" t="str">
        <x:f>IF(COUNTA(B86:H86,J86:K86)=0,"",TEXTJOIN("; ",TRUE,IF(B86="","Missing work date",""),IF(C86="","Missing project",""),IF(E86="","Missing material",""),IF(F86="","Missing quantity",""),IF(H86="","Missing unit cost","")))</x:f>
      </x:c>
    </x:row>
    <x:row r="87" ht="20" customHeight="1">
      <x:c r="A87" s="15"/>
      <x:c r="B87" s="28"/>
      <x:c r="C87" s="15"/>
      <x:c r="D87" s="15"/>
      <x:c r="E87" s="15"/>
      <x:c r="F87" s="138"/>
      <x:c r="G87" s="15"/>
      <x:c r="H87" s="70"/>
      <x:c r="I87" s="70" t="str">
        <x:f>IF(OR(F87="",H87=""),"",F87*H87)</x:f>
      </x:c>
      <x:c r="J87" s="15"/>
      <x:c r="K87" s="15"/>
      <x:c r="L87" s="15" t="str">
        <x:f>IF(COUNTA(B87:H87,J87:K87)=0,"",TEXTJOIN("; ",TRUE,IF(B87="","Missing work date",""),IF(C87="","Missing project",""),IF(E87="","Missing material",""),IF(F87="","Missing quantity",""),IF(H87="","Missing unit cost","")))</x:f>
      </x:c>
    </x:row>
    <x:row r="88" ht="20" customHeight="1">
      <x:c r="A88" s="15"/>
      <x:c r="B88" s="28"/>
      <x:c r="C88" s="15"/>
      <x:c r="D88" s="15"/>
      <x:c r="E88" s="15"/>
      <x:c r="F88" s="138"/>
      <x:c r="G88" s="15"/>
      <x:c r="H88" s="70"/>
      <x:c r="I88" s="70" t="str">
        <x:f>IF(OR(F88="",H88=""),"",F88*H88)</x:f>
      </x:c>
      <x:c r="J88" s="15"/>
      <x:c r="K88" s="15"/>
      <x:c r="L88" s="15" t="str">
        <x:f>IF(COUNTA(B88:H88,J88:K88)=0,"",TEXTJOIN("; ",TRUE,IF(B88="","Missing work date",""),IF(C88="","Missing project",""),IF(E88="","Missing material",""),IF(F88="","Missing quantity",""),IF(H88="","Missing unit cost","")))</x:f>
      </x:c>
    </x:row>
    <x:row r="89" ht="20" customHeight="1">
      <x:c r="A89" s="15"/>
      <x:c r="B89" s="28"/>
      <x:c r="C89" s="15"/>
      <x:c r="D89" s="15"/>
      <x:c r="E89" s="15"/>
      <x:c r="F89" s="138"/>
      <x:c r="G89" s="15"/>
      <x:c r="H89" s="70"/>
      <x:c r="I89" s="70" t="str">
        <x:f>IF(OR(F89="",H89=""),"",F89*H89)</x:f>
      </x:c>
      <x:c r="J89" s="15"/>
      <x:c r="K89" s="15"/>
      <x:c r="L89" s="15" t="str">
        <x:f>IF(COUNTA(B89:H89,J89:K89)=0,"",TEXTJOIN("; ",TRUE,IF(B89="","Missing work date",""),IF(C89="","Missing project",""),IF(E89="","Missing material",""),IF(F89="","Missing quantity",""),IF(H89="","Missing unit cost","")))</x:f>
      </x:c>
    </x:row>
    <x:row r="90" ht="20" customHeight="1">
      <x:c r="A90" s="15"/>
      <x:c r="B90" s="28"/>
      <x:c r="C90" s="15"/>
      <x:c r="D90" s="15"/>
      <x:c r="E90" s="15"/>
      <x:c r="F90" s="138"/>
      <x:c r="G90" s="15"/>
      <x:c r="H90" s="70"/>
      <x:c r="I90" s="70" t="str">
        <x:f>IF(OR(F90="",H90=""),"",F90*H90)</x:f>
      </x:c>
      <x:c r="J90" s="15"/>
      <x:c r="K90" s="15"/>
      <x:c r="L90" s="15" t="str">
        <x:f>IF(COUNTA(B90:H90,J90:K90)=0,"",TEXTJOIN("; ",TRUE,IF(B90="","Missing work date",""),IF(C90="","Missing project",""),IF(E90="","Missing material",""),IF(F90="","Missing quantity",""),IF(H90="","Missing unit cost","")))</x:f>
      </x:c>
    </x:row>
    <x:row r="91" ht="20" customHeight="1">
      <x:c r="A91" s="15"/>
      <x:c r="B91" s="28"/>
      <x:c r="C91" s="15"/>
      <x:c r="D91" s="15"/>
      <x:c r="E91" s="15"/>
      <x:c r="F91" s="138"/>
      <x:c r="G91" s="15"/>
      <x:c r="H91" s="70"/>
      <x:c r="I91" s="70" t="str">
        <x:f>IF(OR(F91="",H91=""),"",F91*H91)</x:f>
      </x:c>
      <x:c r="J91" s="15"/>
      <x:c r="K91" s="15"/>
      <x:c r="L91" s="15" t="str">
        <x:f>IF(COUNTA(B91:H91,J91:K91)=0,"",TEXTJOIN("; ",TRUE,IF(B91="","Missing work date",""),IF(C91="","Missing project",""),IF(E91="","Missing material",""),IF(F91="","Missing quantity",""),IF(H91="","Missing unit cost","")))</x:f>
      </x:c>
    </x:row>
    <x:row r="92" ht="20" customHeight="1">
      <x:c r="A92" s="15"/>
      <x:c r="B92" s="28"/>
      <x:c r="C92" s="15"/>
      <x:c r="D92" s="15"/>
      <x:c r="E92" s="15"/>
      <x:c r="F92" s="138"/>
      <x:c r="G92" s="15"/>
      <x:c r="H92" s="70"/>
      <x:c r="I92" s="70" t="str">
        <x:f>IF(OR(F92="",H92=""),"",F92*H92)</x:f>
      </x:c>
      <x:c r="J92" s="15"/>
      <x:c r="K92" s="15"/>
      <x:c r="L92" s="15" t="str">
        <x:f>IF(COUNTA(B92:H92,J92:K92)=0,"",TEXTJOIN("; ",TRUE,IF(B92="","Missing work date",""),IF(C92="","Missing project",""),IF(E92="","Missing material",""),IF(F92="","Missing quantity",""),IF(H92="","Missing unit cost","")))</x:f>
      </x:c>
    </x:row>
    <x:row r="93" ht="20" customHeight="1">
      <x:c r="A93" s="15"/>
      <x:c r="B93" s="28"/>
      <x:c r="C93" s="15"/>
      <x:c r="D93" s="15"/>
      <x:c r="E93" s="15"/>
      <x:c r="F93" s="138"/>
      <x:c r="G93" s="15"/>
      <x:c r="H93" s="70"/>
      <x:c r="I93" s="70" t="str">
        <x:f>IF(OR(F93="",H93=""),"",F93*H93)</x:f>
      </x:c>
      <x:c r="J93" s="15"/>
      <x:c r="K93" s="15"/>
      <x:c r="L93" s="15" t="str">
        <x:f>IF(COUNTA(B93:H93,J93:K93)=0,"",TEXTJOIN("; ",TRUE,IF(B93="","Missing work date",""),IF(C93="","Missing project",""),IF(E93="","Missing material",""),IF(F93="","Missing quantity",""),IF(H93="","Missing unit cost","")))</x:f>
      </x:c>
    </x:row>
    <x:row r="94" ht="20" customHeight="1">
      <x:c r="A94" s="15"/>
      <x:c r="B94" s="28"/>
      <x:c r="C94" s="15"/>
      <x:c r="D94" s="15"/>
      <x:c r="E94" s="15"/>
      <x:c r="F94" s="138"/>
      <x:c r="G94" s="15"/>
      <x:c r="H94" s="70"/>
      <x:c r="I94" s="70" t="str">
        <x:f>IF(OR(F94="",H94=""),"",F94*H94)</x:f>
      </x:c>
      <x:c r="J94" s="15"/>
      <x:c r="K94" s="15"/>
      <x:c r="L94" s="15" t="str">
        <x:f>IF(COUNTA(B94:H94,J94:K94)=0,"",TEXTJOIN("; ",TRUE,IF(B94="","Missing work date",""),IF(C94="","Missing project",""),IF(E94="","Missing material",""),IF(F94="","Missing quantity",""),IF(H94="","Missing unit cost","")))</x:f>
      </x:c>
    </x:row>
    <x:row r="95" ht="20" customHeight="1">
      <x:c r="A95" s="15"/>
      <x:c r="B95" s="28"/>
      <x:c r="C95" s="15"/>
      <x:c r="D95" s="15"/>
      <x:c r="E95" s="15"/>
      <x:c r="F95" s="138"/>
      <x:c r="G95" s="15"/>
      <x:c r="H95" s="70"/>
      <x:c r="I95" s="70" t="str">
        <x:f>IF(OR(F95="",H95=""),"",F95*H95)</x:f>
      </x:c>
      <x:c r="J95" s="15"/>
      <x:c r="K95" s="15"/>
      <x:c r="L95" s="15" t="str">
        <x:f>IF(COUNTA(B95:H95,J95:K95)=0,"",TEXTJOIN("; ",TRUE,IF(B95="","Missing work date",""),IF(C95="","Missing project",""),IF(E95="","Missing material",""),IF(F95="","Missing quantity",""),IF(H95="","Missing unit cost","")))</x:f>
      </x:c>
    </x:row>
    <x:row r="96" ht="20" customHeight="1">
      <x:c r="A96" s="15"/>
      <x:c r="B96" s="28"/>
      <x:c r="C96" s="15"/>
      <x:c r="D96" s="15"/>
      <x:c r="E96" s="15"/>
      <x:c r="F96" s="138"/>
      <x:c r="G96" s="15"/>
      <x:c r="H96" s="70"/>
      <x:c r="I96" s="70" t="str">
        <x:f>IF(OR(F96="",H96=""),"",F96*H96)</x:f>
      </x:c>
      <x:c r="J96" s="15"/>
      <x:c r="K96" s="15"/>
      <x:c r="L96" s="15" t="str">
        <x:f>IF(COUNTA(B96:H96,J96:K96)=0,"",TEXTJOIN("; ",TRUE,IF(B96="","Missing work date",""),IF(C96="","Missing project",""),IF(E96="","Missing material",""),IF(F96="","Missing quantity",""),IF(H96="","Missing unit cost","")))</x:f>
      </x:c>
    </x:row>
    <x:row r="97" ht="20" customHeight="1">
      <x:c r="A97" s="15"/>
      <x:c r="B97" s="28"/>
      <x:c r="C97" s="15"/>
      <x:c r="D97" s="15"/>
      <x:c r="E97" s="15"/>
      <x:c r="F97" s="138"/>
      <x:c r="G97" s="15"/>
      <x:c r="H97" s="70"/>
      <x:c r="I97" s="70" t="str">
        <x:f>IF(OR(F97="",H97=""),"",F97*H97)</x:f>
      </x:c>
      <x:c r="J97" s="15"/>
      <x:c r="K97" s="15"/>
      <x:c r="L97" s="15" t="str">
        <x:f>IF(COUNTA(B97:H97,J97:K97)=0,"",TEXTJOIN("; ",TRUE,IF(B97="","Missing work date",""),IF(C97="","Missing project",""),IF(E97="","Missing material",""),IF(F97="","Missing quantity",""),IF(H97="","Missing unit cost","")))</x:f>
      </x:c>
    </x:row>
    <x:row r="98" ht="20" customHeight="1">
      <x:c r="A98" s="15"/>
      <x:c r="B98" s="28"/>
      <x:c r="C98" s="15"/>
      <x:c r="D98" s="15"/>
      <x:c r="E98" s="15"/>
      <x:c r="F98" s="138"/>
      <x:c r="G98" s="15"/>
      <x:c r="H98" s="70"/>
      <x:c r="I98" s="70" t="str">
        <x:f>IF(OR(F98="",H98=""),"",F98*H98)</x:f>
      </x:c>
      <x:c r="J98" s="15"/>
      <x:c r="K98" s="15"/>
      <x:c r="L98" s="15" t="str">
        <x:f>IF(COUNTA(B98:H98,J98:K98)=0,"",TEXTJOIN("; ",TRUE,IF(B98="","Missing work date",""),IF(C98="","Missing project",""),IF(E98="","Missing material",""),IF(F98="","Missing quantity",""),IF(H98="","Missing unit cost","")))</x:f>
      </x:c>
    </x:row>
    <x:row r="99" ht="20" customHeight="1">
      <x:c r="A99" s="15"/>
      <x:c r="B99" s="28"/>
      <x:c r="C99" s="15"/>
      <x:c r="D99" s="15"/>
      <x:c r="E99" s="15"/>
      <x:c r="F99" s="138"/>
      <x:c r="G99" s="15"/>
      <x:c r="H99" s="70"/>
      <x:c r="I99" s="70" t="str">
        <x:f>IF(OR(F99="",H99=""),"",F99*H99)</x:f>
      </x:c>
      <x:c r="J99" s="15"/>
      <x:c r="K99" s="15"/>
      <x:c r="L99" s="15" t="str">
        <x:f>IF(COUNTA(B99:H99,J99:K99)=0,"",TEXTJOIN("; ",TRUE,IF(B99="","Missing work date",""),IF(C99="","Missing project",""),IF(E99="","Missing material",""),IF(F99="","Missing quantity",""),IF(H99="","Missing unit cost","")))</x:f>
      </x:c>
    </x:row>
    <x:row r="100" ht="20" customHeight="1">
      <x:c r="A100" s="15"/>
      <x:c r="B100" s="28"/>
      <x:c r="C100" s="15"/>
      <x:c r="D100" s="15"/>
      <x:c r="E100" s="15"/>
      <x:c r="F100" s="138"/>
      <x:c r="G100" s="15"/>
      <x:c r="H100" s="70"/>
      <x:c r="I100" s="70" t="str">
        <x:f>IF(OR(F100="",H100=""),"",F100*H100)</x:f>
      </x:c>
      <x:c r="J100" s="15"/>
      <x:c r="K100" s="15"/>
      <x:c r="L100" s="15" t="str">
        <x:f>IF(COUNTA(B100:H100,J100:K100)=0,"",TEXTJOIN("; ",TRUE,IF(B100="","Missing work date",""),IF(C100="","Missing project",""),IF(E100="","Missing material",""),IF(F100="","Missing quantity",""),IF(H100="","Missing unit cost","")))</x:f>
      </x:c>
    </x:row>
    <x:row r="101" ht="20" customHeight="1">
      <x:c r="A101" s="15"/>
      <x:c r="B101" s="28"/>
      <x:c r="C101" s="15"/>
      <x:c r="D101" s="15"/>
      <x:c r="E101" s="15"/>
      <x:c r="F101" s="138"/>
      <x:c r="G101" s="15"/>
      <x:c r="H101" s="70"/>
      <x:c r="I101" s="70" t="str">
        <x:f>IF(OR(F101="",H101=""),"",F101*H101)</x:f>
      </x:c>
      <x:c r="J101" s="15"/>
      <x:c r="K101" s="15"/>
      <x:c r="L101" s="15" t="str">
        <x:f>IF(COUNTA(B101:H101,J101:K101)=0,"",TEXTJOIN("; ",TRUE,IF(B101="","Missing work date",""),IF(C101="","Missing project",""),IF(E101="","Missing material",""),IF(F101="","Missing quantity",""),IF(H101="","Missing unit cost","")))</x:f>
      </x:c>
    </x:row>
    <x:row r="102" ht="20" customHeight="1">
      <x:c r="A102" s="15"/>
      <x:c r="B102" s="28"/>
      <x:c r="C102" s="15"/>
      <x:c r="D102" s="15"/>
      <x:c r="E102" s="15"/>
      <x:c r="F102" s="138"/>
      <x:c r="G102" s="15"/>
      <x:c r="H102" s="70"/>
      <x:c r="I102" s="70" t="str">
        <x:f>IF(OR(F102="",H102=""),"",F102*H102)</x:f>
      </x:c>
      <x:c r="J102" s="15"/>
      <x:c r="K102" s="15"/>
      <x:c r="L102" s="15" t="str">
        <x:f>IF(COUNTA(B102:H102,J102:K102)=0,"",TEXTJOIN("; ",TRUE,IF(B102="","Missing work date",""),IF(C102="","Missing project",""),IF(E102="","Missing material",""),IF(F102="","Missing quantity",""),IF(H102="","Missing unit cost","")))</x:f>
      </x:c>
    </x:row>
    <x:row r="103" ht="20" customHeight="1">
      <x:c r="A103" s="15"/>
      <x:c r="B103" s="28"/>
      <x:c r="C103" s="15"/>
      <x:c r="D103" s="15"/>
      <x:c r="E103" s="15"/>
      <x:c r="F103" s="138"/>
      <x:c r="G103" s="15"/>
      <x:c r="H103" s="70"/>
      <x:c r="I103" s="70" t="str">
        <x:f>IF(OR(F103="",H103=""),"",F103*H103)</x:f>
      </x:c>
      <x:c r="J103" s="15"/>
      <x:c r="K103" s="15"/>
      <x:c r="L103" s="15" t="str">
        <x:f>IF(COUNTA(B103:H103,J103:K103)=0,"",TEXTJOIN("; ",TRUE,IF(B103="","Missing work date",""),IF(C103="","Missing project",""),IF(E103="","Missing material",""),IF(F103="","Missing quantity",""),IF(H103="","Missing unit cost","")))</x:f>
      </x:c>
    </x:row>
    <x:row r="104" ht="20" customHeight="1">
      <x:c r="A104" s="15"/>
      <x:c r="B104" s="28"/>
      <x:c r="C104" s="15"/>
      <x:c r="D104" s="15"/>
      <x:c r="E104" s="15"/>
      <x:c r="F104" s="138"/>
      <x:c r="G104" s="15"/>
      <x:c r="H104" s="70"/>
      <x:c r="I104" s="70" t="str">
        <x:f>IF(OR(F104="",H104=""),"",F104*H104)</x:f>
      </x:c>
      <x:c r="J104" s="15"/>
      <x:c r="K104" s="15"/>
      <x:c r="L104" s="15" t="str">
        <x:f>IF(COUNTA(B104:H104,J104:K104)=0,"",TEXTJOIN("; ",TRUE,IF(B104="","Missing work date",""),IF(C104="","Missing project",""),IF(E104="","Missing material",""),IF(F104="","Missing quantity",""),IF(H104="","Missing unit cost","")))</x:f>
      </x:c>
    </x:row>
    <x:row r="105" ht="20" customHeight="1">
      <x:c r="A105" s="15"/>
      <x:c r="B105" s="28"/>
      <x:c r="C105" s="15"/>
      <x:c r="D105" s="15"/>
      <x:c r="E105" s="15"/>
      <x:c r="F105" s="138"/>
      <x:c r="G105" s="15"/>
      <x:c r="H105" s="70"/>
      <x:c r="I105" s="70" t="str">
        <x:f>IF(OR(F105="",H105=""),"",F105*H105)</x:f>
      </x:c>
      <x:c r="J105" s="15"/>
      <x:c r="K105" s="15"/>
      <x:c r="L105" s="15" t="str">
        <x:f>IF(COUNTA(B105:H105,J105:K105)=0,"",TEXTJOIN("; ",TRUE,IF(B105="","Missing work date",""),IF(C105="","Missing project",""),IF(E105="","Missing material",""),IF(F105="","Missing quantity",""),IF(H105="","Missing unit cost","")))</x:f>
      </x:c>
    </x:row>
    <x:row r="106" ht="20" customHeight="1">
      <x:c r="A106" s="15"/>
      <x:c r="B106" s="28"/>
      <x:c r="C106" s="15"/>
      <x:c r="D106" s="15"/>
      <x:c r="E106" s="15"/>
      <x:c r="F106" s="138"/>
      <x:c r="G106" s="15"/>
      <x:c r="H106" s="70"/>
      <x:c r="I106" s="70" t="str">
        <x:f>IF(OR(F106="",H106=""),"",F106*H106)</x:f>
      </x:c>
      <x:c r="J106" s="15"/>
      <x:c r="K106" s="15"/>
      <x:c r="L106" s="15" t="str">
        <x:f>IF(COUNTA(B106:H106,J106:K106)=0,"",TEXTJOIN("; ",TRUE,IF(B106="","Missing work date",""),IF(C106="","Missing project",""),IF(E106="","Missing material",""),IF(F106="","Missing quantity",""),IF(H106="","Missing unit cost","")))</x:f>
      </x:c>
    </x:row>
    <x:row r="107" ht="20" customHeight="1">
      <x:c r="A107" s="15"/>
      <x:c r="B107" s="28"/>
      <x:c r="C107" s="15"/>
      <x:c r="D107" s="15"/>
      <x:c r="E107" s="15"/>
      <x:c r="F107" s="138"/>
      <x:c r="G107" s="15"/>
      <x:c r="H107" s="70"/>
      <x:c r="I107" s="70" t="str">
        <x:f>IF(OR(F107="",H107=""),"",F107*H107)</x:f>
      </x:c>
      <x:c r="J107" s="15"/>
      <x:c r="K107" s="15"/>
      <x:c r="L107" s="15" t="str">
        <x:f>IF(COUNTA(B107:H107,J107:K107)=0,"",TEXTJOIN("; ",TRUE,IF(B107="","Missing work date",""),IF(C107="","Missing project",""),IF(E107="","Missing material",""),IF(F107="","Missing quantity",""),IF(H107="","Missing unit cost","")))</x:f>
      </x:c>
    </x:row>
    <x:row r="108" ht="20" customHeight="1">
      <x:c r="A108" s="15"/>
      <x:c r="B108" s="28"/>
      <x:c r="C108" s="15"/>
      <x:c r="D108" s="15"/>
      <x:c r="E108" s="15"/>
      <x:c r="F108" s="138"/>
      <x:c r="G108" s="15"/>
      <x:c r="H108" s="70"/>
      <x:c r="I108" s="70" t="str">
        <x:f>IF(OR(F108="",H108=""),"",F108*H108)</x:f>
      </x:c>
      <x:c r="J108" s="15"/>
      <x:c r="K108" s="15"/>
      <x:c r="L108" s="15" t="str">
        <x:f>IF(COUNTA(B108:H108,J108:K108)=0,"",TEXTJOIN("; ",TRUE,IF(B108="","Missing work date",""),IF(C108="","Missing project",""),IF(E108="","Missing material",""),IF(F108="","Missing quantity",""),IF(H108="","Missing unit cost","")))</x:f>
      </x:c>
    </x:row>
    <x:row r="109" ht="20" customHeight="1">
      <x:c r="A109" s="15"/>
      <x:c r="B109" s="28"/>
      <x:c r="C109" s="15"/>
      <x:c r="D109" s="15"/>
      <x:c r="E109" s="15"/>
      <x:c r="F109" s="138"/>
      <x:c r="G109" s="15"/>
      <x:c r="H109" s="70"/>
      <x:c r="I109" s="70" t="str">
        <x:f>IF(OR(F109="",H109=""),"",F109*H109)</x:f>
      </x:c>
      <x:c r="J109" s="15"/>
      <x:c r="K109" s="15"/>
      <x:c r="L109" s="15" t="str">
        <x:f>IF(COUNTA(B109:H109,J109:K109)=0,"",TEXTJOIN("; ",TRUE,IF(B109="","Missing work date",""),IF(C109="","Missing project",""),IF(E109="","Missing material",""),IF(F109="","Missing quantity",""),IF(H109="","Missing unit cost","")))</x:f>
      </x:c>
    </x:row>
    <x:row r="110" ht="20" customHeight="1">
      <x:c r="A110" s="15"/>
      <x:c r="B110" s="28"/>
      <x:c r="C110" s="15"/>
      <x:c r="D110" s="15"/>
      <x:c r="E110" s="15"/>
      <x:c r="F110" s="138"/>
      <x:c r="G110" s="15"/>
      <x:c r="H110" s="70"/>
      <x:c r="I110" s="70" t="str">
        <x:f>IF(OR(F110="",H110=""),"",F110*H110)</x:f>
      </x:c>
      <x:c r="J110" s="15"/>
      <x:c r="K110" s="15"/>
      <x:c r="L110" s="15" t="str">
        <x:f>IF(COUNTA(B110:H110,J110:K110)=0,"",TEXTJOIN("; ",TRUE,IF(B110="","Missing work date",""),IF(C110="","Missing project",""),IF(E110="","Missing material",""),IF(F110="","Missing quantity",""),IF(H110="","Missing unit cost","")))</x:f>
      </x:c>
    </x:row>
    <x:row r="111" ht="20" customHeight="1">
      <x:c r="A111" s="15"/>
      <x:c r="B111" s="28"/>
      <x:c r="C111" s="15"/>
      <x:c r="D111" s="15"/>
      <x:c r="E111" s="15"/>
      <x:c r="F111" s="138"/>
      <x:c r="G111" s="15"/>
      <x:c r="H111" s="70"/>
      <x:c r="I111" s="70" t="str">
        <x:f>IF(OR(F111="",H111=""),"",F111*H111)</x:f>
      </x:c>
      <x:c r="J111" s="15"/>
      <x:c r="K111" s="15"/>
      <x:c r="L111" s="15" t="str">
        <x:f>IF(COUNTA(B111:H111,J111:K111)=0,"",TEXTJOIN("; ",TRUE,IF(B111="","Missing work date",""),IF(C111="","Missing project",""),IF(E111="","Missing material",""),IF(F111="","Missing quantity",""),IF(H111="","Missing unit cost","")))</x:f>
      </x:c>
    </x:row>
    <x:row r="112" ht="20" customHeight="1">
      <x:c r="A112" s="15"/>
      <x:c r="B112" s="28"/>
      <x:c r="C112" s="15"/>
      <x:c r="D112" s="15"/>
      <x:c r="E112" s="15"/>
      <x:c r="F112" s="138"/>
      <x:c r="G112" s="15"/>
      <x:c r="H112" s="70"/>
      <x:c r="I112" s="70" t="str">
        <x:f>IF(OR(F112="",H112=""),"",F112*H112)</x:f>
      </x:c>
      <x:c r="J112" s="15"/>
      <x:c r="K112" s="15"/>
      <x:c r="L112" s="15" t="str">
        <x:f>IF(COUNTA(B112:H112,J112:K112)=0,"",TEXTJOIN("; ",TRUE,IF(B112="","Missing work date",""),IF(C112="","Missing project",""),IF(E112="","Missing material",""),IF(F112="","Missing quantity",""),IF(H112="","Missing unit cost","")))</x:f>
      </x:c>
    </x:row>
    <x:row r="113" ht="20" customHeight="1">
      <x:c r="A113" s="15"/>
      <x:c r="B113" s="28"/>
      <x:c r="C113" s="15"/>
      <x:c r="D113" s="15"/>
      <x:c r="E113" s="15"/>
      <x:c r="F113" s="138"/>
      <x:c r="G113" s="15"/>
      <x:c r="H113" s="70"/>
      <x:c r="I113" s="70" t="str">
        <x:f>IF(OR(F113="",H113=""),"",F113*H113)</x:f>
      </x:c>
      <x:c r="J113" s="15"/>
      <x:c r="K113" s="15"/>
      <x:c r="L113" s="15" t="str">
        <x:f>IF(COUNTA(B113:H113,J113:K113)=0,"",TEXTJOIN("; ",TRUE,IF(B113="","Missing work date",""),IF(C113="","Missing project",""),IF(E113="","Missing material",""),IF(F113="","Missing quantity",""),IF(H113="","Missing unit cost","")))</x:f>
      </x:c>
    </x:row>
    <x:row r="114" ht="20" customHeight="1">
      <x:c r="A114" s="15"/>
      <x:c r="B114" s="28"/>
      <x:c r="C114" s="15"/>
      <x:c r="D114" s="15"/>
      <x:c r="E114" s="15"/>
      <x:c r="F114" s="138"/>
      <x:c r="G114" s="15"/>
      <x:c r="H114" s="70"/>
      <x:c r="I114" s="70" t="str">
        <x:f>IF(OR(F114="",H114=""),"",F114*H114)</x:f>
      </x:c>
      <x:c r="J114" s="15"/>
      <x:c r="K114" s="15"/>
      <x:c r="L114" s="15" t="str">
        <x:f>IF(COUNTA(B114:H114,J114:K114)=0,"",TEXTJOIN("; ",TRUE,IF(B114="","Missing work date",""),IF(C114="","Missing project",""),IF(E114="","Missing material",""),IF(F114="","Missing quantity",""),IF(H114="","Missing unit cost","")))</x:f>
      </x:c>
    </x:row>
    <x:row r="115" ht="20" customHeight="1">
      <x:c r="A115" s="15"/>
      <x:c r="B115" s="28"/>
      <x:c r="C115" s="15"/>
      <x:c r="D115" s="15"/>
      <x:c r="E115" s="15"/>
      <x:c r="F115" s="138"/>
      <x:c r="G115" s="15"/>
      <x:c r="H115" s="70"/>
      <x:c r="I115" s="70" t="str">
        <x:f>IF(OR(F115="",H115=""),"",F115*H115)</x:f>
      </x:c>
      <x:c r="J115" s="15"/>
      <x:c r="K115" s="15"/>
      <x:c r="L115" s="15" t="str">
        <x:f>IF(COUNTA(B115:H115,J115:K115)=0,"",TEXTJOIN("; ",TRUE,IF(B115="","Missing work date",""),IF(C115="","Missing project",""),IF(E115="","Missing material",""),IF(F115="","Missing quantity",""),IF(H115="","Missing unit cost","")))</x:f>
      </x:c>
    </x:row>
    <x:row r="116" ht="20" customHeight="1">
      <x:c r="A116" s="15"/>
      <x:c r="B116" s="28"/>
      <x:c r="C116" s="15"/>
      <x:c r="D116" s="15"/>
      <x:c r="E116" s="15"/>
      <x:c r="F116" s="138"/>
      <x:c r="G116" s="15"/>
      <x:c r="H116" s="70"/>
      <x:c r="I116" s="70" t="str">
        <x:f>IF(OR(F116="",H116=""),"",F116*H116)</x:f>
      </x:c>
      <x:c r="J116" s="15"/>
      <x:c r="K116" s="15"/>
      <x:c r="L116" s="15" t="str">
        <x:f>IF(COUNTA(B116:H116,J116:K116)=0,"",TEXTJOIN("; ",TRUE,IF(B116="","Missing work date",""),IF(C116="","Missing project",""),IF(E116="","Missing material",""),IF(F116="","Missing quantity",""),IF(H116="","Missing unit cost","")))</x:f>
      </x:c>
    </x:row>
    <x:row r="117" ht="20" customHeight="1">
      <x:c r="A117" s="15"/>
      <x:c r="B117" s="28"/>
      <x:c r="C117" s="15"/>
      <x:c r="D117" s="15"/>
      <x:c r="E117" s="15"/>
      <x:c r="F117" s="138"/>
      <x:c r="G117" s="15"/>
      <x:c r="H117" s="70"/>
      <x:c r="I117" s="70" t="str">
        <x:f>IF(OR(F117="",H117=""),"",F117*H117)</x:f>
      </x:c>
      <x:c r="J117" s="15"/>
      <x:c r="K117" s="15"/>
      <x:c r="L117" s="15" t="str">
        <x:f>IF(COUNTA(B117:H117,J117:K117)=0,"",TEXTJOIN("; ",TRUE,IF(B117="","Missing work date",""),IF(C117="","Missing project",""),IF(E117="","Missing material",""),IF(F117="","Missing quantity",""),IF(H117="","Missing unit cost","")))</x:f>
      </x:c>
    </x:row>
    <x:row r="118" ht="20" customHeight="1">
      <x:c r="A118" s="15"/>
      <x:c r="B118" s="28"/>
      <x:c r="C118" s="15"/>
      <x:c r="D118" s="15"/>
      <x:c r="E118" s="15"/>
      <x:c r="F118" s="138"/>
      <x:c r="G118" s="15"/>
      <x:c r="H118" s="70"/>
      <x:c r="I118" s="70" t="str">
        <x:f>IF(OR(F118="",H118=""),"",F118*H118)</x:f>
      </x:c>
      <x:c r="J118" s="15"/>
      <x:c r="K118" s="15"/>
      <x:c r="L118" s="15" t="str">
        <x:f>IF(COUNTA(B118:H118,J118:K118)=0,"",TEXTJOIN("; ",TRUE,IF(B118="","Missing work date",""),IF(C118="","Missing project",""),IF(E118="","Missing material",""),IF(F118="","Missing quantity",""),IF(H118="","Missing unit cost","")))</x:f>
      </x:c>
    </x:row>
    <x:row r="119" ht="20" customHeight="1">
      <x:c r="A119" s="15"/>
      <x:c r="B119" s="28"/>
      <x:c r="C119" s="15"/>
      <x:c r="D119" s="15"/>
      <x:c r="E119" s="15"/>
      <x:c r="F119" s="138"/>
      <x:c r="G119" s="15"/>
      <x:c r="H119" s="70"/>
      <x:c r="I119" s="70" t="str">
        <x:f>IF(OR(F119="",H119=""),"",F119*H119)</x:f>
      </x:c>
      <x:c r="J119" s="15"/>
      <x:c r="K119" s="15"/>
      <x:c r="L119" s="15" t="str">
        <x:f>IF(COUNTA(B119:H119,J119:K119)=0,"",TEXTJOIN("; ",TRUE,IF(B119="","Missing work date",""),IF(C119="","Missing project",""),IF(E119="","Missing material",""),IF(F119="","Missing quantity",""),IF(H119="","Missing unit cost","")))</x:f>
      </x:c>
    </x:row>
    <x:row r="120" ht="20" customHeight="1">
      <x:c r="A120" s="15"/>
      <x:c r="B120" s="28"/>
      <x:c r="C120" s="15"/>
      <x:c r="D120" s="15"/>
      <x:c r="E120" s="15"/>
      <x:c r="F120" s="138"/>
      <x:c r="G120" s="15"/>
      <x:c r="H120" s="70"/>
      <x:c r="I120" s="70" t="str">
        <x:f>IF(OR(F120="",H120=""),"",F120*H120)</x:f>
      </x:c>
      <x:c r="J120" s="15"/>
      <x:c r="K120" s="15"/>
      <x:c r="L120" s="15" t="str">
        <x:f>IF(COUNTA(B120:H120,J120:K120)=0,"",TEXTJOIN("; ",TRUE,IF(B120="","Missing work date",""),IF(C120="","Missing project",""),IF(E120="","Missing material",""),IF(F120="","Missing quantity",""),IF(H120="","Missing unit cost","")))</x:f>
      </x:c>
    </x:row>
    <x:row r="121" ht="20" customHeight="1">
      <x:c r="A121" s="15"/>
      <x:c r="B121" s="28"/>
      <x:c r="C121" s="15"/>
      <x:c r="D121" s="15"/>
      <x:c r="E121" s="15"/>
      <x:c r="F121" s="138"/>
      <x:c r="G121" s="15"/>
      <x:c r="H121" s="70"/>
      <x:c r="I121" s="70" t="str">
        <x:f>IF(OR(F121="",H121=""),"",F121*H121)</x:f>
      </x:c>
      <x:c r="J121" s="15"/>
      <x:c r="K121" s="15"/>
      <x:c r="L121" s="15" t="str">
        <x:f>IF(COUNTA(B121:H121,J121:K121)=0,"",TEXTJOIN("; ",TRUE,IF(B121="","Missing work date",""),IF(C121="","Missing project",""),IF(E121="","Missing material",""),IF(F121="","Missing quantity",""),IF(H121="","Missing unit cost","")))</x:f>
      </x:c>
    </x:row>
    <x:row r="122" ht="20" customHeight="1">
      <x:c r="A122" s="15"/>
      <x:c r="B122" s="28"/>
      <x:c r="C122" s="15"/>
      <x:c r="D122" s="15"/>
      <x:c r="E122" s="15"/>
      <x:c r="F122" s="138"/>
      <x:c r="G122" s="15"/>
      <x:c r="H122" s="70"/>
      <x:c r="I122" s="70" t="str">
        <x:f>IF(OR(F122="",H122=""),"",F122*H122)</x:f>
      </x:c>
      <x:c r="J122" s="15"/>
      <x:c r="K122" s="15"/>
      <x:c r="L122" s="15" t="str">
        <x:f>IF(COUNTA(B122:H122,J122:K122)=0,"",TEXTJOIN("; ",TRUE,IF(B122="","Missing work date",""),IF(C122="","Missing project",""),IF(E122="","Missing material",""),IF(F122="","Missing quantity",""),IF(H122="","Missing unit cost","")))</x:f>
      </x:c>
    </x:row>
    <x:row r="123" ht="20" customHeight="1">
      <x:c r="A123" s="15"/>
      <x:c r="B123" s="28"/>
      <x:c r="C123" s="15"/>
      <x:c r="D123" s="15"/>
      <x:c r="E123" s="15"/>
      <x:c r="F123" s="138"/>
      <x:c r="G123" s="15"/>
      <x:c r="H123" s="70"/>
      <x:c r="I123" s="70" t="str">
        <x:f>IF(OR(F123="",H123=""),"",F123*H123)</x:f>
      </x:c>
      <x:c r="J123" s="15"/>
      <x:c r="K123" s="15"/>
      <x:c r="L123" s="15" t="str">
        <x:f>IF(COUNTA(B123:H123,J123:K123)=0,"",TEXTJOIN("; ",TRUE,IF(B123="","Missing work date",""),IF(C123="","Missing project",""),IF(E123="","Missing material",""),IF(F123="","Missing quantity",""),IF(H123="","Missing unit cost","")))</x:f>
      </x:c>
    </x:row>
    <x:row r="124" ht="20" customHeight="1">
      <x:c r="A124" s="15"/>
      <x:c r="B124" s="28"/>
      <x:c r="C124" s="15"/>
      <x:c r="D124" s="15"/>
      <x:c r="E124" s="15"/>
      <x:c r="F124" s="138"/>
      <x:c r="G124" s="15"/>
      <x:c r="H124" s="70"/>
      <x:c r="I124" s="70" t="str">
        <x:f>IF(OR(F124="",H124=""),"",F124*H124)</x:f>
      </x:c>
      <x:c r="J124" s="15"/>
      <x:c r="K124" s="15"/>
      <x:c r="L124" s="15" t="str">
        <x:f>IF(COUNTA(B124:H124,J124:K124)=0,"",TEXTJOIN("; ",TRUE,IF(B124="","Missing work date",""),IF(C124="","Missing project",""),IF(E124="","Missing material",""),IF(F124="","Missing quantity",""),IF(H124="","Missing unit cost","")))</x:f>
      </x:c>
    </x:row>
    <x:row r="125" ht="20" customHeight="1">
      <x:c r="A125" s="15"/>
      <x:c r="B125" s="28"/>
      <x:c r="C125" s="15"/>
      <x:c r="D125" s="15"/>
      <x:c r="E125" s="15"/>
      <x:c r="F125" s="138"/>
      <x:c r="G125" s="15"/>
      <x:c r="H125" s="70"/>
      <x:c r="I125" s="70" t="str">
        <x:f>IF(OR(F125="",H125=""),"",F125*H125)</x:f>
      </x:c>
      <x:c r="J125" s="15"/>
      <x:c r="K125" s="15"/>
      <x:c r="L125" s="15" t="str">
        <x:f>IF(COUNTA(B125:H125,J125:K125)=0,"",TEXTJOIN("; ",TRUE,IF(B125="","Missing work date",""),IF(C125="","Missing project",""),IF(E125="","Missing material",""),IF(F125="","Missing quantity",""),IF(H125="","Missing unit cost","")))</x:f>
      </x:c>
    </x:row>
    <x:row r="126" ht="20" customHeight="1">
      <x:c r="A126" s="15"/>
      <x:c r="B126" s="28"/>
      <x:c r="C126" s="15"/>
      <x:c r="D126" s="15"/>
      <x:c r="E126" s="15"/>
      <x:c r="F126" s="138"/>
      <x:c r="G126" s="15"/>
      <x:c r="H126" s="70"/>
      <x:c r="I126" s="70" t="str">
        <x:f>IF(OR(F126="",H126=""),"",F126*H126)</x:f>
      </x:c>
      <x:c r="J126" s="15"/>
      <x:c r="K126" s="15"/>
      <x:c r="L126" s="15" t="str">
        <x:f>IF(COUNTA(B126:H126,J126:K126)=0,"",TEXTJOIN("; ",TRUE,IF(B126="","Missing work date",""),IF(C126="","Missing project",""),IF(E126="","Missing material",""),IF(F126="","Missing quantity",""),IF(H126="","Missing unit cost","")))</x:f>
      </x:c>
    </x:row>
    <x:row r="127" ht="20" customHeight="1">
      <x:c r="A127" s="15"/>
      <x:c r="B127" s="28"/>
      <x:c r="C127" s="15"/>
      <x:c r="D127" s="15"/>
      <x:c r="E127" s="15"/>
      <x:c r="F127" s="138"/>
      <x:c r="G127" s="15"/>
      <x:c r="H127" s="70"/>
      <x:c r="I127" s="70" t="str">
        <x:f>IF(OR(F127="",H127=""),"",F127*H127)</x:f>
      </x:c>
      <x:c r="J127" s="15"/>
      <x:c r="K127" s="15"/>
      <x:c r="L127" s="15" t="str">
        <x:f>IF(COUNTA(B127:H127,J127:K127)=0,"",TEXTJOIN("; ",TRUE,IF(B127="","Missing work date",""),IF(C127="","Missing project",""),IF(E127="","Missing material",""),IF(F127="","Missing quantity",""),IF(H127="","Missing unit cost","")))</x:f>
      </x:c>
    </x:row>
    <x:row r="128" ht="20" customHeight="1">
      <x:c r="A128" s="15"/>
      <x:c r="B128" s="28"/>
      <x:c r="C128" s="15"/>
      <x:c r="D128" s="15"/>
      <x:c r="E128" s="15"/>
      <x:c r="F128" s="138"/>
      <x:c r="G128" s="15"/>
      <x:c r="H128" s="70"/>
      <x:c r="I128" s="70" t="str">
        <x:f>IF(OR(F128="",H128=""),"",F128*H128)</x:f>
      </x:c>
      <x:c r="J128" s="15"/>
      <x:c r="K128" s="15"/>
      <x:c r="L128" s="15" t="str">
        <x:f>IF(COUNTA(B128:H128,J128:K128)=0,"",TEXTJOIN("; ",TRUE,IF(B128="","Missing work date",""),IF(C128="","Missing project",""),IF(E128="","Missing material",""),IF(F128="","Missing quantity",""),IF(H128="","Missing unit cost","")))</x:f>
      </x:c>
    </x:row>
    <x:row r="129" ht="20" customHeight="1">
      <x:c r="A129" s="15"/>
      <x:c r="B129" s="28"/>
      <x:c r="C129" s="15"/>
      <x:c r="D129" s="15"/>
      <x:c r="E129" s="15"/>
      <x:c r="F129" s="138"/>
      <x:c r="G129" s="15"/>
      <x:c r="H129" s="70"/>
      <x:c r="I129" s="70" t="str">
        <x:f>IF(OR(F129="",H129=""),"",F129*H129)</x:f>
      </x:c>
      <x:c r="J129" s="15"/>
      <x:c r="K129" s="15"/>
      <x:c r="L129" s="15" t="str">
        <x:f>IF(COUNTA(B129:H129,J129:K129)=0,"",TEXTJOIN("; ",TRUE,IF(B129="","Missing work date",""),IF(C129="","Missing project",""),IF(E129="","Missing material",""),IF(F129="","Missing quantity",""),IF(H129="","Missing unit cost","")))</x:f>
      </x:c>
    </x:row>
    <x:row r="130" ht="20" customHeight="1">
      <x:c r="A130" s="15"/>
      <x:c r="B130" s="28"/>
      <x:c r="C130" s="15"/>
      <x:c r="D130" s="15"/>
      <x:c r="E130" s="15"/>
      <x:c r="F130" s="138"/>
      <x:c r="G130" s="15"/>
      <x:c r="H130" s="70"/>
      <x:c r="I130" s="70" t="str">
        <x:f>IF(OR(F130="",H130=""),"",F130*H130)</x:f>
      </x:c>
      <x:c r="J130" s="15"/>
      <x:c r="K130" s="15"/>
      <x:c r="L130" s="15" t="str">
        <x:f>IF(COUNTA(B130:H130,J130:K130)=0,"",TEXTJOIN("; ",TRUE,IF(B130="","Missing work date",""),IF(C130="","Missing project",""),IF(E130="","Missing material",""),IF(F130="","Missing quantity",""),IF(H130="","Missing unit cost","")))</x:f>
      </x:c>
    </x:row>
    <x:row r="131" ht="20" customHeight="1">
      <x:c r="A131" s="15"/>
      <x:c r="B131" s="28"/>
      <x:c r="C131" s="15"/>
      <x:c r="D131" s="15"/>
      <x:c r="E131" s="15"/>
      <x:c r="F131" s="138"/>
      <x:c r="G131" s="15"/>
      <x:c r="H131" s="70"/>
      <x:c r="I131" s="70" t="str">
        <x:f>IF(OR(F131="",H131=""),"",F131*H131)</x:f>
      </x:c>
      <x:c r="J131" s="15"/>
      <x:c r="K131" s="15"/>
      <x:c r="L131" s="15" t="str">
        <x:f>IF(COUNTA(B131:H131,J131:K131)=0,"",TEXTJOIN("; ",TRUE,IF(B131="","Missing work date",""),IF(C131="","Missing project",""),IF(E131="","Missing material",""),IF(F131="","Missing quantity",""),IF(H131="","Missing unit cost","")))</x:f>
      </x:c>
    </x:row>
    <x:row r="132" ht="20" customHeight="1">
      <x:c r="A132" s="15"/>
      <x:c r="B132" s="28"/>
      <x:c r="C132" s="15"/>
      <x:c r="D132" s="15"/>
      <x:c r="E132" s="15"/>
      <x:c r="F132" s="138"/>
      <x:c r="G132" s="15"/>
      <x:c r="H132" s="70"/>
      <x:c r="I132" s="70" t="str">
        <x:f>IF(OR(F132="",H132=""),"",F132*H132)</x:f>
      </x:c>
      <x:c r="J132" s="15"/>
      <x:c r="K132" s="15"/>
      <x:c r="L132" s="15" t="str">
        <x:f>IF(COUNTA(B132:H132,J132:K132)=0,"",TEXTJOIN("; ",TRUE,IF(B132="","Missing work date",""),IF(C132="","Missing project",""),IF(E132="","Missing material",""),IF(F132="","Missing quantity",""),IF(H132="","Missing unit cost","")))</x:f>
      </x:c>
    </x:row>
    <x:row r="133" ht="20" customHeight="1">
      <x:c r="A133" s="15"/>
      <x:c r="B133" s="28"/>
      <x:c r="C133" s="15"/>
      <x:c r="D133" s="15"/>
      <x:c r="E133" s="15"/>
      <x:c r="F133" s="138"/>
      <x:c r="G133" s="15"/>
      <x:c r="H133" s="70"/>
      <x:c r="I133" s="70" t="str">
        <x:f>IF(OR(F133="",H133=""),"",F133*H133)</x:f>
      </x:c>
      <x:c r="J133" s="15"/>
      <x:c r="K133" s="15"/>
      <x:c r="L133" s="15" t="str">
        <x:f>IF(COUNTA(B133:H133,J133:K133)=0,"",TEXTJOIN("; ",TRUE,IF(B133="","Missing work date",""),IF(C133="","Missing project",""),IF(E133="","Missing material",""),IF(F133="","Missing quantity",""),IF(H133="","Missing unit cost","")))</x:f>
      </x:c>
    </x:row>
    <x:row r="134" ht="20" customHeight="1">
      <x:c r="A134" s="15"/>
      <x:c r="B134" s="28"/>
      <x:c r="C134" s="15"/>
      <x:c r="D134" s="15"/>
      <x:c r="E134" s="15"/>
      <x:c r="F134" s="138"/>
      <x:c r="G134" s="15"/>
      <x:c r="H134" s="70"/>
      <x:c r="I134" s="70" t="str">
        <x:f>IF(OR(F134="",H134=""),"",F134*H134)</x:f>
      </x:c>
      <x:c r="J134" s="15"/>
      <x:c r="K134" s="15"/>
      <x:c r="L134" s="15" t="str">
        <x:f>IF(COUNTA(B134:H134,J134:K134)=0,"",TEXTJOIN("; ",TRUE,IF(B134="","Missing work date",""),IF(C134="","Missing project",""),IF(E134="","Missing material",""),IF(F134="","Missing quantity",""),IF(H134="","Missing unit cost","")))</x:f>
      </x:c>
    </x:row>
    <x:row r="135" ht="20" customHeight="1">
      <x:c r="A135" s="15"/>
      <x:c r="B135" s="28"/>
      <x:c r="C135" s="15"/>
      <x:c r="D135" s="15"/>
      <x:c r="E135" s="15"/>
      <x:c r="F135" s="138"/>
      <x:c r="G135" s="15"/>
      <x:c r="H135" s="70"/>
      <x:c r="I135" s="70" t="str">
        <x:f>IF(OR(F135="",H135=""),"",F135*H135)</x:f>
      </x:c>
      <x:c r="J135" s="15"/>
      <x:c r="K135" s="15"/>
      <x:c r="L135" s="15" t="str">
        <x:f>IF(COUNTA(B135:H135,J135:K135)=0,"",TEXTJOIN("; ",TRUE,IF(B135="","Missing work date",""),IF(C135="","Missing project",""),IF(E135="","Missing material",""),IF(F135="","Missing quantity",""),IF(H135="","Missing unit cost","")))</x:f>
      </x:c>
    </x:row>
    <x:row r="136" ht="20" customHeight="1">
      <x:c r="A136" s="15"/>
      <x:c r="B136" s="28"/>
      <x:c r="C136" s="15"/>
      <x:c r="D136" s="15"/>
      <x:c r="E136" s="15"/>
      <x:c r="F136" s="138"/>
      <x:c r="G136" s="15"/>
      <x:c r="H136" s="70"/>
      <x:c r="I136" s="70" t="str">
        <x:f>IF(OR(F136="",H136=""),"",F136*H136)</x:f>
      </x:c>
      <x:c r="J136" s="15"/>
      <x:c r="K136" s="15"/>
      <x:c r="L136" s="15" t="str">
        <x:f>IF(COUNTA(B136:H136,J136:K136)=0,"",TEXTJOIN("; ",TRUE,IF(B136="","Missing work date",""),IF(C136="","Missing project",""),IF(E136="","Missing material",""),IF(F136="","Missing quantity",""),IF(H136="","Missing unit cost","")))</x:f>
      </x:c>
    </x:row>
    <x:row r="137" ht="20" customHeight="1">
      <x:c r="A137" s="15"/>
      <x:c r="B137" s="28"/>
      <x:c r="C137" s="15"/>
      <x:c r="D137" s="15"/>
      <x:c r="E137" s="15"/>
      <x:c r="F137" s="138"/>
      <x:c r="G137" s="15"/>
      <x:c r="H137" s="70"/>
      <x:c r="I137" s="70" t="str">
        <x:f>IF(OR(F137="",H137=""),"",F137*H137)</x:f>
      </x:c>
      <x:c r="J137" s="15"/>
      <x:c r="K137" s="15"/>
      <x:c r="L137" s="15" t="str">
        <x:f>IF(COUNTA(B137:H137,J137:K137)=0,"",TEXTJOIN("; ",TRUE,IF(B137="","Missing work date",""),IF(C137="","Missing project",""),IF(E137="","Missing material",""),IF(F137="","Missing quantity",""),IF(H137="","Missing unit cost","")))</x:f>
      </x:c>
    </x:row>
    <x:row r="138" ht="20" customHeight="1">
      <x:c r="A138" s="15"/>
      <x:c r="B138" s="28"/>
      <x:c r="C138" s="15"/>
      <x:c r="D138" s="15"/>
      <x:c r="E138" s="15"/>
      <x:c r="F138" s="138"/>
      <x:c r="G138" s="15"/>
      <x:c r="H138" s="70"/>
      <x:c r="I138" s="70" t="str">
        <x:f>IF(OR(F138="",H138=""),"",F138*H138)</x:f>
      </x:c>
      <x:c r="J138" s="15"/>
      <x:c r="K138" s="15"/>
      <x:c r="L138" s="15" t="str">
        <x:f>IF(COUNTA(B138:H138,J138:K138)=0,"",TEXTJOIN("; ",TRUE,IF(B138="","Missing work date",""),IF(C138="","Missing project",""),IF(E138="","Missing material",""),IF(F138="","Missing quantity",""),IF(H138="","Missing unit cost","")))</x:f>
      </x:c>
    </x:row>
    <x:row r="139" ht="20" customHeight="1">
      <x:c r="A139" s="15"/>
      <x:c r="B139" s="28"/>
      <x:c r="C139" s="15"/>
      <x:c r="D139" s="15"/>
      <x:c r="E139" s="15"/>
      <x:c r="F139" s="138"/>
      <x:c r="G139" s="15"/>
      <x:c r="H139" s="70"/>
      <x:c r="I139" s="70" t="str">
        <x:f>IF(OR(F139="",H139=""),"",F139*H139)</x:f>
      </x:c>
      <x:c r="J139" s="15"/>
      <x:c r="K139" s="15"/>
      <x:c r="L139" s="15" t="str">
        <x:f>IF(COUNTA(B139:H139,J139:K139)=0,"",TEXTJOIN("; ",TRUE,IF(B139="","Missing work date",""),IF(C139="","Missing project",""),IF(E139="","Missing material",""),IF(F139="","Missing quantity",""),IF(H139="","Missing unit cost","")))</x:f>
      </x:c>
    </x:row>
    <x:row r="140" ht="20" customHeight="1">
      <x:c r="A140" s="15"/>
      <x:c r="B140" s="28"/>
      <x:c r="C140" s="15"/>
      <x:c r="D140" s="15"/>
      <x:c r="E140" s="15"/>
      <x:c r="F140" s="138"/>
      <x:c r="G140" s="15"/>
      <x:c r="H140" s="70"/>
      <x:c r="I140" s="70" t="str">
        <x:f>IF(OR(F140="",H140=""),"",F140*H140)</x:f>
      </x:c>
      <x:c r="J140" s="15"/>
      <x:c r="K140" s="15"/>
      <x:c r="L140" s="15" t="str">
        <x:f>IF(COUNTA(B140:H140,J140:K140)=0,"",TEXTJOIN("; ",TRUE,IF(B140="","Missing work date",""),IF(C140="","Missing project",""),IF(E140="","Missing material",""),IF(F140="","Missing quantity",""),IF(H140="","Missing unit cost","")))</x:f>
      </x:c>
    </x:row>
    <x:row r="141" ht="20" customHeight="1">
      <x:c r="A141" s="15"/>
      <x:c r="B141" s="28"/>
      <x:c r="C141" s="15"/>
      <x:c r="D141" s="15"/>
      <x:c r="E141" s="15"/>
      <x:c r="F141" s="138"/>
      <x:c r="G141" s="15"/>
      <x:c r="H141" s="70"/>
      <x:c r="I141" s="70" t="str">
        <x:f>IF(OR(F141="",H141=""),"",F141*H141)</x:f>
      </x:c>
      <x:c r="J141" s="15"/>
      <x:c r="K141" s="15"/>
      <x:c r="L141" s="15" t="str">
        <x:f>IF(COUNTA(B141:H141,J141:K141)=0,"",TEXTJOIN("; ",TRUE,IF(B141="","Missing work date",""),IF(C141="","Missing project",""),IF(E141="","Missing material",""),IF(F141="","Missing quantity",""),IF(H141="","Missing unit cost","")))</x:f>
      </x:c>
    </x:row>
    <x:row r="142" ht="20" customHeight="1">
      <x:c r="A142" s="15"/>
      <x:c r="B142" s="28"/>
      <x:c r="C142" s="15"/>
      <x:c r="D142" s="15"/>
      <x:c r="E142" s="15"/>
      <x:c r="F142" s="138"/>
      <x:c r="G142" s="15"/>
      <x:c r="H142" s="70"/>
      <x:c r="I142" s="70" t="str">
        <x:f>IF(OR(F142="",H142=""),"",F142*H142)</x:f>
      </x:c>
      <x:c r="J142" s="15"/>
      <x:c r="K142" s="15"/>
      <x:c r="L142" s="15" t="str">
        <x:f>IF(COUNTA(B142:H142,J142:K142)=0,"",TEXTJOIN("; ",TRUE,IF(B142="","Missing work date",""),IF(C142="","Missing project",""),IF(E142="","Missing material",""),IF(F142="","Missing quantity",""),IF(H142="","Missing unit cost","")))</x:f>
      </x:c>
    </x:row>
    <x:row r="143" ht="20" customHeight="1">
      <x:c r="A143" s="15"/>
      <x:c r="B143" s="28"/>
      <x:c r="C143" s="15"/>
      <x:c r="D143" s="15"/>
      <x:c r="E143" s="15"/>
      <x:c r="F143" s="138"/>
      <x:c r="G143" s="15"/>
      <x:c r="H143" s="70"/>
      <x:c r="I143" s="70" t="str">
        <x:f>IF(OR(F143="",H143=""),"",F143*H143)</x:f>
      </x:c>
      <x:c r="J143" s="15"/>
      <x:c r="K143" s="15"/>
      <x:c r="L143" s="15" t="str">
        <x:f>IF(COUNTA(B143:H143,J143:K143)=0,"",TEXTJOIN("; ",TRUE,IF(B143="","Missing work date",""),IF(C143="","Missing project",""),IF(E143="","Missing material",""),IF(F143="","Missing quantity",""),IF(H143="","Missing unit cost","")))</x:f>
      </x:c>
    </x:row>
    <x:row r="144" ht="20" customHeight="1">
      <x:c r="A144" s="15"/>
      <x:c r="B144" s="28"/>
      <x:c r="C144" s="15"/>
      <x:c r="D144" s="15"/>
      <x:c r="E144" s="15"/>
      <x:c r="F144" s="138"/>
      <x:c r="G144" s="15"/>
      <x:c r="H144" s="70"/>
      <x:c r="I144" s="70" t="str">
        <x:f>IF(OR(F144="",H144=""),"",F144*H144)</x:f>
      </x:c>
      <x:c r="J144" s="15"/>
      <x:c r="K144" s="15"/>
      <x:c r="L144" s="15" t="str">
        <x:f>IF(COUNTA(B144:H144,J144:K144)=0,"",TEXTJOIN("; ",TRUE,IF(B144="","Missing work date",""),IF(C144="","Missing project",""),IF(E144="","Missing material",""),IF(F144="","Missing quantity",""),IF(H144="","Missing unit cost","")))</x:f>
      </x:c>
    </x:row>
    <x:row r="145" ht="20" customHeight="1">
      <x:c r="A145" s="15"/>
      <x:c r="B145" s="28"/>
      <x:c r="C145" s="15"/>
      <x:c r="D145" s="15"/>
      <x:c r="E145" s="15"/>
      <x:c r="F145" s="138"/>
      <x:c r="G145" s="15"/>
      <x:c r="H145" s="70"/>
      <x:c r="I145" s="70" t="str">
        <x:f>IF(OR(F145="",H145=""),"",F145*H145)</x:f>
      </x:c>
      <x:c r="J145" s="15"/>
      <x:c r="K145" s="15"/>
      <x:c r="L145" s="15" t="str">
        <x:f>IF(COUNTA(B145:H145,J145:K145)=0,"",TEXTJOIN("; ",TRUE,IF(B145="","Missing work date",""),IF(C145="","Missing project",""),IF(E145="","Missing material",""),IF(F145="","Missing quantity",""),IF(H145="","Missing unit cost","")))</x:f>
      </x:c>
    </x:row>
    <x:row r="146" ht="20" customHeight="1">
      <x:c r="A146" s="15"/>
      <x:c r="B146" s="28"/>
      <x:c r="C146" s="15"/>
      <x:c r="D146" s="15"/>
      <x:c r="E146" s="15"/>
      <x:c r="F146" s="138"/>
      <x:c r="G146" s="15"/>
      <x:c r="H146" s="70"/>
      <x:c r="I146" s="70" t="str">
        <x:f>IF(OR(F146="",H146=""),"",F146*H146)</x:f>
      </x:c>
      <x:c r="J146" s="15"/>
      <x:c r="K146" s="15"/>
      <x:c r="L146" s="15" t="str">
        <x:f>IF(COUNTA(B146:H146,J146:K146)=0,"",TEXTJOIN("; ",TRUE,IF(B146="","Missing work date",""),IF(C146="","Missing project",""),IF(E146="","Missing material",""),IF(F146="","Missing quantity",""),IF(H146="","Missing unit cost","")))</x:f>
      </x:c>
    </x:row>
    <x:row r="147" ht="20" customHeight="1">
      <x:c r="A147" s="15"/>
      <x:c r="B147" s="28"/>
      <x:c r="C147" s="15"/>
      <x:c r="D147" s="15"/>
      <x:c r="E147" s="15"/>
      <x:c r="F147" s="138"/>
      <x:c r="G147" s="15"/>
      <x:c r="H147" s="70"/>
      <x:c r="I147" s="70" t="str">
        <x:f>IF(OR(F147="",H147=""),"",F147*H147)</x:f>
      </x:c>
      <x:c r="J147" s="15"/>
      <x:c r="K147" s="15"/>
      <x:c r="L147" s="15" t="str">
        <x:f>IF(COUNTA(B147:H147,J147:K147)=0,"",TEXTJOIN("; ",TRUE,IF(B147="","Missing work date",""),IF(C147="","Missing project",""),IF(E147="","Missing material",""),IF(F147="","Missing quantity",""),IF(H147="","Missing unit cost","")))</x:f>
      </x:c>
    </x:row>
    <x:row r="148" ht="20" customHeight="1">
      <x:c r="A148" s="15"/>
      <x:c r="B148" s="28"/>
      <x:c r="C148" s="15"/>
      <x:c r="D148" s="15"/>
      <x:c r="E148" s="15"/>
      <x:c r="F148" s="138"/>
      <x:c r="G148" s="15"/>
      <x:c r="H148" s="70"/>
      <x:c r="I148" s="70" t="str">
        <x:f>IF(OR(F148="",H148=""),"",F148*H148)</x:f>
      </x:c>
      <x:c r="J148" s="15"/>
      <x:c r="K148" s="15"/>
      <x:c r="L148" s="15" t="str">
        <x:f>IF(COUNTA(B148:H148,J148:K148)=0,"",TEXTJOIN("; ",TRUE,IF(B148="","Missing work date",""),IF(C148="","Missing project",""),IF(E148="","Missing material",""),IF(F148="","Missing quantity",""),IF(H148="","Missing unit cost","")))</x:f>
      </x:c>
    </x:row>
    <x:row r="149" ht="20" customHeight="1">
      <x:c r="A149" s="15"/>
      <x:c r="B149" s="28"/>
      <x:c r="C149" s="15"/>
      <x:c r="D149" s="15"/>
      <x:c r="E149" s="15"/>
      <x:c r="F149" s="138"/>
      <x:c r="G149" s="15"/>
      <x:c r="H149" s="70"/>
      <x:c r="I149" s="70" t="str">
        <x:f>IF(OR(F149="",H149=""),"",F149*H149)</x:f>
      </x:c>
      <x:c r="J149" s="15"/>
      <x:c r="K149" s="15"/>
      <x:c r="L149" s="15" t="str">
        <x:f>IF(COUNTA(B149:H149,J149:K149)=0,"",TEXTJOIN("; ",TRUE,IF(B149="","Missing work date",""),IF(C149="","Missing project",""),IF(E149="","Missing material",""),IF(F149="","Missing quantity",""),IF(H149="","Missing unit cost","")))</x:f>
      </x:c>
    </x:row>
    <x:row r="150" ht="20" customHeight="1">
      <x:c r="A150" s="15"/>
      <x:c r="B150" s="28"/>
      <x:c r="C150" s="15"/>
      <x:c r="D150" s="15"/>
      <x:c r="E150" s="15"/>
      <x:c r="F150" s="138"/>
      <x:c r="G150" s="15"/>
      <x:c r="H150" s="70"/>
      <x:c r="I150" s="70" t="str">
        <x:f>IF(OR(F150="",H150=""),"",F150*H150)</x:f>
      </x:c>
      <x:c r="J150" s="15"/>
      <x:c r="K150" s="15"/>
      <x:c r="L150" s="15" t="str">
        <x:f>IF(COUNTA(B150:H150,J150:K150)=0,"",TEXTJOIN("; ",TRUE,IF(B150="","Missing work date",""),IF(C150="","Missing project",""),IF(E150="","Missing material",""),IF(F150="","Missing quantity",""),IF(H150="","Missing unit cost","")))</x:f>
      </x:c>
    </x:row>
    <x:row r="151" ht="20" customHeight="1">
      <x:c r="A151" s="15"/>
      <x:c r="B151" s="28"/>
      <x:c r="C151" s="15"/>
      <x:c r="D151" s="15"/>
      <x:c r="E151" s="15"/>
      <x:c r="F151" s="138"/>
      <x:c r="G151" s="15"/>
      <x:c r="H151" s="70"/>
      <x:c r="I151" s="70" t="str">
        <x:f>IF(OR(F151="",H151=""),"",F151*H151)</x:f>
      </x:c>
      <x:c r="J151" s="15"/>
      <x:c r="K151" s="15"/>
      <x:c r="L151" s="15" t="str">
        <x:f>IF(COUNTA(B151:H151,J151:K151)=0,"",TEXTJOIN("; ",TRUE,IF(B151="","Missing work date",""),IF(C151="","Missing project",""),IF(E151="","Missing material",""),IF(F151="","Missing quantity",""),IF(H151="","Missing unit cost","")))</x:f>
      </x:c>
    </x:row>
    <x:row r="152" ht="20" customHeight="1">
      <x:c r="A152" s="15"/>
      <x:c r="B152" s="28"/>
      <x:c r="C152" s="15"/>
      <x:c r="D152" s="15"/>
      <x:c r="E152" s="15"/>
      <x:c r="F152" s="138"/>
      <x:c r="G152" s="15"/>
      <x:c r="H152" s="70"/>
      <x:c r="I152" s="70" t="str">
        <x:f>IF(OR(F152="",H152=""),"",F152*H152)</x:f>
      </x:c>
      <x:c r="J152" s="15"/>
      <x:c r="K152" s="15"/>
      <x:c r="L152" s="15" t="str">
        <x:f>IF(COUNTA(B152:H152,J152:K152)=0,"",TEXTJOIN("; ",TRUE,IF(B152="","Missing work date",""),IF(C152="","Missing project",""),IF(E152="","Missing material",""),IF(F152="","Missing quantity",""),IF(H152="","Missing unit cost","")))</x:f>
      </x:c>
    </x:row>
    <x:row r="153" ht="20" customHeight="1">
      <x:c r="A153" s="15"/>
      <x:c r="B153" s="28"/>
      <x:c r="C153" s="15"/>
      <x:c r="D153" s="15"/>
      <x:c r="E153" s="15"/>
      <x:c r="F153" s="138"/>
      <x:c r="G153" s="15"/>
      <x:c r="H153" s="70"/>
      <x:c r="I153" s="70" t="str">
        <x:f>IF(OR(F153="",H153=""),"",F153*H153)</x:f>
      </x:c>
      <x:c r="J153" s="15"/>
      <x:c r="K153" s="15"/>
      <x:c r="L153" s="15" t="str">
        <x:f>IF(COUNTA(B153:H153,J153:K153)=0,"",TEXTJOIN("; ",TRUE,IF(B153="","Missing work date",""),IF(C153="","Missing project",""),IF(E153="","Missing material",""),IF(F153="","Missing quantity",""),IF(H153="","Missing unit cost","")))</x:f>
      </x:c>
    </x:row>
    <x:row r="154" ht="20" customHeight="1">
      <x:c r="A154" s="15"/>
      <x:c r="B154" s="28"/>
      <x:c r="C154" s="15"/>
      <x:c r="D154" s="15"/>
      <x:c r="E154" s="15"/>
      <x:c r="F154" s="138"/>
      <x:c r="G154" s="15"/>
      <x:c r="H154" s="70"/>
      <x:c r="I154" s="70" t="str">
        <x:f>IF(OR(F154="",H154=""),"",F154*H154)</x:f>
      </x:c>
      <x:c r="J154" s="15"/>
      <x:c r="K154" s="15"/>
      <x:c r="L154" s="15" t="str">
        <x:f>IF(COUNTA(B154:H154,J154:K154)=0,"",TEXTJOIN("; ",TRUE,IF(B154="","Missing work date",""),IF(C154="","Missing project",""),IF(E154="","Missing material",""),IF(F154="","Missing quantity",""),IF(H154="","Missing unit cost","")))</x:f>
      </x:c>
    </x:row>
    <x:row r="155" ht="20" customHeight="1">
      <x:c r="A155" s="15"/>
      <x:c r="B155" s="28"/>
      <x:c r="C155" s="15"/>
      <x:c r="D155" s="15"/>
      <x:c r="E155" s="15"/>
      <x:c r="F155" s="138"/>
      <x:c r="G155" s="15"/>
      <x:c r="H155" s="70"/>
      <x:c r="I155" s="70" t="str">
        <x:f>IF(OR(F155="",H155=""),"",F155*H155)</x:f>
      </x:c>
      <x:c r="J155" s="15"/>
      <x:c r="K155" s="15"/>
      <x:c r="L155" s="15" t="str">
        <x:f>IF(COUNTA(B155:H155,J155:K155)=0,"",TEXTJOIN("; ",TRUE,IF(B155="","Missing work date",""),IF(C155="","Missing project",""),IF(E155="","Missing material",""),IF(F155="","Missing quantity",""),IF(H155="","Missing unit cost","")))</x:f>
      </x:c>
    </x:row>
    <x:row r="156" ht="20" customHeight="1">
      <x:c r="A156" s="15"/>
      <x:c r="B156" s="28"/>
      <x:c r="C156" s="15"/>
      <x:c r="D156" s="15"/>
      <x:c r="E156" s="15"/>
      <x:c r="F156" s="138"/>
      <x:c r="G156" s="15"/>
      <x:c r="H156" s="70"/>
      <x:c r="I156" s="70" t="str">
        <x:f>IF(OR(F156="",H156=""),"",F156*H156)</x:f>
      </x:c>
      <x:c r="J156" s="15"/>
      <x:c r="K156" s="15"/>
      <x:c r="L156" s="15" t="str">
        <x:f>IF(COUNTA(B156:H156,J156:K156)=0,"",TEXTJOIN("; ",TRUE,IF(B156="","Missing work date",""),IF(C156="","Missing project",""),IF(E156="","Missing material",""),IF(F156="","Missing quantity",""),IF(H156="","Missing unit cost","")))</x:f>
      </x:c>
    </x:row>
    <x:row r="157" ht="20" customHeight="1">
      <x:c r="A157" s="15"/>
      <x:c r="B157" s="28"/>
      <x:c r="C157" s="15"/>
      <x:c r="D157" s="15"/>
      <x:c r="E157" s="15"/>
      <x:c r="F157" s="138"/>
      <x:c r="G157" s="15"/>
      <x:c r="H157" s="70"/>
      <x:c r="I157" s="70" t="str">
        <x:f>IF(OR(F157="",H157=""),"",F157*H157)</x:f>
      </x:c>
      <x:c r="J157" s="15"/>
      <x:c r="K157" s="15"/>
      <x:c r="L157" s="15" t="str">
        <x:f>IF(COUNTA(B157:H157,J157:K157)=0,"",TEXTJOIN("; ",TRUE,IF(B157="","Missing work date",""),IF(C157="","Missing project",""),IF(E157="","Missing material",""),IF(F157="","Missing quantity",""),IF(H157="","Missing unit cost","")))</x:f>
      </x:c>
    </x:row>
    <x:row r="158" ht="20" customHeight="1">
      <x:c r="A158" s="15"/>
      <x:c r="B158" s="28"/>
      <x:c r="C158" s="15"/>
      <x:c r="D158" s="15"/>
      <x:c r="E158" s="15"/>
      <x:c r="F158" s="138"/>
      <x:c r="G158" s="15"/>
      <x:c r="H158" s="70"/>
      <x:c r="I158" s="70" t="str">
        <x:f>IF(OR(F158="",H158=""),"",F158*H158)</x:f>
      </x:c>
      <x:c r="J158" s="15"/>
      <x:c r="K158" s="15"/>
      <x:c r="L158" s="15" t="str">
        <x:f>IF(COUNTA(B158:H158,J158:K158)=0,"",TEXTJOIN("; ",TRUE,IF(B158="","Missing work date",""),IF(C158="","Missing project",""),IF(E158="","Missing material",""),IF(F158="","Missing quantity",""),IF(H158="","Missing unit cost","")))</x:f>
      </x:c>
    </x:row>
    <x:row r="159" ht="20" customHeight="1">
      <x:c r="A159" s="15"/>
      <x:c r="B159" s="28"/>
      <x:c r="C159" s="15"/>
      <x:c r="D159" s="15"/>
      <x:c r="E159" s="15"/>
      <x:c r="F159" s="138"/>
      <x:c r="G159" s="15"/>
      <x:c r="H159" s="70"/>
      <x:c r="I159" s="70" t="str">
        <x:f>IF(OR(F159="",H159=""),"",F159*H159)</x:f>
      </x:c>
      <x:c r="J159" s="15"/>
      <x:c r="K159" s="15"/>
      <x:c r="L159" s="15" t="str">
        <x:f>IF(COUNTA(B159:H159,J159:K159)=0,"",TEXTJOIN("; ",TRUE,IF(B159="","Missing work date",""),IF(C159="","Missing project",""),IF(E159="","Missing material",""),IF(F159="","Missing quantity",""),IF(H159="","Missing unit cost","")))</x:f>
      </x:c>
    </x:row>
    <x:row r="160" ht="20" customHeight="1">
      <x:c r="A160" s="15"/>
      <x:c r="B160" s="28"/>
      <x:c r="C160" s="15"/>
      <x:c r="D160" s="15"/>
      <x:c r="E160" s="15"/>
      <x:c r="F160" s="138"/>
      <x:c r="G160" s="15"/>
      <x:c r="H160" s="70"/>
      <x:c r="I160" s="70" t="str">
        <x:f>IF(OR(F160="",H160=""),"",F160*H160)</x:f>
      </x:c>
      <x:c r="J160" s="15"/>
      <x:c r="K160" s="15"/>
      <x:c r="L160" s="15" t="str">
        <x:f>IF(COUNTA(B160:H160,J160:K160)=0,"",TEXTJOIN("; ",TRUE,IF(B160="","Missing work date",""),IF(C160="","Missing project",""),IF(E160="","Missing material",""),IF(F160="","Missing quantity",""),IF(H160="","Missing unit cost","")))</x:f>
      </x:c>
    </x:row>
    <x:row r="161" ht="20" customHeight="1">
      <x:c r="A161" s="15"/>
      <x:c r="B161" s="28"/>
      <x:c r="C161" s="15"/>
      <x:c r="D161" s="15"/>
      <x:c r="E161" s="15"/>
      <x:c r="F161" s="138"/>
      <x:c r="G161" s="15"/>
      <x:c r="H161" s="70"/>
      <x:c r="I161" s="70" t="str">
        <x:f>IF(OR(F161="",H161=""),"",F161*H161)</x:f>
      </x:c>
      <x:c r="J161" s="15"/>
      <x:c r="K161" s="15"/>
      <x:c r="L161" s="15" t="str">
        <x:f>IF(COUNTA(B161:H161,J161:K161)=0,"",TEXTJOIN("; ",TRUE,IF(B161="","Missing work date",""),IF(C161="","Missing project",""),IF(E161="","Missing material",""),IF(F161="","Missing quantity",""),IF(H161="","Missing unit cost","")))</x:f>
      </x:c>
    </x:row>
    <x:row r="162" ht="20" customHeight="1">
      <x:c r="A162" s="15"/>
      <x:c r="B162" s="28"/>
      <x:c r="C162" s="15"/>
      <x:c r="D162" s="15"/>
      <x:c r="E162" s="15"/>
      <x:c r="F162" s="138"/>
      <x:c r="G162" s="15"/>
      <x:c r="H162" s="70"/>
      <x:c r="I162" s="70" t="str">
        <x:f>IF(OR(F162="",H162=""),"",F162*H162)</x:f>
      </x:c>
      <x:c r="J162" s="15"/>
      <x:c r="K162" s="15"/>
      <x:c r="L162" s="15" t="str">
        <x:f>IF(COUNTA(B162:H162,J162:K162)=0,"",TEXTJOIN("; ",TRUE,IF(B162="","Missing work date",""),IF(C162="","Missing project",""),IF(E162="","Missing material",""),IF(F162="","Missing quantity",""),IF(H162="","Missing unit cost","")))</x:f>
      </x:c>
    </x:row>
    <x:row r="163" ht="20" customHeight="1">
      <x:c r="A163" s="15"/>
      <x:c r="B163" s="28"/>
      <x:c r="C163" s="15"/>
      <x:c r="D163" s="15"/>
      <x:c r="E163" s="15"/>
      <x:c r="F163" s="138"/>
      <x:c r="G163" s="15"/>
      <x:c r="H163" s="70"/>
      <x:c r="I163" s="70" t="str">
        <x:f>IF(OR(F163="",H163=""),"",F163*H163)</x:f>
      </x:c>
      <x:c r="J163" s="15"/>
      <x:c r="K163" s="15"/>
      <x:c r="L163" s="15" t="str">
        <x:f>IF(COUNTA(B163:H163,J163:K163)=0,"",TEXTJOIN("; ",TRUE,IF(B163="","Missing work date",""),IF(C163="","Missing project",""),IF(E163="","Missing material",""),IF(F163="","Missing quantity",""),IF(H163="","Missing unit cost","")))</x:f>
      </x:c>
    </x:row>
    <x:row r="164" ht="20" customHeight="1">
      <x:c r="A164" s="15"/>
      <x:c r="B164" s="28"/>
      <x:c r="C164" s="15"/>
      <x:c r="D164" s="15"/>
      <x:c r="E164" s="15"/>
      <x:c r="F164" s="138"/>
      <x:c r="G164" s="15"/>
      <x:c r="H164" s="70"/>
      <x:c r="I164" s="70" t="str">
        <x:f>IF(OR(F164="",H164=""),"",F164*H164)</x:f>
      </x:c>
      <x:c r="J164" s="15"/>
      <x:c r="K164" s="15"/>
      <x:c r="L164" s="15" t="str">
        <x:f>IF(COUNTA(B164:H164,J164:K164)=0,"",TEXTJOIN("; ",TRUE,IF(B164="","Missing work date",""),IF(C164="","Missing project",""),IF(E164="","Missing material",""),IF(F164="","Missing quantity",""),IF(H164="","Missing unit cost","")))</x:f>
      </x:c>
    </x:row>
    <x:row r="165" ht="20" customHeight="1">
      <x:c r="A165" s="15"/>
      <x:c r="B165" s="28"/>
      <x:c r="C165" s="15"/>
      <x:c r="D165" s="15"/>
      <x:c r="E165" s="15"/>
      <x:c r="F165" s="138"/>
      <x:c r="G165" s="15"/>
      <x:c r="H165" s="70"/>
      <x:c r="I165" s="70" t="str">
        <x:f>IF(OR(F165="",H165=""),"",F165*H165)</x:f>
      </x:c>
      <x:c r="J165" s="15"/>
      <x:c r="K165" s="15"/>
      <x:c r="L165" s="15" t="str">
        <x:f>IF(COUNTA(B165:H165,J165:K165)=0,"",TEXTJOIN("; ",TRUE,IF(B165="","Missing work date",""),IF(C165="","Missing project",""),IF(E165="","Missing material",""),IF(F165="","Missing quantity",""),IF(H165="","Missing unit cost","")))</x:f>
      </x:c>
    </x:row>
    <x:row r="166" ht="20" customHeight="1">
      <x:c r="A166" s="15"/>
      <x:c r="B166" s="28"/>
      <x:c r="C166" s="15"/>
      <x:c r="D166" s="15"/>
      <x:c r="E166" s="15"/>
      <x:c r="F166" s="138"/>
      <x:c r="G166" s="15"/>
      <x:c r="H166" s="70"/>
      <x:c r="I166" s="70" t="str">
        <x:f>IF(OR(F166="",H166=""),"",F166*H166)</x:f>
      </x:c>
      <x:c r="J166" s="15"/>
      <x:c r="K166" s="15"/>
      <x:c r="L166" s="15" t="str">
        <x:f>IF(COUNTA(B166:H166,J166:K166)=0,"",TEXTJOIN("; ",TRUE,IF(B166="","Missing work date",""),IF(C166="","Missing project",""),IF(E166="","Missing material",""),IF(F166="","Missing quantity",""),IF(H166="","Missing unit cost","")))</x:f>
      </x:c>
    </x:row>
    <x:row r="167" ht="20" customHeight="1">
      <x:c r="A167" s="15"/>
      <x:c r="B167" s="28"/>
      <x:c r="C167" s="15"/>
      <x:c r="D167" s="15"/>
      <x:c r="E167" s="15"/>
      <x:c r="F167" s="138"/>
      <x:c r="G167" s="15"/>
      <x:c r="H167" s="70"/>
      <x:c r="I167" s="70" t="str">
        <x:f>IF(OR(F167="",H167=""),"",F167*H167)</x:f>
      </x:c>
      <x:c r="J167" s="15"/>
      <x:c r="K167" s="15"/>
      <x:c r="L167" s="15" t="str">
        <x:f>IF(COUNTA(B167:H167,J167:K167)=0,"",TEXTJOIN("; ",TRUE,IF(B167="","Missing work date",""),IF(C167="","Missing project",""),IF(E167="","Missing material",""),IF(F167="","Missing quantity",""),IF(H167="","Missing unit cost","")))</x:f>
      </x:c>
    </x:row>
    <x:row r="168" ht="20" customHeight="1">
      <x:c r="A168" s="15"/>
      <x:c r="B168" s="28"/>
      <x:c r="C168" s="15"/>
      <x:c r="D168" s="15"/>
      <x:c r="E168" s="15"/>
      <x:c r="F168" s="138"/>
      <x:c r="G168" s="15"/>
      <x:c r="H168" s="70"/>
      <x:c r="I168" s="70" t="str">
        <x:f>IF(OR(F168="",H168=""),"",F168*H168)</x:f>
      </x:c>
      <x:c r="J168" s="15"/>
      <x:c r="K168" s="15"/>
      <x:c r="L168" s="15" t="str">
        <x:f>IF(COUNTA(B168:H168,J168:K168)=0,"",TEXTJOIN("; ",TRUE,IF(B168="","Missing work date",""),IF(C168="","Missing project",""),IF(E168="","Missing material",""),IF(F168="","Missing quantity",""),IF(H168="","Missing unit cost","")))</x:f>
      </x:c>
    </x:row>
    <x:row r="169" ht="20" customHeight="1">
      <x:c r="A169" s="15"/>
      <x:c r="B169" s="28"/>
      <x:c r="C169" s="15"/>
      <x:c r="D169" s="15"/>
      <x:c r="E169" s="15"/>
      <x:c r="F169" s="138"/>
      <x:c r="G169" s="15"/>
      <x:c r="H169" s="70"/>
      <x:c r="I169" s="70" t="str">
        <x:f>IF(OR(F169="",H169=""),"",F169*H169)</x:f>
      </x:c>
      <x:c r="J169" s="15"/>
      <x:c r="K169" s="15"/>
      <x:c r="L169" s="15" t="str">
        <x:f>IF(COUNTA(B169:H169,J169:K169)=0,"",TEXTJOIN("; ",TRUE,IF(B169="","Missing work date",""),IF(C169="","Missing project",""),IF(E169="","Missing material",""),IF(F169="","Missing quantity",""),IF(H169="","Missing unit cost","")))</x:f>
      </x:c>
    </x:row>
    <x:row r="170" ht="20" customHeight="1">
      <x:c r="A170" s="15"/>
      <x:c r="B170" s="28"/>
      <x:c r="C170" s="15"/>
      <x:c r="D170" s="15"/>
      <x:c r="E170" s="15"/>
      <x:c r="F170" s="138"/>
      <x:c r="G170" s="15"/>
      <x:c r="H170" s="70"/>
      <x:c r="I170" s="70" t="str">
        <x:f>IF(OR(F170="",H170=""),"",F170*H170)</x:f>
      </x:c>
      <x:c r="J170" s="15"/>
      <x:c r="K170" s="15"/>
      <x:c r="L170" s="15" t="str">
        <x:f>IF(COUNTA(B170:H170,J170:K170)=0,"",TEXTJOIN("; ",TRUE,IF(B170="","Missing work date",""),IF(C170="","Missing project",""),IF(E170="","Missing material",""),IF(F170="","Missing quantity",""),IF(H170="","Missing unit cost","")))</x:f>
      </x:c>
    </x:row>
    <x:row r="171" ht="20" customHeight="1">
      <x:c r="A171" s="15"/>
      <x:c r="B171" s="28"/>
      <x:c r="C171" s="15"/>
      <x:c r="D171" s="15"/>
      <x:c r="E171" s="15"/>
      <x:c r="F171" s="138"/>
      <x:c r="G171" s="15"/>
      <x:c r="H171" s="70"/>
      <x:c r="I171" s="70" t="str">
        <x:f>IF(OR(F171="",H171=""),"",F171*H171)</x:f>
      </x:c>
      <x:c r="J171" s="15"/>
      <x:c r="K171" s="15"/>
      <x:c r="L171" s="15" t="str">
        <x:f>IF(COUNTA(B171:H171,J171:K171)=0,"",TEXTJOIN("; ",TRUE,IF(B171="","Missing work date",""),IF(C171="","Missing project",""),IF(E171="","Missing material",""),IF(F171="","Missing quantity",""),IF(H171="","Missing unit cost","")))</x:f>
      </x:c>
    </x:row>
    <x:row r="172" ht="20" customHeight="1">
      <x:c r="A172" s="15"/>
      <x:c r="B172" s="28"/>
      <x:c r="C172" s="15"/>
      <x:c r="D172" s="15"/>
      <x:c r="E172" s="15"/>
      <x:c r="F172" s="138"/>
      <x:c r="G172" s="15"/>
      <x:c r="H172" s="70"/>
      <x:c r="I172" s="70" t="str">
        <x:f>IF(OR(F172="",H172=""),"",F172*H172)</x:f>
      </x:c>
      <x:c r="J172" s="15"/>
      <x:c r="K172" s="15"/>
      <x:c r="L172" s="15" t="str">
        <x:f>IF(COUNTA(B172:H172,J172:K172)=0,"",TEXTJOIN("; ",TRUE,IF(B172="","Missing work date",""),IF(C172="","Missing project",""),IF(E172="","Missing material",""),IF(F172="","Missing quantity",""),IF(H172="","Missing unit cost","")))</x:f>
      </x:c>
    </x:row>
    <x:row r="173" ht="20" customHeight="1">
      <x:c r="A173" s="15"/>
      <x:c r="B173" s="28"/>
      <x:c r="C173" s="15"/>
      <x:c r="D173" s="15"/>
      <x:c r="E173" s="15"/>
      <x:c r="F173" s="138"/>
      <x:c r="G173" s="15"/>
      <x:c r="H173" s="70"/>
      <x:c r="I173" s="70" t="str">
        <x:f>IF(OR(F173="",H173=""),"",F173*H173)</x:f>
      </x:c>
      <x:c r="J173" s="15"/>
      <x:c r="K173" s="15"/>
      <x:c r="L173" s="15" t="str">
        <x:f>IF(COUNTA(B173:H173,J173:K173)=0,"",TEXTJOIN("; ",TRUE,IF(B173="","Missing work date",""),IF(C173="","Missing project",""),IF(E173="","Missing material",""),IF(F173="","Missing quantity",""),IF(H173="","Missing unit cost","")))</x:f>
      </x:c>
    </x:row>
    <x:row r="174" ht="20" customHeight="1">
      <x:c r="A174" s="15"/>
      <x:c r="B174" s="28"/>
      <x:c r="C174" s="15"/>
      <x:c r="D174" s="15"/>
      <x:c r="E174" s="15"/>
      <x:c r="F174" s="138"/>
      <x:c r="G174" s="15"/>
      <x:c r="H174" s="70"/>
      <x:c r="I174" s="70" t="str">
        <x:f>IF(OR(F174="",H174=""),"",F174*H174)</x:f>
      </x:c>
      <x:c r="J174" s="15"/>
      <x:c r="K174" s="15"/>
      <x:c r="L174" s="15" t="str">
        <x:f>IF(COUNTA(B174:H174,J174:K174)=0,"",TEXTJOIN("; ",TRUE,IF(B174="","Missing work date",""),IF(C174="","Missing project",""),IF(E174="","Missing material",""),IF(F174="","Missing quantity",""),IF(H174="","Missing unit cost","")))</x:f>
      </x:c>
    </x:row>
    <x:row r="175" ht="20" customHeight="1">
      <x:c r="A175" s="15"/>
      <x:c r="B175" s="28"/>
      <x:c r="C175" s="15"/>
      <x:c r="D175" s="15"/>
      <x:c r="E175" s="15"/>
      <x:c r="F175" s="138"/>
      <x:c r="G175" s="15"/>
      <x:c r="H175" s="70"/>
      <x:c r="I175" s="70" t="str">
        <x:f>IF(OR(F175="",H175=""),"",F175*H175)</x:f>
      </x:c>
      <x:c r="J175" s="15"/>
      <x:c r="K175" s="15"/>
      <x:c r="L175" s="15" t="str">
        <x:f>IF(COUNTA(B175:H175,J175:K175)=0,"",TEXTJOIN("; ",TRUE,IF(B175="","Missing work date",""),IF(C175="","Missing project",""),IF(E175="","Missing material",""),IF(F175="","Missing quantity",""),IF(H175="","Missing unit cost","")))</x:f>
      </x:c>
    </x:row>
    <x:row r="176" ht="20" customHeight="1">
      <x:c r="A176" s="15"/>
      <x:c r="B176" s="28"/>
      <x:c r="C176" s="15"/>
      <x:c r="D176" s="15"/>
      <x:c r="E176" s="15"/>
      <x:c r="F176" s="138"/>
      <x:c r="G176" s="15"/>
      <x:c r="H176" s="70"/>
      <x:c r="I176" s="70" t="str">
        <x:f>IF(OR(F176="",H176=""),"",F176*H176)</x:f>
      </x:c>
      <x:c r="J176" s="15"/>
      <x:c r="K176" s="15"/>
      <x:c r="L176" s="15" t="str">
        <x:f>IF(COUNTA(B176:H176,J176:K176)=0,"",TEXTJOIN("; ",TRUE,IF(B176="","Missing work date",""),IF(C176="","Missing project",""),IF(E176="","Missing material",""),IF(F176="","Missing quantity",""),IF(H176="","Missing unit cost","")))</x:f>
      </x:c>
    </x:row>
    <x:row r="177" ht="20" customHeight="1">
      <x:c r="A177" s="15"/>
      <x:c r="B177" s="28"/>
      <x:c r="C177" s="15"/>
      <x:c r="D177" s="15"/>
      <x:c r="E177" s="15"/>
      <x:c r="F177" s="138"/>
      <x:c r="G177" s="15"/>
      <x:c r="H177" s="70"/>
      <x:c r="I177" s="70" t="str">
        <x:f>IF(OR(F177="",H177=""),"",F177*H177)</x:f>
      </x:c>
      <x:c r="J177" s="15"/>
      <x:c r="K177" s="15"/>
      <x:c r="L177" s="15" t="str">
        <x:f>IF(COUNTA(B177:H177,J177:K177)=0,"",TEXTJOIN("; ",TRUE,IF(B177="","Missing work date",""),IF(C177="","Missing project",""),IF(E177="","Missing material",""),IF(F177="","Missing quantity",""),IF(H177="","Missing unit cost","")))</x:f>
      </x:c>
    </x:row>
    <x:row r="178" ht="20" customHeight="1">
      <x:c r="A178" s="15"/>
      <x:c r="B178" s="28"/>
      <x:c r="C178" s="15"/>
      <x:c r="D178" s="15"/>
      <x:c r="E178" s="15"/>
      <x:c r="F178" s="138"/>
      <x:c r="G178" s="15"/>
      <x:c r="H178" s="70"/>
      <x:c r="I178" s="70" t="str">
        <x:f>IF(OR(F178="",H178=""),"",F178*H178)</x:f>
      </x:c>
      <x:c r="J178" s="15"/>
      <x:c r="K178" s="15"/>
      <x:c r="L178" s="15" t="str">
        <x:f>IF(COUNTA(B178:H178,J178:K178)=0,"",TEXTJOIN("; ",TRUE,IF(B178="","Missing work date",""),IF(C178="","Missing project",""),IF(E178="","Missing material",""),IF(F178="","Missing quantity",""),IF(H178="","Missing unit cost","")))</x:f>
      </x:c>
    </x:row>
    <x:row r="179" ht="20" customHeight="1">
      <x:c r="A179" s="15"/>
      <x:c r="B179" s="28"/>
      <x:c r="C179" s="15"/>
      <x:c r="D179" s="15"/>
      <x:c r="E179" s="15"/>
      <x:c r="F179" s="138"/>
      <x:c r="G179" s="15"/>
      <x:c r="H179" s="70"/>
      <x:c r="I179" s="70" t="str">
        <x:f>IF(OR(F179="",H179=""),"",F179*H179)</x:f>
      </x:c>
      <x:c r="J179" s="15"/>
      <x:c r="K179" s="15"/>
      <x:c r="L179" s="15" t="str">
        <x:f>IF(COUNTA(B179:H179,J179:K179)=0,"",TEXTJOIN("; ",TRUE,IF(B179="","Missing work date",""),IF(C179="","Missing project",""),IF(E179="","Missing material",""),IF(F179="","Missing quantity",""),IF(H179="","Missing unit cost","")))</x:f>
      </x:c>
    </x:row>
    <x:row r="180" ht="20" customHeight="1">
      <x:c r="A180" s="15"/>
      <x:c r="B180" s="28"/>
      <x:c r="C180" s="15"/>
      <x:c r="D180" s="15"/>
      <x:c r="E180" s="15"/>
      <x:c r="F180" s="138"/>
      <x:c r="G180" s="15"/>
      <x:c r="H180" s="70"/>
      <x:c r="I180" s="70" t="str">
        <x:f>IF(OR(F180="",H180=""),"",F180*H180)</x:f>
      </x:c>
      <x:c r="J180" s="15"/>
      <x:c r="K180" s="15"/>
      <x:c r="L180" s="15" t="str">
        <x:f>IF(COUNTA(B180:H180,J180:K180)=0,"",TEXTJOIN("; ",TRUE,IF(B180="","Missing work date",""),IF(C180="","Missing project",""),IF(E180="","Missing material",""),IF(F180="","Missing quantity",""),IF(H180="","Missing unit cost","")))</x:f>
      </x:c>
    </x:row>
    <x:row r="181" ht="20" customHeight="1">
      <x:c r="A181" s="15"/>
      <x:c r="B181" s="28"/>
      <x:c r="C181" s="15"/>
      <x:c r="D181" s="15"/>
      <x:c r="E181" s="15"/>
      <x:c r="F181" s="138"/>
      <x:c r="G181" s="15"/>
      <x:c r="H181" s="70"/>
      <x:c r="I181" s="70" t="str">
        <x:f>IF(OR(F181="",H181=""),"",F181*H181)</x:f>
      </x:c>
      <x:c r="J181" s="15"/>
      <x:c r="K181" s="15"/>
      <x:c r="L181" s="15" t="str">
        <x:f>IF(COUNTA(B181:H181,J181:K181)=0,"",TEXTJOIN("; ",TRUE,IF(B181="","Missing work date",""),IF(C181="","Missing project",""),IF(E181="","Missing material",""),IF(F181="","Missing quantity",""),IF(H181="","Missing unit cost","")))</x:f>
      </x:c>
    </x:row>
    <x:row r="182" ht="20" customHeight="1">
      <x:c r="A182" s="15"/>
      <x:c r="B182" s="28"/>
      <x:c r="C182" s="15"/>
      <x:c r="D182" s="15"/>
      <x:c r="E182" s="15"/>
      <x:c r="F182" s="138"/>
      <x:c r="G182" s="15"/>
      <x:c r="H182" s="70"/>
      <x:c r="I182" s="70" t="str">
        <x:f>IF(OR(F182="",H182=""),"",F182*H182)</x:f>
      </x:c>
      <x:c r="J182" s="15"/>
      <x:c r="K182" s="15"/>
      <x:c r="L182" s="15" t="str">
        <x:f>IF(COUNTA(B182:H182,J182:K182)=0,"",TEXTJOIN("; ",TRUE,IF(B182="","Missing work date",""),IF(C182="","Missing project",""),IF(E182="","Missing material",""),IF(F182="","Missing quantity",""),IF(H182="","Missing unit cost","")))</x:f>
      </x:c>
    </x:row>
    <x:row r="183" ht="20" customHeight="1">
      <x:c r="A183" s="15"/>
      <x:c r="B183" s="28"/>
      <x:c r="C183" s="15"/>
      <x:c r="D183" s="15"/>
      <x:c r="E183" s="15"/>
      <x:c r="F183" s="138"/>
      <x:c r="G183" s="15"/>
      <x:c r="H183" s="70"/>
      <x:c r="I183" s="70" t="str">
        <x:f>IF(OR(F183="",H183=""),"",F183*H183)</x:f>
      </x:c>
      <x:c r="J183" s="15"/>
      <x:c r="K183" s="15"/>
      <x:c r="L183" s="15" t="str">
        <x:f>IF(COUNTA(B183:H183,J183:K183)=0,"",TEXTJOIN("; ",TRUE,IF(B183="","Missing work date",""),IF(C183="","Missing project",""),IF(E183="","Missing material",""),IF(F183="","Missing quantity",""),IF(H183="","Missing unit cost","")))</x:f>
      </x:c>
    </x:row>
    <x:row r="184" ht="20" customHeight="1">
      <x:c r="A184" s="15"/>
      <x:c r="B184" s="28"/>
      <x:c r="C184" s="15"/>
      <x:c r="D184" s="15"/>
      <x:c r="E184" s="15"/>
      <x:c r="F184" s="138"/>
      <x:c r="G184" s="15"/>
      <x:c r="H184" s="70"/>
      <x:c r="I184" s="70" t="str">
        <x:f>IF(OR(F184="",H184=""),"",F184*H184)</x:f>
      </x:c>
      <x:c r="J184" s="15"/>
      <x:c r="K184" s="15"/>
      <x:c r="L184" s="15" t="str">
        <x:f>IF(COUNTA(B184:H184,J184:K184)=0,"",TEXTJOIN("; ",TRUE,IF(B184="","Missing work date",""),IF(C184="","Missing project",""),IF(E184="","Missing material",""),IF(F184="","Missing quantity",""),IF(H184="","Missing unit cost","")))</x:f>
      </x:c>
    </x:row>
    <x:row r="185" ht="20" customHeight="1">
      <x:c r="A185" s="15"/>
      <x:c r="B185" s="28"/>
      <x:c r="C185" s="15"/>
      <x:c r="D185" s="15"/>
      <x:c r="E185" s="15"/>
      <x:c r="F185" s="138"/>
      <x:c r="G185" s="15"/>
      <x:c r="H185" s="70"/>
      <x:c r="I185" s="70" t="str">
        <x:f>IF(OR(F185="",H185=""),"",F185*H185)</x:f>
      </x:c>
      <x:c r="J185" s="15"/>
      <x:c r="K185" s="15"/>
      <x:c r="L185" s="15" t="str">
        <x:f>IF(COUNTA(B185:H185,J185:K185)=0,"",TEXTJOIN("; ",TRUE,IF(B185="","Missing work date",""),IF(C185="","Missing project",""),IF(E185="","Missing material",""),IF(F185="","Missing quantity",""),IF(H185="","Missing unit cost","")))</x:f>
      </x:c>
    </x:row>
    <x:row r="186" ht="20" customHeight="1">
      <x:c r="A186" s="15"/>
      <x:c r="B186" s="28"/>
      <x:c r="C186" s="15"/>
      <x:c r="D186" s="15"/>
      <x:c r="E186" s="15"/>
      <x:c r="F186" s="138"/>
      <x:c r="G186" s="15"/>
      <x:c r="H186" s="70"/>
      <x:c r="I186" s="70" t="str">
        <x:f>IF(OR(F186="",H186=""),"",F186*H186)</x:f>
      </x:c>
      <x:c r="J186" s="15"/>
      <x:c r="K186" s="15"/>
      <x:c r="L186" s="15" t="str">
        <x:f>IF(COUNTA(B186:H186,J186:K186)=0,"",TEXTJOIN("; ",TRUE,IF(B186="","Missing work date",""),IF(C186="","Missing project",""),IF(E186="","Missing material",""),IF(F186="","Missing quantity",""),IF(H186="","Missing unit cost","")))</x:f>
      </x:c>
    </x:row>
    <x:row r="187" ht="20" customHeight="1">
      <x:c r="A187" s="15"/>
      <x:c r="B187" s="28"/>
      <x:c r="C187" s="15"/>
      <x:c r="D187" s="15"/>
      <x:c r="E187" s="15"/>
      <x:c r="F187" s="138"/>
      <x:c r="G187" s="15"/>
      <x:c r="H187" s="70"/>
      <x:c r="I187" s="70" t="str">
        <x:f>IF(OR(F187="",H187=""),"",F187*H187)</x:f>
      </x:c>
      <x:c r="J187" s="15"/>
      <x:c r="K187" s="15"/>
      <x:c r="L187" s="15" t="str">
        <x:f>IF(COUNTA(B187:H187,J187:K187)=0,"",TEXTJOIN("; ",TRUE,IF(B187="","Missing work date",""),IF(C187="","Missing project",""),IF(E187="","Missing material",""),IF(F187="","Missing quantity",""),IF(H187="","Missing unit cost","")))</x:f>
      </x:c>
    </x:row>
    <x:row r="188" ht="20" customHeight="1">
      <x:c r="A188" s="15"/>
      <x:c r="B188" s="28"/>
      <x:c r="C188" s="15"/>
      <x:c r="D188" s="15"/>
      <x:c r="E188" s="15"/>
      <x:c r="F188" s="138"/>
      <x:c r="G188" s="15"/>
      <x:c r="H188" s="70"/>
      <x:c r="I188" s="70" t="str">
        <x:f>IF(OR(F188="",H188=""),"",F188*H188)</x:f>
      </x:c>
      <x:c r="J188" s="15"/>
      <x:c r="K188" s="15"/>
      <x:c r="L188" s="15" t="str">
        <x:f>IF(COUNTA(B188:H188,J188:K188)=0,"",TEXTJOIN("; ",TRUE,IF(B188="","Missing work date",""),IF(C188="","Missing project",""),IF(E188="","Missing material",""),IF(F188="","Missing quantity",""),IF(H188="","Missing unit cost","")))</x:f>
      </x:c>
    </x:row>
    <x:row r="189" ht="20" customHeight="1">
      <x:c r="A189" s="15"/>
      <x:c r="B189" s="28"/>
      <x:c r="C189" s="15"/>
      <x:c r="D189" s="15"/>
      <x:c r="E189" s="15"/>
      <x:c r="F189" s="138"/>
      <x:c r="G189" s="15"/>
      <x:c r="H189" s="70"/>
      <x:c r="I189" s="70" t="str">
        <x:f>IF(OR(F189="",H189=""),"",F189*H189)</x:f>
      </x:c>
      <x:c r="J189" s="15"/>
      <x:c r="K189" s="15"/>
      <x:c r="L189" s="15" t="str">
        <x:f>IF(COUNTA(B189:H189,J189:K189)=0,"",TEXTJOIN("; ",TRUE,IF(B189="","Missing work date",""),IF(C189="","Missing project",""),IF(E189="","Missing material",""),IF(F189="","Missing quantity",""),IF(H189="","Missing unit cost","")))</x:f>
      </x:c>
    </x:row>
    <x:row r="190" ht="20" customHeight="1">
      <x:c r="A190" s="15"/>
      <x:c r="B190" s="28"/>
      <x:c r="C190" s="15"/>
      <x:c r="D190" s="15"/>
      <x:c r="E190" s="15"/>
      <x:c r="F190" s="138"/>
      <x:c r="G190" s="15"/>
      <x:c r="H190" s="70"/>
      <x:c r="I190" s="70" t="str">
        <x:f>IF(OR(F190="",H190=""),"",F190*H190)</x:f>
      </x:c>
      <x:c r="J190" s="15"/>
      <x:c r="K190" s="15"/>
      <x:c r="L190" s="15" t="str">
        <x:f>IF(COUNTA(B190:H190,J190:K190)=0,"",TEXTJOIN("; ",TRUE,IF(B190="","Missing work date",""),IF(C190="","Missing project",""),IF(E190="","Missing material",""),IF(F190="","Missing quantity",""),IF(H190="","Missing unit cost","")))</x:f>
      </x:c>
    </x:row>
    <x:row r="191" ht="20" customHeight="1">
      <x:c r="A191" s="15"/>
      <x:c r="B191" s="28"/>
      <x:c r="C191" s="15"/>
      <x:c r="D191" s="15"/>
      <x:c r="E191" s="15"/>
      <x:c r="F191" s="138"/>
      <x:c r="G191" s="15"/>
      <x:c r="H191" s="70"/>
      <x:c r="I191" s="70" t="str">
        <x:f>IF(OR(F191="",H191=""),"",F191*H191)</x:f>
      </x:c>
      <x:c r="J191" s="15"/>
      <x:c r="K191" s="15"/>
      <x:c r="L191" s="15" t="str">
        <x:f>IF(COUNTA(B191:H191,J191:K191)=0,"",TEXTJOIN("; ",TRUE,IF(B191="","Missing work date",""),IF(C191="","Missing project",""),IF(E191="","Missing material",""),IF(F191="","Missing quantity",""),IF(H191="","Missing unit cost","")))</x:f>
      </x:c>
    </x:row>
    <x:row r="192" ht="20" customHeight="1">
      <x:c r="A192" s="15"/>
      <x:c r="B192" s="28"/>
      <x:c r="C192" s="15"/>
      <x:c r="D192" s="15"/>
      <x:c r="E192" s="15"/>
      <x:c r="F192" s="138"/>
      <x:c r="G192" s="15"/>
      <x:c r="H192" s="70"/>
      <x:c r="I192" s="70" t="str">
        <x:f>IF(OR(F192="",H192=""),"",F192*H192)</x:f>
      </x:c>
      <x:c r="J192" s="15"/>
      <x:c r="K192" s="15"/>
      <x:c r="L192" s="15" t="str">
        <x:f>IF(COUNTA(B192:H192,J192:K192)=0,"",TEXTJOIN("; ",TRUE,IF(B192="","Missing work date",""),IF(C192="","Missing project",""),IF(E192="","Missing material",""),IF(F192="","Missing quantity",""),IF(H192="","Missing unit cost","")))</x:f>
      </x:c>
    </x:row>
    <x:row r="193" ht="20" customHeight="1">
      <x:c r="A193" s="15"/>
      <x:c r="B193" s="28"/>
      <x:c r="C193" s="15"/>
      <x:c r="D193" s="15"/>
      <x:c r="E193" s="15"/>
      <x:c r="F193" s="138"/>
      <x:c r="G193" s="15"/>
      <x:c r="H193" s="70"/>
      <x:c r="I193" s="70" t="str">
        <x:f>IF(OR(F193="",H193=""),"",F193*H193)</x:f>
      </x:c>
      <x:c r="J193" s="15"/>
      <x:c r="K193" s="15"/>
      <x:c r="L193" s="15" t="str">
        <x:f>IF(COUNTA(B193:H193,J193:K193)=0,"",TEXTJOIN("; ",TRUE,IF(B193="","Missing work date",""),IF(C193="","Missing project",""),IF(E193="","Missing material",""),IF(F193="","Missing quantity",""),IF(H193="","Missing unit cost","")))</x:f>
      </x:c>
    </x:row>
    <x:row r="194" ht="20" customHeight="1">
      <x:c r="A194" s="15"/>
      <x:c r="B194" s="28"/>
      <x:c r="C194" s="15"/>
      <x:c r="D194" s="15"/>
      <x:c r="E194" s="15"/>
      <x:c r="F194" s="138"/>
      <x:c r="G194" s="15"/>
      <x:c r="H194" s="70"/>
      <x:c r="I194" s="70" t="str">
        <x:f>IF(OR(F194="",H194=""),"",F194*H194)</x:f>
      </x:c>
      <x:c r="J194" s="15"/>
      <x:c r="K194" s="15"/>
      <x:c r="L194" s="15" t="str">
        <x:f>IF(COUNTA(B194:H194,J194:K194)=0,"",TEXTJOIN("; ",TRUE,IF(B194="","Missing work date",""),IF(C194="","Missing project",""),IF(E194="","Missing material",""),IF(F194="","Missing quantity",""),IF(H194="","Missing unit cost","")))</x:f>
      </x:c>
    </x:row>
    <x:row r="195" ht="20" customHeight="1">
      <x:c r="A195" s="15"/>
      <x:c r="B195" s="28"/>
      <x:c r="C195" s="15"/>
      <x:c r="D195" s="15"/>
      <x:c r="E195" s="15"/>
      <x:c r="F195" s="138"/>
      <x:c r="G195" s="15"/>
      <x:c r="H195" s="70"/>
      <x:c r="I195" s="70" t="str">
        <x:f>IF(OR(F195="",H195=""),"",F195*H195)</x:f>
      </x:c>
      <x:c r="J195" s="15"/>
      <x:c r="K195" s="15"/>
      <x:c r="L195" s="15" t="str">
        <x:f>IF(COUNTA(B195:H195,J195:K195)=0,"",TEXTJOIN("; ",TRUE,IF(B195="","Missing work date",""),IF(C195="","Missing project",""),IF(E195="","Missing material",""),IF(F195="","Missing quantity",""),IF(H195="","Missing unit cost","")))</x:f>
      </x:c>
    </x:row>
    <x:row r="196" ht="20" customHeight="1">
      <x:c r="A196" s="15"/>
      <x:c r="B196" s="28"/>
      <x:c r="C196" s="15"/>
      <x:c r="D196" s="15"/>
      <x:c r="E196" s="15"/>
      <x:c r="F196" s="138"/>
      <x:c r="G196" s="15"/>
      <x:c r="H196" s="70"/>
      <x:c r="I196" s="70" t="str">
        <x:f>IF(OR(F196="",H196=""),"",F196*H196)</x:f>
      </x:c>
      <x:c r="J196" s="15"/>
      <x:c r="K196" s="15"/>
      <x:c r="L196" s="15" t="str">
        <x:f>IF(COUNTA(B196:H196,J196:K196)=0,"",TEXTJOIN("; ",TRUE,IF(B196="","Missing work date",""),IF(C196="","Missing project",""),IF(E196="","Missing material",""),IF(F196="","Missing quantity",""),IF(H196="","Missing unit cost","")))</x:f>
      </x:c>
    </x:row>
    <x:row r="197" ht="20" customHeight="1">
      <x:c r="A197" s="15"/>
      <x:c r="B197" s="28"/>
      <x:c r="C197" s="15"/>
      <x:c r="D197" s="15"/>
      <x:c r="E197" s="15"/>
      <x:c r="F197" s="138"/>
      <x:c r="G197" s="15"/>
      <x:c r="H197" s="70"/>
      <x:c r="I197" s="70" t="str">
        <x:f>IF(OR(F197="",H197=""),"",F197*H197)</x:f>
      </x:c>
      <x:c r="J197" s="15"/>
      <x:c r="K197" s="15"/>
      <x:c r="L197" s="15" t="str">
        <x:f>IF(COUNTA(B197:H197,J197:K197)=0,"",TEXTJOIN("; ",TRUE,IF(B197="","Missing work date",""),IF(C197="","Missing project",""),IF(E197="","Missing material",""),IF(F197="","Missing quantity",""),IF(H197="","Missing unit cost","")))</x:f>
      </x:c>
    </x:row>
    <x:row r="198" ht="20" customHeight="1">
      <x:c r="A198" s="15"/>
      <x:c r="B198" s="28"/>
      <x:c r="C198" s="15"/>
      <x:c r="D198" s="15"/>
      <x:c r="E198" s="15"/>
      <x:c r="F198" s="138"/>
      <x:c r="G198" s="15"/>
      <x:c r="H198" s="70"/>
      <x:c r="I198" s="70" t="str">
        <x:f>IF(OR(F198="",H198=""),"",F198*H198)</x:f>
      </x:c>
      <x:c r="J198" s="15"/>
      <x:c r="K198" s="15"/>
      <x:c r="L198" s="15" t="str">
        <x:f>IF(COUNTA(B198:H198,J198:K198)=0,"",TEXTJOIN("; ",TRUE,IF(B198="","Missing work date",""),IF(C198="","Missing project",""),IF(E198="","Missing material",""),IF(F198="","Missing quantity",""),IF(H198="","Missing unit cost","")))</x:f>
      </x:c>
    </x:row>
    <x:row r="199" ht="20" customHeight="1">
      <x:c r="A199" s="15"/>
      <x:c r="B199" s="28"/>
      <x:c r="C199" s="15"/>
      <x:c r="D199" s="15"/>
      <x:c r="E199" s="15"/>
      <x:c r="F199" s="138"/>
      <x:c r="G199" s="15"/>
      <x:c r="H199" s="70"/>
      <x:c r="I199" s="70" t="str">
        <x:f>IF(OR(F199="",H199=""),"",F199*H199)</x:f>
      </x:c>
      <x:c r="J199" s="15"/>
      <x:c r="K199" s="15"/>
      <x:c r="L199" s="15" t="str">
        <x:f>IF(COUNTA(B199:H199,J199:K199)=0,"",TEXTJOIN("; ",TRUE,IF(B199="","Missing work date",""),IF(C199="","Missing project",""),IF(E199="","Missing material",""),IF(F199="","Missing quantity",""),IF(H199="","Missing unit cost","")))</x:f>
      </x:c>
    </x:row>
    <x:row r="200" ht="20" customHeight="1">
      <x:c r="A200" s="15"/>
      <x:c r="B200" s="28"/>
      <x:c r="C200" s="15"/>
      <x:c r="D200" s="15"/>
      <x:c r="E200" s="15"/>
      <x:c r="F200" s="138"/>
      <x:c r="G200" s="15"/>
      <x:c r="H200" s="70"/>
      <x:c r="I200" s="70" t="str">
        <x:f>IF(OR(F200="",H200=""),"",F200*H200)</x:f>
      </x:c>
      <x:c r="J200" s="15"/>
      <x:c r="K200" s="15"/>
      <x:c r="L200" s="15" t="str">
        <x:f>IF(COUNTA(B200:H200,J200:K200)=0,"",TEXTJOIN("; ",TRUE,IF(B200="","Missing work date",""),IF(C200="","Missing project",""),IF(E200="","Missing material",""),IF(F200="","Missing quantity",""),IF(H200="","Missing unit cost","")))</x:f>
      </x:c>
    </x:row>
    <x:row r="201" ht="20" customHeight="1">
      <x:c r="A201" s="15"/>
      <x:c r="B201" s="28"/>
      <x:c r="C201" s="15"/>
      <x:c r="D201" s="15"/>
      <x:c r="E201" s="15"/>
      <x:c r="F201" s="138"/>
      <x:c r="G201" s="15"/>
      <x:c r="H201" s="70"/>
      <x:c r="I201" s="70" t="str">
        <x:f>IF(OR(F201="",H201=""),"",F201*H201)</x:f>
      </x:c>
      <x:c r="J201" s="15"/>
      <x:c r="K201" s="15"/>
      <x:c r="L201" s="15" t="str">
        <x:f>IF(COUNTA(B201:H201,J201:K201)=0,"",TEXTJOIN("; ",TRUE,IF(B201="","Missing work date",""),IF(C201="","Missing project",""),IF(E201="","Missing material",""),IF(F201="","Missing quantity",""),IF(H201="","Missing unit cost","")))</x:f>
      </x:c>
    </x:row>
    <x:row r="202" ht="20" customHeight="1">
      <x:c r="A202" s="15"/>
      <x:c r="B202" s="28"/>
      <x:c r="C202" s="15"/>
      <x:c r="D202" s="15"/>
      <x:c r="E202" s="15"/>
      <x:c r="F202" s="138"/>
      <x:c r="G202" s="15"/>
      <x:c r="H202" s="70"/>
      <x:c r="I202" s="70" t="str">
        <x:f>IF(OR(F202="",H202=""),"",F202*H202)</x:f>
      </x:c>
      <x:c r="J202" s="15"/>
      <x:c r="K202" s="15"/>
      <x:c r="L202" s="15" t="str">
        <x:f>IF(COUNTA(B202:H202,J202:K202)=0,"",TEXTJOIN("; ",TRUE,IF(B202="","Missing work date",""),IF(C202="","Missing project",""),IF(E202="","Missing material",""),IF(F202="","Missing quantity",""),IF(H202="","Missing unit cost","")))</x:f>
      </x:c>
    </x:row>
    <x:row r="203" ht="20" customHeight="1">
      <x:c r="A203" s="15"/>
      <x:c r="B203" s="28"/>
      <x:c r="C203" s="15"/>
      <x:c r="D203" s="15"/>
      <x:c r="E203" s="15"/>
      <x:c r="F203" s="138"/>
      <x:c r="G203" s="15"/>
      <x:c r="H203" s="70"/>
      <x:c r="I203" s="70" t="str">
        <x:f>IF(OR(F203="",H203=""),"",F203*H203)</x:f>
      </x:c>
      <x:c r="J203" s="15"/>
      <x:c r="K203" s="15"/>
      <x:c r="L203" s="15" t="str">
        <x:f>IF(COUNTA(B203:H203,J203:K203)=0,"",TEXTJOIN("; ",TRUE,IF(B203="","Missing work date",""),IF(C203="","Missing project",""),IF(E203="","Missing material",""),IF(F203="","Missing quantity",""),IF(H203="","Missing unit cost","")))</x:f>
      </x:c>
    </x:row>
    <x:row r="204" ht="20" customHeight="1">
      <x:c r="A204" s="15"/>
      <x:c r="B204" s="28"/>
      <x:c r="C204" s="15"/>
      <x:c r="D204" s="15"/>
      <x:c r="E204" s="15"/>
      <x:c r="F204" s="138"/>
      <x:c r="G204" s="15"/>
      <x:c r="H204" s="70"/>
      <x:c r="I204" s="70" t="str">
        <x:f>IF(OR(F204="",H204=""),"",F204*H204)</x:f>
      </x:c>
      <x:c r="J204" s="15"/>
      <x:c r="K204" s="15"/>
      <x:c r="L204" s="15" t="str">
        <x:f>IF(COUNTA(B204:H204,J204:K204)=0,"",TEXTJOIN("; ",TRUE,IF(B204="","Missing work date",""),IF(C204="","Missing project",""),IF(E204="","Missing material",""),IF(F204="","Missing quantity",""),IF(H204="","Missing unit cost","")))</x:f>
      </x:c>
    </x:row>
    <x:row r="205" ht="20" customHeight="1">
      <x:c r="A205" s="15"/>
      <x:c r="B205" s="28"/>
      <x:c r="C205" s="15"/>
      <x:c r="D205" s="15"/>
      <x:c r="E205" s="15"/>
      <x:c r="F205" s="138"/>
      <x:c r="G205" s="15"/>
      <x:c r="H205" s="70"/>
      <x:c r="I205" s="70" t="str">
        <x:f>IF(OR(F205="",H205=""),"",F205*H205)</x:f>
      </x:c>
      <x:c r="J205" s="15"/>
      <x:c r="K205" s="15"/>
      <x:c r="L205" s="15" t="str">
        <x:f>IF(COUNTA(B205:H205,J205:K205)=0,"",TEXTJOIN("; ",TRUE,IF(B205="","Missing work date",""),IF(C205="","Missing project",""),IF(E205="","Missing material",""),IF(F205="","Missing quantity",""),IF(H205="","Missing unit cost","")))</x:f>
      </x:c>
    </x:row>
    <x:row r="206" ht="20" customHeight="1">
      <x:c r="A206" s="15"/>
      <x:c r="B206" s="28"/>
      <x:c r="C206" s="15"/>
      <x:c r="D206" s="15"/>
      <x:c r="E206" s="15"/>
      <x:c r="F206" s="138"/>
      <x:c r="G206" s="15"/>
      <x:c r="H206" s="70"/>
      <x:c r="I206" s="70" t="str">
        <x:f>IF(OR(F206="",H206=""),"",F206*H206)</x:f>
      </x:c>
      <x:c r="J206" s="15"/>
      <x:c r="K206" s="15"/>
      <x:c r="L206" s="15" t="str">
        <x:f>IF(COUNTA(B206:H206,J206:K206)=0,"",TEXTJOIN("; ",TRUE,IF(B206="","Missing work date",""),IF(C206="","Missing project",""),IF(E206="","Missing material",""),IF(F206="","Missing quantity",""),IF(H206="","Missing unit cost","")))</x:f>
      </x:c>
    </x:row>
    <x:row r="207" ht="20" customHeight="1">
      <x:c r="A207" s="15"/>
      <x:c r="B207" s="28"/>
      <x:c r="C207" s="15"/>
      <x:c r="D207" s="15"/>
      <x:c r="E207" s="15"/>
      <x:c r="F207" s="138"/>
      <x:c r="G207" s="15"/>
      <x:c r="H207" s="70"/>
      <x:c r="I207" s="70" t="str">
        <x:f>IF(OR(F207="",H207=""),"",F207*H207)</x:f>
      </x:c>
      <x:c r="J207" s="15"/>
      <x:c r="K207" s="15"/>
      <x:c r="L207" s="15" t="str">
        <x:f>IF(COUNTA(B207:H207,J207:K207)=0,"",TEXTJOIN("; ",TRUE,IF(B207="","Missing work date",""),IF(C207="","Missing project",""),IF(E207="","Missing material",""),IF(F207="","Missing quantity",""),IF(H207="","Missing unit cost","")))</x:f>
      </x:c>
    </x:row>
    <x:row r="208" ht="20" customHeight="1">
      <x:c r="A208" s="15"/>
      <x:c r="B208" s="28"/>
      <x:c r="C208" s="15"/>
      <x:c r="D208" s="15"/>
      <x:c r="E208" s="15"/>
      <x:c r="F208" s="138"/>
      <x:c r="G208" s="15"/>
      <x:c r="H208" s="70"/>
      <x:c r="I208" s="70" t="str">
        <x:f>IF(OR(F208="",H208=""),"",F208*H208)</x:f>
      </x:c>
      <x:c r="J208" s="15"/>
      <x:c r="K208" s="15"/>
      <x:c r="L208" s="15" t="str">
        <x:f>IF(COUNTA(B208:H208,J208:K208)=0,"",TEXTJOIN("; ",TRUE,IF(B208="","Missing work date",""),IF(C208="","Missing project",""),IF(E208="","Missing material",""),IF(F208="","Missing quantity",""),IF(H208="","Missing unit cost","")))</x:f>
      </x:c>
    </x:row>
    <x:row r="209" ht="20" customHeight="1">
      <x:c r="A209" s="15"/>
      <x:c r="B209" s="28"/>
      <x:c r="C209" s="15"/>
      <x:c r="D209" s="15"/>
      <x:c r="E209" s="15"/>
      <x:c r="F209" s="138"/>
      <x:c r="G209" s="15"/>
      <x:c r="H209" s="70"/>
      <x:c r="I209" s="70" t="str">
        <x:f>IF(OR(F209="",H209=""),"",F209*H209)</x:f>
      </x:c>
      <x:c r="J209" s="15"/>
      <x:c r="K209" s="15"/>
      <x:c r="L209" s="15" t="str">
        <x:f>IF(COUNTA(B209:H209,J209:K209)=0,"",TEXTJOIN("; ",TRUE,IF(B209="","Missing work date",""),IF(C209="","Missing project",""),IF(E209="","Missing material",""),IF(F209="","Missing quantity",""),IF(H209="","Missing unit cost","")))</x:f>
      </x:c>
    </x:row>
    <x:row r="210" ht="20" customHeight="1">
      <x:c r="A210" s="15"/>
      <x:c r="B210" s="28"/>
      <x:c r="C210" s="15"/>
      <x:c r="D210" s="15"/>
      <x:c r="E210" s="15"/>
      <x:c r="F210" s="138"/>
      <x:c r="G210" s="15"/>
      <x:c r="H210" s="70"/>
      <x:c r="I210" s="70" t="str">
        <x:f>IF(OR(F210="",H210=""),"",F210*H210)</x:f>
      </x:c>
      <x:c r="J210" s="15"/>
      <x:c r="K210" s="15"/>
      <x:c r="L210" s="15" t="str">
        <x:f>IF(COUNTA(B210:H210,J210:K210)=0,"",TEXTJOIN("; ",TRUE,IF(B210="","Missing work date",""),IF(C210="","Missing project",""),IF(E210="","Missing material",""),IF(F210="","Missing quantity",""),IF(H210="","Missing unit cost","")))</x:f>
      </x:c>
    </x:row>
    <x:row r="211" ht="20" customHeight="1">
      <x:c r="A211" s="15"/>
      <x:c r="B211" s="28"/>
      <x:c r="C211" s="15"/>
      <x:c r="D211" s="15"/>
      <x:c r="E211" s="15"/>
      <x:c r="F211" s="138"/>
      <x:c r="G211" s="15"/>
      <x:c r="H211" s="70"/>
      <x:c r="I211" s="70" t="str">
        <x:f>IF(OR(F211="",H211=""),"",F211*H211)</x:f>
      </x:c>
      <x:c r="J211" s="15"/>
      <x:c r="K211" s="15"/>
      <x:c r="L211" s="15" t="str">
        <x:f>IF(COUNTA(B211:H211,J211:K211)=0,"",TEXTJOIN("; ",TRUE,IF(B211="","Missing work date",""),IF(C211="","Missing project",""),IF(E211="","Missing material",""),IF(F211="","Missing quantity",""),IF(H211="","Missing unit cost","")))</x:f>
      </x:c>
    </x:row>
    <x:row r="212" ht="20" customHeight="1">
      <x:c r="A212" s="15"/>
      <x:c r="B212" s="28"/>
      <x:c r="C212" s="15"/>
      <x:c r="D212" s="15"/>
      <x:c r="E212" s="15"/>
      <x:c r="F212" s="138"/>
      <x:c r="G212" s="15"/>
      <x:c r="H212" s="70"/>
      <x:c r="I212" s="70" t="str">
        <x:f>IF(OR(F212="",H212=""),"",F212*H212)</x:f>
      </x:c>
      <x:c r="J212" s="15"/>
      <x:c r="K212" s="15"/>
      <x:c r="L212" s="15" t="str">
        <x:f>IF(COUNTA(B212:H212,J212:K212)=0,"",TEXTJOIN("; ",TRUE,IF(B212="","Missing work date",""),IF(C212="","Missing project",""),IF(E212="","Missing material",""),IF(F212="","Missing quantity",""),IF(H212="","Missing unit cost","")))</x:f>
      </x:c>
    </x:row>
    <x:row r="213" ht="20" customHeight="1">
      <x:c r="A213" s="15"/>
      <x:c r="B213" s="28"/>
      <x:c r="C213" s="15"/>
      <x:c r="D213" s="15"/>
      <x:c r="E213" s="15"/>
      <x:c r="F213" s="138"/>
      <x:c r="G213" s="15"/>
      <x:c r="H213" s="70"/>
      <x:c r="I213" s="70" t="str">
        <x:f>IF(OR(F213="",H213=""),"",F213*H213)</x:f>
      </x:c>
      <x:c r="J213" s="15"/>
      <x:c r="K213" s="15"/>
      <x:c r="L213" s="15" t="str">
        <x:f>IF(COUNTA(B213:H213,J213:K213)=0,"",TEXTJOIN("; ",TRUE,IF(B213="","Missing work date",""),IF(C213="","Missing project",""),IF(E213="","Missing material",""),IF(F213="","Missing quantity",""),IF(H213="","Missing unit cost","")))</x:f>
      </x:c>
    </x:row>
    <x:row r="214" ht="20" customHeight="1">
      <x:c r="A214" s="15"/>
      <x:c r="B214" s="28"/>
      <x:c r="C214" s="15"/>
      <x:c r="D214" s="15"/>
      <x:c r="E214" s="15"/>
      <x:c r="F214" s="138"/>
      <x:c r="G214" s="15"/>
      <x:c r="H214" s="70"/>
      <x:c r="I214" s="70" t="str">
        <x:f>IF(OR(F214="",H214=""),"",F214*H214)</x:f>
      </x:c>
      <x:c r="J214" s="15"/>
      <x:c r="K214" s="15"/>
      <x:c r="L214" s="15" t="str">
        <x:f>IF(COUNTA(B214:H214,J214:K214)=0,"",TEXTJOIN("; ",TRUE,IF(B214="","Missing work date",""),IF(C214="","Missing project",""),IF(E214="","Missing material",""),IF(F214="","Missing quantity",""),IF(H214="","Missing unit cost","")))</x:f>
      </x:c>
    </x:row>
    <x:row r="215" ht="20" customHeight="1">
      <x:c r="A215" s="15"/>
      <x:c r="B215" s="28"/>
      <x:c r="C215" s="15"/>
      <x:c r="D215" s="15"/>
      <x:c r="E215" s="15"/>
      <x:c r="F215" s="138"/>
      <x:c r="G215" s="15"/>
      <x:c r="H215" s="70"/>
      <x:c r="I215" s="70" t="str">
        <x:f>IF(OR(F215="",H215=""),"",F215*H215)</x:f>
      </x:c>
      <x:c r="J215" s="15"/>
      <x:c r="K215" s="15"/>
      <x:c r="L215" s="15" t="str">
        <x:f>IF(COUNTA(B215:H215,J215:K215)=0,"",TEXTJOIN("; ",TRUE,IF(B215="","Missing work date",""),IF(C215="","Missing project",""),IF(E215="","Missing material",""),IF(F215="","Missing quantity",""),IF(H215="","Missing unit cost","")))</x:f>
      </x:c>
    </x:row>
    <x:row r="216" ht="20" customHeight="1">
      <x:c r="A216" s="15"/>
      <x:c r="B216" s="28"/>
      <x:c r="C216" s="15"/>
      <x:c r="D216" s="15"/>
      <x:c r="E216" s="15"/>
      <x:c r="F216" s="138"/>
      <x:c r="G216" s="15"/>
      <x:c r="H216" s="70"/>
      <x:c r="I216" s="70" t="str">
        <x:f>IF(OR(F216="",H216=""),"",F216*H216)</x:f>
      </x:c>
      <x:c r="J216" s="15"/>
      <x:c r="K216" s="15"/>
      <x:c r="L216" s="15" t="str">
        <x:f>IF(COUNTA(B216:H216,J216:K216)=0,"",TEXTJOIN("; ",TRUE,IF(B216="","Missing work date",""),IF(C216="","Missing project",""),IF(E216="","Missing material",""),IF(F216="","Missing quantity",""),IF(H216="","Missing unit cost","")))</x:f>
      </x:c>
    </x:row>
    <x:row r="217" ht="20" customHeight="1">
      <x:c r="A217" s="15"/>
      <x:c r="B217" s="28"/>
      <x:c r="C217" s="15"/>
      <x:c r="D217" s="15"/>
      <x:c r="E217" s="15"/>
      <x:c r="F217" s="138"/>
      <x:c r="G217" s="15"/>
      <x:c r="H217" s="70"/>
      <x:c r="I217" s="70" t="str">
        <x:f>IF(OR(F217="",H217=""),"",F217*H217)</x:f>
      </x:c>
      <x:c r="J217" s="15"/>
      <x:c r="K217" s="15"/>
      <x:c r="L217" s="15" t="str">
        <x:f>IF(COUNTA(B217:H217,J217:K217)=0,"",TEXTJOIN("; ",TRUE,IF(B217="","Missing work date",""),IF(C217="","Missing project",""),IF(E217="","Missing material",""),IF(F217="","Missing quantity",""),IF(H217="","Missing unit cost","")))</x:f>
      </x:c>
    </x:row>
    <x:row r="218" ht="20" customHeight="1">
      <x:c r="A218" s="15"/>
      <x:c r="B218" s="28"/>
      <x:c r="C218" s="15"/>
      <x:c r="D218" s="15"/>
      <x:c r="E218" s="15"/>
      <x:c r="F218" s="138"/>
      <x:c r="G218" s="15"/>
      <x:c r="H218" s="70"/>
      <x:c r="I218" s="70" t="str">
        <x:f>IF(OR(F218="",H218=""),"",F218*H218)</x:f>
      </x:c>
      <x:c r="J218" s="15"/>
      <x:c r="K218" s="15"/>
      <x:c r="L218" s="15" t="str">
        <x:f>IF(COUNTA(B218:H218,J218:K218)=0,"",TEXTJOIN("; ",TRUE,IF(B218="","Missing work date",""),IF(C218="","Missing project",""),IF(E218="","Missing material",""),IF(F218="","Missing quantity",""),IF(H218="","Missing unit cost","")))</x:f>
      </x:c>
    </x:row>
    <x:row r="219" ht="20" customHeight="1">
      <x:c r="A219" s="15"/>
      <x:c r="B219" s="28"/>
      <x:c r="C219" s="15"/>
      <x:c r="D219" s="15"/>
      <x:c r="E219" s="15"/>
      <x:c r="F219" s="138"/>
      <x:c r="G219" s="15"/>
      <x:c r="H219" s="70"/>
      <x:c r="I219" s="70" t="str">
        <x:f>IF(OR(F219="",H219=""),"",F219*H219)</x:f>
      </x:c>
      <x:c r="J219" s="15"/>
      <x:c r="K219" s="15"/>
      <x:c r="L219" s="15" t="str">
        <x:f>IF(COUNTA(B219:H219,J219:K219)=0,"",TEXTJOIN("; ",TRUE,IF(B219="","Missing work date",""),IF(C219="","Missing project",""),IF(E219="","Missing material",""),IF(F219="","Missing quantity",""),IF(H219="","Missing unit cost","")))</x:f>
      </x:c>
    </x:row>
    <x:row r="220" ht="20" customHeight="1">
      <x:c r="A220" s="15"/>
      <x:c r="B220" s="28"/>
      <x:c r="C220" s="15"/>
      <x:c r="D220" s="15"/>
      <x:c r="E220" s="15"/>
      <x:c r="F220" s="138"/>
      <x:c r="G220" s="15"/>
      <x:c r="H220" s="70"/>
      <x:c r="I220" s="70" t="str">
        <x:f>IF(OR(F220="",H220=""),"",F220*H220)</x:f>
      </x:c>
      <x:c r="J220" s="15"/>
      <x:c r="K220" s="15"/>
      <x:c r="L220" s="15" t="str">
        <x:f>IF(COUNTA(B220:H220,J220:K220)=0,"",TEXTJOIN("; ",TRUE,IF(B220="","Missing work date",""),IF(C220="","Missing project",""),IF(E220="","Missing material",""),IF(F220="","Missing quantity",""),IF(H220="","Missing unit cost","")))</x:f>
      </x:c>
    </x:row>
    <x:row r="221" ht="20" customHeight="1">
      <x:c r="A221" s="15"/>
      <x:c r="B221" s="28"/>
      <x:c r="C221" s="15"/>
      <x:c r="D221" s="15"/>
      <x:c r="E221" s="15"/>
      <x:c r="F221" s="138"/>
      <x:c r="G221" s="15"/>
      <x:c r="H221" s="70"/>
      <x:c r="I221" s="70" t="str">
        <x:f>IF(OR(F221="",H221=""),"",F221*H221)</x:f>
      </x:c>
      <x:c r="J221" s="15"/>
      <x:c r="K221" s="15"/>
      <x:c r="L221" s="15" t="str">
        <x:f>IF(COUNTA(B221:H221,J221:K221)=0,"",TEXTJOIN("; ",TRUE,IF(B221="","Missing work date",""),IF(C221="","Missing project",""),IF(E221="","Missing material",""),IF(F221="","Missing quantity",""),IF(H221="","Missing unit cost","")))</x:f>
      </x:c>
    </x:row>
    <x:row r="222" ht="20" customHeight="1">
      <x:c r="A222" s="15"/>
      <x:c r="B222" s="28"/>
      <x:c r="C222" s="15"/>
      <x:c r="D222" s="15"/>
      <x:c r="E222" s="15"/>
      <x:c r="F222" s="138"/>
      <x:c r="G222" s="15"/>
      <x:c r="H222" s="70"/>
      <x:c r="I222" s="70" t="str">
        <x:f>IF(OR(F222="",H222=""),"",F222*H222)</x:f>
      </x:c>
      <x:c r="J222" s="15"/>
      <x:c r="K222" s="15"/>
      <x:c r="L222" s="15" t="str">
        <x:f>IF(COUNTA(B222:H222,J222:K222)=0,"",TEXTJOIN("; ",TRUE,IF(B222="","Missing work date",""),IF(C222="","Missing project",""),IF(E222="","Missing material",""),IF(F222="","Missing quantity",""),IF(H222="","Missing unit cost","")))</x:f>
      </x:c>
    </x:row>
    <x:row r="223" ht="20" customHeight="1">
      <x:c r="A223" s="15"/>
      <x:c r="B223" s="28"/>
      <x:c r="C223" s="15"/>
      <x:c r="D223" s="15"/>
      <x:c r="E223" s="15"/>
      <x:c r="F223" s="138"/>
      <x:c r="G223" s="15"/>
      <x:c r="H223" s="70"/>
      <x:c r="I223" s="70" t="str">
        <x:f>IF(OR(F223="",H223=""),"",F223*H223)</x:f>
      </x:c>
      <x:c r="J223" s="15"/>
      <x:c r="K223" s="15"/>
      <x:c r="L223" s="15" t="str">
        <x:f>IF(COUNTA(B223:H223,J223:K223)=0,"",TEXTJOIN("; ",TRUE,IF(B223="","Missing work date",""),IF(C223="","Missing project",""),IF(E223="","Missing material",""),IF(F223="","Missing quantity",""),IF(H223="","Missing unit cost","")))</x:f>
      </x:c>
    </x:row>
    <x:row r="224" ht="20" customHeight="1">
      <x:c r="A224" s="15"/>
      <x:c r="B224" s="28"/>
      <x:c r="C224" s="15"/>
      <x:c r="D224" s="15"/>
      <x:c r="E224" s="15"/>
      <x:c r="F224" s="138"/>
      <x:c r="G224" s="15"/>
      <x:c r="H224" s="70"/>
      <x:c r="I224" s="70" t="str">
        <x:f>IF(OR(F224="",H224=""),"",F224*H224)</x:f>
      </x:c>
      <x:c r="J224" s="15"/>
      <x:c r="K224" s="15"/>
      <x:c r="L224" s="15" t="str">
        <x:f>IF(COUNTA(B224:H224,J224:K224)=0,"",TEXTJOIN("; ",TRUE,IF(B224="","Missing work date",""),IF(C224="","Missing project",""),IF(E224="","Missing material",""),IF(F224="","Missing quantity",""),IF(H224="","Missing unit cost","")))</x:f>
      </x:c>
    </x:row>
    <x:row r="225" ht="20" customHeight="1">
      <x:c r="A225" s="15"/>
      <x:c r="B225" s="28"/>
      <x:c r="C225" s="15"/>
      <x:c r="D225" s="15"/>
      <x:c r="E225" s="15"/>
      <x:c r="F225" s="138"/>
      <x:c r="G225" s="15"/>
      <x:c r="H225" s="70"/>
      <x:c r="I225" s="70" t="str">
        <x:f>IF(OR(F225="",H225=""),"",F225*H225)</x:f>
      </x:c>
      <x:c r="J225" s="15"/>
      <x:c r="K225" s="15"/>
      <x:c r="L225" s="15" t="str">
        <x:f>IF(COUNTA(B225:H225,J225:K225)=0,"",TEXTJOIN("; ",TRUE,IF(B225="","Missing work date",""),IF(C225="","Missing project",""),IF(E225="","Missing material",""),IF(F225="","Missing quantity",""),IF(H225="","Missing unit cost","")))</x:f>
      </x:c>
    </x:row>
    <x:row r="226" ht="20" customHeight="1">
      <x:c r="A226" s="15"/>
      <x:c r="B226" s="28"/>
      <x:c r="C226" s="15"/>
      <x:c r="D226" s="15"/>
      <x:c r="E226" s="15"/>
      <x:c r="F226" s="138"/>
      <x:c r="G226" s="15"/>
      <x:c r="H226" s="70"/>
      <x:c r="I226" s="70" t="str">
        <x:f>IF(OR(F226="",H226=""),"",F226*H226)</x:f>
      </x:c>
      <x:c r="J226" s="15"/>
      <x:c r="K226" s="15"/>
      <x:c r="L226" s="15" t="str">
        <x:f>IF(COUNTA(B226:H226,J226:K226)=0,"",TEXTJOIN("; ",TRUE,IF(B226="","Missing work date",""),IF(C226="","Missing project",""),IF(E226="","Missing material",""),IF(F226="","Missing quantity",""),IF(H226="","Missing unit cost","")))</x:f>
      </x:c>
    </x:row>
    <x:row r="227" ht="20" customHeight="1">
      <x:c r="A227" s="15"/>
      <x:c r="B227" s="28"/>
      <x:c r="C227" s="15"/>
      <x:c r="D227" s="15"/>
      <x:c r="E227" s="15"/>
      <x:c r="F227" s="138"/>
      <x:c r="G227" s="15"/>
      <x:c r="H227" s="70"/>
      <x:c r="I227" s="70" t="str">
        <x:f>IF(OR(F227="",H227=""),"",F227*H227)</x:f>
      </x:c>
      <x:c r="J227" s="15"/>
      <x:c r="K227" s="15"/>
      <x:c r="L227" s="15" t="str">
        <x:f>IF(COUNTA(B227:H227,J227:K227)=0,"",TEXTJOIN("; ",TRUE,IF(B227="","Missing work date",""),IF(C227="","Missing project",""),IF(E227="","Missing material",""),IF(F227="","Missing quantity",""),IF(H227="","Missing unit cost","")))</x:f>
      </x:c>
    </x:row>
    <x:row r="228" ht="20" customHeight="1">
      <x:c r="A228" s="15"/>
      <x:c r="B228" s="28"/>
      <x:c r="C228" s="15"/>
      <x:c r="D228" s="15"/>
      <x:c r="E228" s="15"/>
      <x:c r="F228" s="138"/>
      <x:c r="G228" s="15"/>
      <x:c r="H228" s="70"/>
      <x:c r="I228" s="70" t="str">
        <x:f>IF(OR(F228="",H228=""),"",F228*H228)</x:f>
      </x:c>
      <x:c r="J228" s="15"/>
      <x:c r="K228" s="15"/>
      <x:c r="L228" s="15" t="str">
        <x:f>IF(COUNTA(B228:H228,J228:K228)=0,"",TEXTJOIN("; ",TRUE,IF(B228="","Missing work date",""),IF(C228="","Missing project",""),IF(E228="","Missing material",""),IF(F228="","Missing quantity",""),IF(H228="","Missing unit cost","")))</x:f>
      </x:c>
    </x:row>
    <x:row r="229" ht="20" customHeight="1">
      <x:c r="A229" s="15"/>
      <x:c r="B229" s="28"/>
      <x:c r="C229" s="15"/>
      <x:c r="D229" s="15"/>
      <x:c r="E229" s="15"/>
      <x:c r="F229" s="138"/>
      <x:c r="G229" s="15"/>
      <x:c r="H229" s="70"/>
      <x:c r="I229" s="70" t="str">
        <x:f>IF(OR(F229="",H229=""),"",F229*H229)</x:f>
      </x:c>
      <x:c r="J229" s="15"/>
      <x:c r="K229" s="15"/>
      <x:c r="L229" s="15" t="str">
        <x:f>IF(COUNTA(B229:H229,J229:K229)=0,"",TEXTJOIN("; ",TRUE,IF(B229="","Missing work date",""),IF(C229="","Missing project",""),IF(E229="","Missing material",""),IF(F229="","Missing quantity",""),IF(H229="","Missing unit cost","")))</x:f>
      </x:c>
    </x:row>
    <x:row r="230" ht="20" customHeight="1">
      <x:c r="A230" s="15"/>
      <x:c r="B230" s="28"/>
      <x:c r="C230" s="15"/>
      <x:c r="D230" s="15"/>
      <x:c r="E230" s="15"/>
      <x:c r="F230" s="138"/>
      <x:c r="G230" s="15"/>
      <x:c r="H230" s="70"/>
      <x:c r="I230" s="70" t="str">
        <x:f>IF(OR(F230="",H230=""),"",F230*H230)</x:f>
      </x:c>
      <x:c r="J230" s="15"/>
      <x:c r="K230" s="15"/>
      <x:c r="L230" s="15" t="str">
        <x:f>IF(COUNTA(B230:H230,J230:K230)=0,"",TEXTJOIN("; ",TRUE,IF(B230="","Missing work date",""),IF(C230="","Missing project",""),IF(E230="","Missing material",""),IF(F230="","Missing quantity",""),IF(H230="","Missing unit cost","")))</x:f>
      </x:c>
    </x:row>
    <x:row r="231" ht="20" customHeight="1">
      <x:c r="A231" s="15"/>
      <x:c r="B231" s="28"/>
      <x:c r="C231" s="15"/>
      <x:c r="D231" s="15"/>
      <x:c r="E231" s="15"/>
      <x:c r="F231" s="138"/>
      <x:c r="G231" s="15"/>
      <x:c r="H231" s="70"/>
      <x:c r="I231" s="70" t="str">
        <x:f>IF(OR(F231="",H231=""),"",F231*H231)</x:f>
      </x:c>
      <x:c r="J231" s="15"/>
      <x:c r="K231" s="15"/>
      <x:c r="L231" s="15" t="str">
        <x:f>IF(COUNTA(B231:H231,J231:K231)=0,"",TEXTJOIN("; ",TRUE,IF(B231="","Missing work date",""),IF(C231="","Missing project",""),IF(E231="","Missing material",""),IF(F231="","Missing quantity",""),IF(H231="","Missing unit cost","")))</x:f>
      </x:c>
    </x:row>
    <x:row r="232" ht="20" customHeight="1">
      <x:c r="A232" s="15"/>
      <x:c r="B232" s="28"/>
      <x:c r="C232" s="15"/>
      <x:c r="D232" s="15"/>
      <x:c r="E232" s="15"/>
      <x:c r="F232" s="138"/>
      <x:c r="G232" s="15"/>
      <x:c r="H232" s="70"/>
      <x:c r="I232" s="70" t="str">
        <x:f>IF(OR(F232="",H232=""),"",F232*H232)</x:f>
      </x:c>
      <x:c r="J232" s="15"/>
      <x:c r="K232" s="15"/>
      <x:c r="L232" s="15" t="str">
        <x:f>IF(COUNTA(B232:H232,J232:K232)=0,"",TEXTJOIN("; ",TRUE,IF(B232="","Missing work date",""),IF(C232="","Missing project",""),IF(E232="","Missing material",""),IF(F232="","Missing quantity",""),IF(H232="","Missing unit cost","")))</x:f>
      </x:c>
    </x:row>
    <x:row r="233" ht="20" customHeight="1">
      <x:c r="A233" s="15"/>
      <x:c r="B233" s="28"/>
      <x:c r="C233" s="15"/>
      <x:c r="D233" s="15"/>
      <x:c r="E233" s="15"/>
      <x:c r="F233" s="138"/>
      <x:c r="G233" s="15"/>
      <x:c r="H233" s="70"/>
      <x:c r="I233" s="70" t="str">
        <x:f>IF(OR(F233="",H233=""),"",F233*H233)</x:f>
      </x:c>
      <x:c r="J233" s="15"/>
      <x:c r="K233" s="15"/>
      <x:c r="L233" s="15" t="str">
        <x:f>IF(COUNTA(B233:H233,J233:K233)=0,"",TEXTJOIN("; ",TRUE,IF(B233="","Missing work date",""),IF(C233="","Missing project",""),IF(E233="","Missing material",""),IF(F233="","Missing quantity",""),IF(H233="","Missing unit cost","")))</x:f>
      </x:c>
    </x:row>
    <x:row r="234" ht="20" customHeight="1">
      <x:c r="A234" s="15"/>
      <x:c r="B234" s="28"/>
      <x:c r="C234" s="15"/>
      <x:c r="D234" s="15"/>
      <x:c r="E234" s="15"/>
      <x:c r="F234" s="138"/>
      <x:c r="G234" s="15"/>
      <x:c r="H234" s="70"/>
      <x:c r="I234" s="70" t="str">
        <x:f>IF(OR(F234="",H234=""),"",F234*H234)</x:f>
      </x:c>
      <x:c r="J234" s="15"/>
      <x:c r="K234" s="15"/>
      <x:c r="L234" s="15" t="str">
        <x:f>IF(COUNTA(B234:H234,J234:K234)=0,"",TEXTJOIN("; ",TRUE,IF(B234="","Missing work date",""),IF(C234="","Missing project",""),IF(E234="","Missing material",""),IF(F234="","Missing quantity",""),IF(H234="","Missing unit cost","")))</x:f>
      </x:c>
    </x:row>
    <x:row r="235" ht="20" customHeight="1">
      <x:c r="A235" s="15"/>
      <x:c r="B235" s="28"/>
      <x:c r="C235" s="15"/>
      <x:c r="D235" s="15"/>
      <x:c r="E235" s="15"/>
      <x:c r="F235" s="138"/>
      <x:c r="G235" s="15"/>
      <x:c r="H235" s="70"/>
      <x:c r="I235" s="70" t="str">
        <x:f>IF(OR(F235="",H235=""),"",F235*H235)</x:f>
      </x:c>
      <x:c r="J235" s="15"/>
      <x:c r="K235" s="15"/>
      <x:c r="L235" s="15" t="str">
        <x:f>IF(COUNTA(B235:H235,J235:K235)=0,"",TEXTJOIN("; ",TRUE,IF(B235="","Missing work date",""),IF(C235="","Missing project",""),IF(E235="","Missing material",""),IF(F235="","Missing quantity",""),IF(H235="","Missing unit cost","")))</x:f>
      </x:c>
    </x:row>
    <x:row r="236" ht="20" customHeight="1">
      <x:c r="A236" s="15"/>
      <x:c r="B236" s="28"/>
      <x:c r="C236" s="15"/>
      <x:c r="D236" s="15"/>
      <x:c r="E236" s="15"/>
      <x:c r="F236" s="138"/>
      <x:c r="G236" s="15"/>
      <x:c r="H236" s="70"/>
      <x:c r="I236" s="70" t="str">
        <x:f>IF(OR(F236="",H236=""),"",F236*H236)</x:f>
      </x:c>
      <x:c r="J236" s="15"/>
      <x:c r="K236" s="15"/>
      <x:c r="L236" s="15" t="str">
        <x:f>IF(COUNTA(B236:H236,J236:K236)=0,"",TEXTJOIN("; ",TRUE,IF(B236="","Missing work date",""),IF(C236="","Missing project",""),IF(E236="","Missing material",""),IF(F236="","Missing quantity",""),IF(H236="","Missing unit cost","")))</x:f>
      </x:c>
    </x:row>
    <x:row r="237" ht="20" customHeight="1">
      <x:c r="A237" s="15"/>
      <x:c r="B237" s="28"/>
      <x:c r="C237" s="15"/>
      <x:c r="D237" s="15"/>
      <x:c r="E237" s="15"/>
      <x:c r="F237" s="138"/>
      <x:c r="G237" s="15"/>
      <x:c r="H237" s="70"/>
      <x:c r="I237" s="70" t="str">
        <x:f>IF(OR(F237="",H237=""),"",F237*H237)</x:f>
      </x:c>
      <x:c r="J237" s="15"/>
      <x:c r="K237" s="15"/>
      <x:c r="L237" s="15" t="str">
        <x:f>IF(COUNTA(B237:H237,J237:K237)=0,"",TEXTJOIN("; ",TRUE,IF(B237="","Missing work date",""),IF(C237="","Missing project",""),IF(E237="","Missing material",""),IF(F237="","Missing quantity",""),IF(H237="","Missing unit cost","")))</x:f>
      </x:c>
    </x:row>
    <x:row r="238" ht="20" customHeight="1">
      <x:c r="A238" s="15"/>
      <x:c r="B238" s="28"/>
      <x:c r="C238" s="15"/>
      <x:c r="D238" s="15"/>
      <x:c r="E238" s="15"/>
      <x:c r="F238" s="138"/>
      <x:c r="G238" s="15"/>
      <x:c r="H238" s="70"/>
      <x:c r="I238" s="70" t="str">
        <x:f>IF(OR(F238="",H238=""),"",F238*H238)</x:f>
      </x:c>
      <x:c r="J238" s="15"/>
      <x:c r="K238" s="15"/>
      <x:c r="L238" s="15" t="str">
        <x:f>IF(COUNTA(B238:H238,J238:K238)=0,"",TEXTJOIN("; ",TRUE,IF(B238="","Missing work date",""),IF(C238="","Missing project",""),IF(E238="","Missing material",""),IF(F238="","Missing quantity",""),IF(H238="","Missing unit cost","")))</x:f>
      </x:c>
    </x:row>
    <x:row r="239" ht="20" customHeight="1">
      <x:c r="A239" s="15"/>
      <x:c r="B239" s="28"/>
      <x:c r="C239" s="15"/>
      <x:c r="D239" s="15"/>
      <x:c r="E239" s="15"/>
      <x:c r="F239" s="138"/>
      <x:c r="G239" s="15"/>
      <x:c r="H239" s="70"/>
      <x:c r="I239" s="70" t="str">
        <x:f>IF(OR(F239="",H239=""),"",F239*H239)</x:f>
      </x:c>
      <x:c r="J239" s="15"/>
      <x:c r="K239" s="15"/>
      <x:c r="L239" s="15" t="str">
        <x:f>IF(COUNTA(B239:H239,J239:K239)=0,"",TEXTJOIN("; ",TRUE,IF(B239="","Missing work date",""),IF(C239="","Missing project",""),IF(E239="","Missing material",""),IF(F239="","Missing quantity",""),IF(H239="","Missing unit cost","")))</x:f>
      </x:c>
    </x:row>
    <x:row r="240" ht="20" customHeight="1">
      <x:c r="A240" s="15"/>
      <x:c r="B240" s="28"/>
      <x:c r="C240" s="15"/>
      <x:c r="D240" s="15"/>
      <x:c r="E240" s="15"/>
      <x:c r="F240" s="138"/>
      <x:c r="G240" s="15"/>
      <x:c r="H240" s="70"/>
      <x:c r="I240" s="70" t="str">
        <x:f>IF(OR(F240="",H240=""),"",F240*H240)</x:f>
      </x:c>
      <x:c r="J240" s="15"/>
      <x:c r="K240" s="15"/>
      <x:c r="L240" s="15" t="str">
        <x:f>IF(COUNTA(B240:H240,J240:K240)=0,"",TEXTJOIN("; ",TRUE,IF(B240="","Missing work date",""),IF(C240="","Missing project",""),IF(E240="","Missing material",""),IF(F240="","Missing quantity",""),IF(H240="","Missing unit cost","")))</x:f>
      </x:c>
    </x:row>
    <x:row r="241" ht="20" customHeight="1">
      <x:c r="A241" s="15"/>
      <x:c r="B241" s="28"/>
      <x:c r="C241" s="15"/>
      <x:c r="D241" s="15"/>
      <x:c r="E241" s="15"/>
      <x:c r="F241" s="138"/>
      <x:c r="G241" s="15"/>
      <x:c r="H241" s="70"/>
      <x:c r="I241" s="70" t="str">
        <x:f>IF(OR(F241="",H241=""),"",F241*H241)</x:f>
      </x:c>
      <x:c r="J241" s="15"/>
      <x:c r="K241" s="15"/>
      <x:c r="L241" s="15" t="str">
        <x:f>IF(COUNTA(B241:H241,J241:K241)=0,"",TEXTJOIN("; ",TRUE,IF(B241="","Missing work date",""),IF(C241="","Missing project",""),IF(E241="","Missing material",""),IF(F241="","Missing quantity",""),IF(H241="","Missing unit cost","")))</x:f>
      </x:c>
    </x:row>
    <x:row r="242" ht="20" customHeight="1">
      <x:c r="A242" s="15"/>
      <x:c r="B242" s="28"/>
      <x:c r="C242" s="15"/>
      <x:c r="D242" s="15"/>
      <x:c r="E242" s="15"/>
      <x:c r="F242" s="138"/>
      <x:c r="G242" s="15"/>
      <x:c r="H242" s="70"/>
      <x:c r="I242" s="70" t="str">
        <x:f>IF(OR(F242="",H242=""),"",F242*H242)</x:f>
      </x:c>
      <x:c r="J242" s="15"/>
      <x:c r="K242" s="15"/>
      <x:c r="L242" s="15" t="str">
        <x:f>IF(COUNTA(B242:H242,J242:K242)=0,"",TEXTJOIN("; ",TRUE,IF(B242="","Missing work date",""),IF(C242="","Missing project",""),IF(E242="","Missing material",""),IF(F242="","Missing quantity",""),IF(H242="","Missing unit cost","")))</x:f>
      </x:c>
    </x:row>
    <x:row r="243" ht="20" customHeight="1">
      <x:c r="A243" s="15"/>
      <x:c r="B243" s="28"/>
      <x:c r="C243" s="15"/>
      <x:c r="D243" s="15"/>
      <x:c r="E243" s="15"/>
      <x:c r="F243" s="138"/>
      <x:c r="G243" s="15"/>
      <x:c r="H243" s="70"/>
      <x:c r="I243" s="70" t="str">
        <x:f>IF(OR(F243="",H243=""),"",F243*H243)</x:f>
      </x:c>
      <x:c r="J243" s="15"/>
      <x:c r="K243" s="15"/>
      <x:c r="L243" s="15" t="str">
        <x:f>IF(COUNTA(B243:H243,J243:K243)=0,"",TEXTJOIN("; ",TRUE,IF(B243="","Missing work date",""),IF(C243="","Missing project",""),IF(E243="","Missing material",""),IF(F243="","Missing quantity",""),IF(H243="","Missing unit cost","")))</x:f>
      </x:c>
    </x:row>
    <x:row r="244" ht="20" customHeight="1">
      <x:c r="A244" s="15"/>
      <x:c r="B244" s="28"/>
      <x:c r="C244" s="15"/>
      <x:c r="D244" s="15"/>
      <x:c r="E244" s="15"/>
      <x:c r="F244" s="138"/>
      <x:c r="G244" s="15"/>
      <x:c r="H244" s="70"/>
      <x:c r="I244" s="70" t="str">
        <x:f>IF(OR(F244="",H244=""),"",F244*H244)</x:f>
      </x:c>
      <x:c r="J244" s="15"/>
      <x:c r="K244" s="15"/>
      <x:c r="L244" s="15" t="str">
        <x:f>IF(COUNTA(B244:H244,J244:K244)=0,"",TEXTJOIN("; ",TRUE,IF(B244="","Missing work date",""),IF(C244="","Missing project",""),IF(E244="","Missing material",""),IF(F244="","Missing quantity",""),IF(H244="","Missing unit cost","")))</x:f>
      </x:c>
    </x:row>
    <x:row r="245" ht="20" customHeight="1">
      <x:c r="A245" s="15"/>
      <x:c r="B245" s="28"/>
      <x:c r="C245" s="15"/>
      <x:c r="D245" s="15"/>
      <x:c r="E245" s="15"/>
      <x:c r="F245" s="138"/>
      <x:c r="G245" s="15"/>
      <x:c r="H245" s="70"/>
      <x:c r="I245" s="70" t="str">
        <x:f>IF(OR(F245="",H245=""),"",F245*H245)</x:f>
      </x:c>
      <x:c r="J245" s="15"/>
      <x:c r="K245" s="15"/>
      <x:c r="L245" s="15" t="str">
        <x:f>IF(COUNTA(B245:H245,J245:K245)=0,"",TEXTJOIN("; ",TRUE,IF(B245="","Missing work date",""),IF(C245="","Missing project",""),IF(E245="","Missing material",""),IF(F245="","Missing quantity",""),IF(H245="","Missing unit cost","")))</x:f>
      </x:c>
    </x:row>
    <x:row r="246" ht="20" customHeight="1">
      <x:c r="A246" s="15"/>
      <x:c r="B246" s="28"/>
      <x:c r="C246" s="15"/>
      <x:c r="D246" s="15"/>
      <x:c r="E246" s="15"/>
      <x:c r="F246" s="138"/>
      <x:c r="G246" s="15"/>
      <x:c r="H246" s="70"/>
      <x:c r="I246" s="70" t="str">
        <x:f>IF(OR(F246="",H246=""),"",F246*H246)</x:f>
      </x:c>
      <x:c r="J246" s="15"/>
      <x:c r="K246" s="15"/>
      <x:c r="L246" s="15" t="str">
        <x:f>IF(COUNTA(B246:H246,J246:K246)=0,"",TEXTJOIN("; ",TRUE,IF(B246="","Missing work date",""),IF(C246="","Missing project",""),IF(E246="","Missing material",""),IF(F246="","Missing quantity",""),IF(H246="","Missing unit cost","")))</x:f>
      </x:c>
    </x:row>
    <x:row r="247" ht="20" customHeight="1">
      <x:c r="A247" s="15"/>
      <x:c r="B247" s="28"/>
      <x:c r="C247" s="15"/>
      <x:c r="D247" s="15"/>
      <x:c r="E247" s="15"/>
      <x:c r="F247" s="138"/>
      <x:c r="G247" s="15"/>
      <x:c r="H247" s="70"/>
      <x:c r="I247" s="70" t="str">
        <x:f>IF(OR(F247="",H247=""),"",F247*H247)</x:f>
      </x:c>
      <x:c r="J247" s="15"/>
      <x:c r="K247" s="15"/>
      <x:c r="L247" s="15" t="str">
        <x:f>IF(COUNTA(B247:H247,J247:K247)=0,"",TEXTJOIN("; ",TRUE,IF(B247="","Missing work date",""),IF(C247="","Missing project",""),IF(E247="","Missing material",""),IF(F247="","Missing quantity",""),IF(H247="","Missing unit cost","")))</x:f>
      </x:c>
    </x:row>
    <x:row r="248" ht="20" customHeight="1">
      <x:c r="A248" s="15"/>
      <x:c r="B248" s="28"/>
      <x:c r="C248" s="15"/>
      <x:c r="D248" s="15"/>
      <x:c r="E248" s="15"/>
      <x:c r="F248" s="138"/>
      <x:c r="G248" s="15"/>
      <x:c r="H248" s="70"/>
      <x:c r="I248" s="70" t="str">
        <x:f>IF(OR(F248="",H248=""),"",F248*H248)</x:f>
      </x:c>
      <x:c r="J248" s="15"/>
      <x:c r="K248" s="15"/>
      <x:c r="L248" s="15" t="str">
        <x:f>IF(COUNTA(B248:H248,J248:K248)=0,"",TEXTJOIN("; ",TRUE,IF(B248="","Missing work date",""),IF(C248="","Missing project",""),IF(E248="","Missing material",""),IF(F248="","Missing quantity",""),IF(H248="","Missing unit cost","")))</x:f>
      </x:c>
    </x:row>
    <x:row r="249" ht="20" customHeight="1">
      <x:c r="A249" s="15"/>
      <x:c r="B249" s="28"/>
      <x:c r="C249" s="15"/>
      <x:c r="D249" s="15"/>
      <x:c r="E249" s="15"/>
      <x:c r="F249" s="138"/>
      <x:c r="G249" s="15"/>
      <x:c r="H249" s="70"/>
      <x:c r="I249" s="70" t="str">
        <x:f>IF(OR(F249="",H249=""),"",F249*H249)</x:f>
      </x:c>
      <x:c r="J249" s="15"/>
      <x:c r="K249" s="15"/>
      <x:c r="L249" s="15" t="str">
        <x:f>IF(COUNTA(B249:H249,J249:K249)=0,"",TEXTJOIN("; ",TRUE,IF(B249="","Missing work date",""),IF(C249="","Missing project",""),IF(E249="","Missing material",""),IF(F249="","Missing quantity",""),IF(H249="","Missing unit cost","")))</x:f>
      </x:c>
    </x:row>
    <x:row r="250" ht="20" customHeight="1">
      <x:c r="A250" s="15"/>
      <x:c r="B250" s="28"/>
      <x:c r="C250" s="15"/>
      <x:c r="D250" s="15"/>
      <x:c r="E250" s="15"/>
      <x:c r="F250" s="138"/>
      <x:c r="G250" s="15"/>
      <x:c r="H250" s="70"/>
      <x:c r="I250" s="70" t="str">
        <x:f>IF(OR(F250="",H250=""),"",F250*H250)</x:f>
      </x:c>
      <x:c r="J250" s="15"/>
      <x:c r="K250" s="15"/>
      <x:c r="L250" s="15" t="str">
        <x:f>IF(COUNTA(B250:H250,J250:K250)=0,"",TEXTJOIN("; ",TRUE,IF(B250="","Missing work date",""),IF(C250="","Missing project",""),IF(E250="","Missing material",""),IF(F250="","Missing quantity",""),IF(H250="","Missing unit cost","")))</x:f>
      </x:c>
    </x:row>
    <x:row r="251" ht="20" customHeight="1">
      <x:c r="A251" s="15"/>
      <x:c r="B251" s="28"/>
      <x:c r="C251" s="15"/>
      <x:c r="D251" s="15"/>
      <x:c r="E251" s="15"/>
      <x:c r="F251" s="138"/>
      <x:c r="G251" s="15"/>
      <x:c r="H251" s="70"/>
      <x:c r="I251" s="70" t="str">
        <x:f>IF(OR(F251="",H251=""),"",F251*H251)</x:f>
      </x:c>
      <x:c r="J251" s="15"/>
      <x:c r="K251" s="15"/>
      <x:c r="L251" s="15" t="str">
        <x:f>IF(COUNTA(B251:H251,J251:K251)=0,"",TEXTJOIN("; ",TRUE,IF(B251="","Missing work date",""),IF(C251="","Missing project",""),IF(E251="","Missing material",""),IF(F251="","Missing quantity",""),IF(H251="","Missing unit cost","")))</x:f>
      </x:c>
    </x:row>
  </x:sheetData>
  <x:conditionalFormatting sqref="L2:L251">
    <x:cfRule type="expression" dxfId="4" priority="1">
      <x:formula>L2&lt;&gt;""</x:formula>
    </x:cfRule>
  </x:conditionalFormatting>
  <x:dataValidations count="2">
    <x:dataValidation type="list" sqref="G2:G251">
      <x:formula1>"ft,lf,each,hr,yard,mile,sqft,ton"</x:formula1>
    </x:dataValidation>
    <x:dataValidation type="list" sqref="J2:J25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5ed2d8a24b43d5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  <x:col min="11" max="11" width="14" hidden="0" customWidth="1"/>
    <x:col min="12" max="12" width="14" hidden="0" customWidth="1"/>
    <x:col min="13" max="13" width="14" hidden="0" customWidth="1"/>
    <x:col min="14" max="14" width="18" hidden="0" customWidth="1"/>
    <x:col min="15" max="15" width="48" hidden="0" customWidth="1"/>
  </x:cols>
  <x:sheetData>
    <x:row r="1" ht="30" customHeight="1">
      <x:c r="A1" s="176" t="str">
        <x:v>EquipLogID</x:v>
      </x:c>
      <x:c r="B1" s="176" t="str">
        <x:v>WorkDate</x:v>
      </x:c>
      <x:c r="C1" s="176" t="str">
        <x:v>ProjectID</x:v>
      </x:c>
      <x:c r="D1" s="176" t="str">
        <x:v>JobID</x:v>
      </x:c>
      <x:c r="E1" s="176" t="str">
        <x:v>EquipmentID</x:v>
      </x:c>
      <x:c r="F1" s="176" t="str">
        <x:v>OperatorID</x:v>
      </x:c>
      <x:c r="G1" s="176" t="str">
        <x:v>StartMeter</x:v>
      </x:c>
      <x:c r="H1" s="176" t="str">
        <x:v>EndMeter</x:v>
      </x:c>
      <x:c r="I1" s="176" t="str">
        <x:v>MeterHours</x:v>
      </x:c>
      <x:c r="J1" s="176" t="str">
        <x:v>IdleHours</x:v>
      </x:c>
      <x:c r="K1" s="176" t="str">
        <x:v>FuelGallons</x:v>
      </x:c>
      <x:c r="L1" s="176" t="str">
        <x:v>HourlyCost</x:v>
      </x:c>
      <x:c r="M1" s="176" t="str">
        <x:v>EquipmentCost</x:v>
      </x:c>
      <x:c r="N1" s="176" t="str">
        <x:v>SourceSubmissionID</x:v>
      </x:c>
      <x:c r="O1" s="176" t="str">
        <x:v>ValidationIssues</x:v>
      </x:c>
    </x:row>
    <x:row r="2" ht="20" customHeight="1">
      <x:c r="A2" s="15" t="str">
        <x:v>EQLOG-0001</x:v>
      </x:c>
      <x:c r="B2" s="28" t="n">
        <x:v>46204</x:v>
      </x:c>
      <x:c r="C2" s="15" t="str">
        <x:v>PRJ-1001</x:v>
      </x:c>
      <x:c r="D2" s="15" t="str">
        <x:v>JOB-1001</x:v>
      </x:c>
      <x:c r="E2" s="15" t="str">
        <x:v>EQ-101</x:v>
      </x:c>
      <x:c r="F2" s="15" t="str">
        <x:v>EMP-001</x:v>
      </x:c>
      <x:c r="G2" s="138" t="n">
        <x:v>10240</x:v>
      </x:c>
      <x:c r="H2" s="138" t="n">
        <x:v>10286</x:v>
      </x:c>
      <x:c r="I2" s="138" t="n">
        <x:f>IF(OR(G2="",H2=""),"",MAX(0,H2-G2))</x:f>
        <x:v>46</x:v>
      </x:c>
      <x:c r="J2" s="138" t="n">
        <x:v>0.5</x:v>
      </x:c>
      <x:c r="K2" s="138" t="n">
        <x:v>8</x:v>
      </x:c>
      <x:c r="L2" s="70" t="n">
        <x:f>IF(E2="","",IFERROR(INDEX('07_Equipment'!$G:$G,MATCH(E2,'07_Equipment'!$A:$A,0)),"NO RATE"))</x:f>
        <x:v>18</x:v>
      </x:c>
      <x:c r="M2" s="70" t="n">
        <x:f>IF(OR(I2="",NOT(ISNUMBER(L2))),"",I2*L2)</x:f>
        <x:v>828</x:v>
      </x:c>
      <x:c r="N2" s="15" t="str">
        <x:v>SUB-0001</x:v>
      </x:c>
      <x:c r="O2" s="15" t="str">
        <x:f>IF(COUNTA(B2:H2,J2:K2,N2:N2)=0,"",TEXTJOIN("; ",TRUE,IF(B2="","Missing work date",""),IF(C2="","Missing project",""),IF(E2="","Missing equipment",""),IF(H2&lt;G2,"End meter before start",""),IF(L2="NO RATE","Missing equipment rate","")))</x:f>
      </x:c>
    </x:row>
    <x:row r="3" ht="20" customHeight="1">
      <x:c r="A3" s="15" t="str">
        <x:v>EQLOG-0002</x:v>
      </x:c>
      <x:c r="B3" s="28" t="n">
        <x:v>46204</x:v>
      </x:c>
      <x:c r="C3" s="15" t="str">
        <x:v>PRJ-1001</x:v>
      </x:c>
      <x:c r="D3" s="15" t="str">
        <x:v>JOB-1002</x:v>
      </x:c>
      <x:c r="E3" s="15" t="str">
        <x:v>EQ-201</x:v>
      </x:c>
      <x:c r="F3" s="15" t="str">
        <x:v>EMP-003</x:v>
      </x:c>
      <x:c r="G3" s="138" t="n">
        <x:v>882.5</x:v>
      </x:c>
      <x:c r="H3" s="138" t="n">
        <x:v>890</x:v>
      </x:c>
      <x:c r="I3" s="138" t="n">
        <x:f>IF(OR(G3="",H3=""),"",MAX(0,H3-G3))</x:f>
        <x:v>7.5</x:v>
      </x:c>
      <x:c r="J3" s="138" t="n">
        <x:v>1</x:v>
      </x:c>
      <x:c r="K3" s="138" t="n">
        <x:v>12.5</x:v>
      </x:c>
      <x:c r="L3" s="70" t="n">
        <x:f>IF(E3="","",IFERROR(INDEX('07_Equipment'!$G:$G,MATCH(E3,'07_Equipment'!$A:$A,0)),"NO RATE"))</x:f>
        <x:v>95</x:v>
      </x:c>
      <x:c r="M3" s="70" t="n">
        <x:f>IF(OR(I3="",NOT(ISNUMBER(L3))),"",I3*L3)</x:f>
        <x:v>712.5</x:v>
      </x:c>
      <x:c r="N3" s="15" t="str">
        <x:v>SUB-0002</x:v>
      </x:c>
      <x:c r="O3" s="15" t="str">
        <x:f>IF(COUNTA(B3:H3,J3:K3,N3:N3)=0,"",TEXTJOIN("; ",TRUE,IF(B3="","Missing work date",""),IF(C3="","Missing project",""),IF(E3="","Missing equipment",""),IF(H3&lt;G3,"End meter before start",""),IF(L3="NO RATE","Missing equipment rate","")))</x:f>
      </x:c>
    </x:row>
    <x:row r="4" ht="20" customHeight="1">
      <x:c r="A4" s="15" t="str">
        <x:v>EQLOG-0003</x:v>
      </x:c>
      <x:c r="B4" s="28" t="n">
        <x:v>46205</x:v>
      </x:c>
      <x:c r="C4" s="15" t="str">
        <x:v>PRJ-1001</x:v>
      </x:c>
      <x:c r="D4" s="15" t="str">
        <x:v>JOB-1001</x:v>
      </x:c>
      <x:c r="E4" s="15" t="str">
        <x:v>EQ-101</x:v>
      </x:c>
      <x:c r="F4" s="15" t="str">
        <x:v>EMP-001</x:v>
      </x:c>
      <x:c r="G4" s="138" t="n">
        <x:v>10286</x:v>
      </x:c>
      <x:c r="H4" s="138" t="n">
        <x:v>10334</x:v>
      </x:c>
      <x:c r="I4" s="138" t="n">
        <x:f>IF(OR(G4="",H4=""),"",MAX(0,H4-G4))</x:f>
        <x:v>48</x:v>
      </x:c>
      <x:c r="J4" s="138" t="n">
        <x:v>0.25</x:v>
      </x:c>
      <x:c r="K4" s="138" t="n">
        <x:v>9</x:v>
      </x:c>
      <x:c r="L4" s="70" t="n">
        <x:f>IF(E4="","",IFERROR(INDEX('07_Equipment'!$G:$G,MATCH(E4,'07_Equipment'!$A:$A,0)),"NO RATE"))</x:f>
        <x:v>18</x:v>
      </x:c>
      <x:c r="M4" s="70" t="n">
        <x:f>IF(OR(I4="",NOT(ISNUMBER(L4))),"",I4*L4)</x:f>
        <x:v>864</x:v>
      </x:c>
      <x:c r="N4" s="15" t="str">
        <x:v>SUB-0004</x:v>
      </x:c>
      <x:c r="O4" s="15" t="str">
        <x:f>IF(COUNTA(B4:H4,J4:K4,N4:N4)=0,"",TEXTJOIN("; ",TRUE,IF(B4="","Missing work date",""),IF(C4="","Missing project",""),IF(E4="","Missing equipment",""),IF(H4&lt;G4,"End meter before start",""),IF(L4="NO RATE","Missing equipment rate","")))</x:f>
      </x:c>
    </x:row>
    <x:row r="5" ht="20" customHeight="1">
      <x:c r="A5" s="15"/>
      <x:c r="B5" s="28"/>
      <x:c r="C5" s="15"/>
      <x:c r="D5" s="15"/>
      <x:c r="E5" s="15"/>
      <x:c r="F5" s="15"/>
      <x:c r="G5" s="138"/>
      <x:c r="H5" s="138"/>
      <x:c r="I5" s="138" t="str">
        <x:f>IF(OR(G5="",H5=""),"",MAX(0,H5-G5))</x:f>
      </x:c>
      <x:c r="J5" s="138"/>
      <x:c r="K5" s="138"/>
      <x:c r="L5" s="70" t="str">
        <x:f>IF(E5="","",IFERROR(INDEX('07_Equipment'!$G:$G,MATCH(E5,'07_Equipment'!$A:$A,0)),"NO RATE"))</x:f>
      </x:c>
      <x:c r="M5" s="70" t="str">
        <x:f>IF(OR(I5="",NOT(ISNUMBER(L5))),"",I5*L5)</x:f>
      </x:c>
      <x:c r="N5" s="15"/>
      <x:c r="O5" s="15" t="str">
        <x:f>IF(COUNTA(B5:H5,J5:K5,N5:N5)=0,"",TEXTJOIN("; ",TRUE,IF(B5="","Missing work date",""),IF(C5="","Missing project",""),IF(E5="","Missing equipment",""),IF(H5&lt;G5,"End meter before start",""),IF(L5="NO RATE","Missing equipment rate","")))</x:f>
      </x:c>
    </x:row>
    <x:row r="6" ht="20" customHeight="1">
      <x:c r="A6" s="15"/>
      <x:c r="B6" s="28"/>
      <x:c r="C6" s="15"/>
      <x:c r="D6" s="15"/>
      <x:c r="E6" s="15"/>
      <x:c r="F6" s="15"/>
      <x:c r="G6" s="138"/>
      <x:c r="H6" s="138"/>
      <x:c r="I6" s="138" t="str">
        <x:f>IF(OR(G6="",H6=""),"",MAX(0,H6-G6))</x:f>
      </x:c>
      <x:c r="J6" s="138"/>
      <x:c r="K6" s="138"/>
      <x:c r="L6" s="70" t="str">
        <x:f>IF(E6="","",IFERROR(INDEX('07_Equipment'!$G:$G,MATCH(E6,'07_Equipment'!$A:$A,0)),"NO RATE"))</x:f>
      </x:c>
      <x:c r="M6" s="70" t="str">
        <x:f>IF(OR(I6="",NOT(ISNUMBER(L6))),"",I6*L6)</x:f>
      </x:c>
      <x:c r="N6" s="15"/>
      <x:c r="O6" s="15" t="str">
        <x:f>IF(COUNTA(B6:H6,J6:K6,N6:N6)=0,"",TEXTJOIN("; ",TRUE,IF(B6="","Missing work date",""),IF(C6="","Missing project",""),IF(E6="","Missing equipment",""),IF(H6&lt;G6,"End meter before start",""),IF(L6="NO RATE","Missing equipment rate","")))</x:f>
      </x:c>
    </x:row>
    <x:row r="7" ht="20" customHeight="1">
      <x:c r="A7" s="15"/>
      <x:c r="B7" s="28"/>
      <x:c r="C7" s="15"/>
      <x:c r="D7" s="15"/>
      <x:c r="E7" s="15"/>
      <x:c r="F7" s="15"/>
      <x:c r="G7" s="138"/>
      <x:c r="H7" s="138"/>
      <x:c r="I7" s="138" t="str">
        <x:f>IF(OR(G7="",H7=""),"",MAX(0,H7-G7))</x:f>
      </x:c>
      <x:c r="J7" s="138"/>
      <x:c r="K7" s="138"/>
      <x:c r="L7" s="70" t="str">
        <x:f>IF(E7="","",IFERROR(INDEX('07_Equipment'!$G:$G,MATCH(E7,'07_Equipment'!$A:$A,0)),"NO RATE"))</x:f>
      </x:c>
      <x:c r="M7" s="70" t="str">
        <x:f>IF(OR(I7="",NOT(ISNUMBER(L7))),"",I7*L7)</x:f>
      </x:c>
      <x:c r="N7" s="15"/>
      <x:c r="O7" s="15" t="str">
        <x:f>IF(COUNTA(B7:H7,J7:K7,N7:N7)=0,"",TEXTJOIN("; ",TRUE,IF(B7="","Missing work date",""),IF(C7="","Missing project",""),IF(E7="","Missing equipment",""),IF(H7&lt;G7,"End meter before start",""),IF(L7="NO RATE","Missing equipment rate","")))</x:f>
      </x:c>
    </x:row>
    <x:row r="8" ht="20" customHeight="1">
      <x:c r="A8" s="15"/>
      <x:c r="B8" s="28"/>
      <x:c r="C8" s="15"/>
      <x:c r="D8" s="15"/>
      <x:c r="E8" s="15"/>
      <x:c r="F8" s="15"/>
      <x:c r="G8" s="138"/>
      <x:c r="H8" s="138"/>
      <x:c r="I8" s="138" t="str">
        <x:f>IF(OR(G8="",H8=""),"",MAX(0,H8-G8))</x:f>
      </x:c>
      <x:c r="J8" s="138"/>
      <x:c r="K8" s="138"/>
      <x:c r="L8" s="70" t="str">
        <x:f>IF(E8="","",IFERROR(INDEX('07_Equipment'!$G:$G,MATCH(E8,'07_Equipment'!$A:$A,0)),"NO RATE"))</x:f>
      </x:c>
      <x:c r="M8" s="70" t="str">
        <x:f>IF(OR(I8="",NOT(ISNUMBER(L8))),"",I8*L8)</x:f>
      </x:c>
      <x:c r="N8" s="15"/>
      <x:c r="O8" s="15" t="str">
        <x:f>IF(COUNTA(B8:H8,J8:K8,N8:N8)=0,"",TEXTJOIN("; ",TRUE,IF(B8="","Missing work date",""),IF(C8="","Missing project",""),IF(E8="","Missing equipment",""),IF(H8&lt;G8,"End meter before start",""),IF(L8="NO RATE","Missing equipment rate","")))</x:f>
      </x:c>
    </x:row>
    <x:row r="9" ht="20" customHeight="1">
      <x:c r="A9" s="15"/>
      <x:c r="B9" s="28"/>
      <x:c r="C9" s="15"/>
      <x:c r="D9" s="15"/>
      <x:c r="E9" s="15"/>
      <x:c r="F9" s="15"/>
      <x:c r="G9" s="138"/>
      <x:c r="H9" s="138"/>
      <x:c r="I9" s="138" t="str">
        <x:f>IF(OR(G9="",H9=""),"",MAX(0,H9-G9))</x:f>
      </x:c>
      <x:c r="J9" s="138"/>
      <x:c r="K9" s="138"/>
      <x:c r="L9" s="70" t="str">
        <x:f>IF(E9="","",IFERROR(INDEX('07_Equipment'!$G:$G,MATCH(E9,'07_Equipment'!$A:$A,0)),"NO RATE"))</x:f>
      </x:c>
      <x:c r="M9" s="70" t="str">
        <x:f>IF(OR(I9="",NOT(ISNUMBER(L9))),"",I9*L9)</x:f>
      </x:c>
      <x:c r="N9" s="15"/>
      <x:c r="O9" s="15" t="str">
        <x:f>IF(COUNTA(B9:H9,J9:K9,N9:N9)=0,"",TEXTJOIN("; ",TRUE,IF(B9="","Missing work date",""),IF(C9="","Missing project",""),IF(E9="","Missing equipment",""),IF(H9&lt;G9,"End meter before start",""),IF(L9="NO RATE","Missing equipment rate","")))</x:f>
      </x:c>
    </x:row>
    <x:row r="10" ht="20" customHeight="1">
      <x:c r="A10" s="15"/>
      <x:c r="B10" s="28"/>
      <x:c r="C10" s="15"/>
      <x:c r="D10" s="15"/>
      <x:c r="E10" s="15"/>
      <x:c r="F10" s="15"/>
      <x:c r="G10" s="138"/>
      <x:c r="H10" s="138"/>
      <x:c r="I10" s="138" t="str">
        <x:f>IF(OR(G10="",H10=""),"",MAX(0,H10-G10))</x:f>
      </x:c>
      <x:c r="J10" s="138"/>
      <x:c r="K10" s="138"/>
      <x:c r="L10" s="70" t="str">
        <x:f>IF(E10="","",IFERROR(INDEX('07_Equipment'!$G:$G,MATCH(E10,'07_Equipment'!$A:$A,0)),"NO RATE"))</x:f>
      </x:c>
      <x:c r="M10" s="70" t="str">
        <x:f>IF(OR(I10="",NOT(ISNUMBER(L10))),"",I10*L10)</x:f>
      </x:c>
      <x:c r="N10" s="15"/>
      <x:c r="O10" s="15" t="str">
        <x:f>IF(COUNTA(B10:H10,J10:K10,N10:N10)=0,"",TEXTJOIN("; ",TRUE,IF(B10="","Missing work date",""),IF(C10="","Missing project",""),IF(E10="","Missing equipment",""),IF(H10&lt;G10,"End meter before start",""),IF(L10="NO RATE","Missing equipment rate","")))</x:f>
      </x:c>
    </x:row>
    <x:row r="11" ht="20" customHeight="1">
      <x:c r="A11" s="15"/>
      <x:c r="B11" s="28"/>
      <x:c r="C11" s="15"/>
      <x:c r="D11" s="15"/>
      <x:c r="E11" s="15"/>
      <x:c r="F11" s="15"/>
      <x:c r="G11" s="138"/>
      <x:c r="H11" s="138"/>
      <x:c r="I11" s="138" t="str">
        <x:f>IF(OR(G11="",H11=""),"",MAX(0,H11-G11))</x:f>
      </x:c>
      <x:c r="J11" s="138"/>
      <x:c r="K11" s="138"/>
      <x:c r="L11" s="70" t="str">
        <x:f>IF(E11="","",IFERROR(INDEX('07_Equipment'!$G:$G,MATCH(E11,'07_Equipment'!$A:$A,0)),"NO RATE"))</x:f>
      </x:c>
      <x:c r="M11" s="70" t="str">
        <x:f>IF(OR(I11="",NOT(ISNUMBER(L11))),"",I11*L11)</x:f>
      </x:c>
      <x:c r="N11" s="15"/>
      <x:c r="O11" s="15" t="str">
        <x:f>IF(COUNTA(B11:H11,J11:K11,N11:N11)=0,"",TEXTJOIN("; ",TRUE,IF(B11="","Missing work date",""),IF(C11="","Missing project",""),IF(E11="","Missing equipment",""),IF(H11&lt;G11,"End meter before start",""),IF(L11="NO RATE","Missing equipment rate","")))</x:f>
      </x:c>
    </x:row>
    <x:row r="12" ht="20" customHeight="1">
      <x:c r="A12" s="15"/>
      <x:c r="B12" s="28"/>
      <x:c r="C12" s="15"/>
      <x:c r="D12" s="15"/>
      <x:c r="E12" s="15"/>
      <x:c r="F12" s="15"/>
      <x:c r="G12" s="138"/>
      <x:c r="H12" s="138"/>
      <x:c r="I12" s="138" t="str">
        <x:f>IF(OR(G12="",H12=""),"",MAX(0,H12-G12))</x:f>
      </x:c>
      <x:c r="J12" s="138"/>
      <x:c r="K12" s="138"/>
      <x:c r="L12" s="70" t="str">
        <x:f>IF(E12="","",IFERROR(INDEX('07_Equipment'!$G:$G,MATCH(E12,'07_Equipment'!$A:$A,0)),"NO RATE"))</x:f>
      </x:c>
      <x:c r="M12" s="70" t="str">
        <x:f>IF(OR(I12="",NOT(ISNUMBER(L12))),"",I12*L12)</x:f>
      </x:c>
      <x:c r="N12" s="15"/>
      <x:c r="O12" s="15" t="str">
        <x:f>IF(COUNTA(B12:H12,J12:K12,N12:N12)=0,"",TEXTJOIN("; ",TRUE,IF(B12="","Missing work date",""),IF(C12="","Missing project",""),IF(E12="","Missing equipment",""),IF(H12&lt;G12,"End meter before start",""),IF(L12="NO RATE","Missing equipment rate","")))</x:f>
      </x:c>
    </x:row>
    <x:row r="13" ht="20" customHeight="1">
      <x:c r="A13" s="15"/>
      <x:c r="B13" s="28"/>
      <x:c r="C13" s="15"/>
      <x:c r="D13" s="15"/>
      <x:c r="E13" s="15"/>
      <x:c r="F13" s="15"/>
      <x:c r="G13" s="138"/>
      <x:c r="H13" s="138"/>
      <x:c r="I13" s="138" t="str">
        <x:f>IF(OR(G13="",H13=""),"",MAX(0,H13-G13))</x:f>
      </x:c>
      <x:c r="J13" s="138"/>
      <x:c r="K13" s="138"/>
      <x:c r="L13" s="70" t="str">
        <x:f>IF(E13="","",IFERROR(INDEX('07_Equipment'!$G:$G,MATCH(E13,'07_Equipment'!$A:$A,0)),"NO RATE"))</x:f>
      </x:c>
      <x:c r="M13" s="70" t="str">
        <x:f>IF(OR(I13="",NOT(ISNUMBER(L13))),"",I13*L13)</x:f>
      </x:c>
      <x:c r="N13" s="15"/>
      <x:c r="O13" s="15" t="str">
        <x:f>IF(COUNTA(B13:H13,J13:K13,N13:N13)=0,"",TEXTJOIN("; ",TRUE,IF(B13="","Missing work date",""),IF(C13="","Missing project",""),IF(E13="","Missing equipment",""),IF(H13&lt;G13,"End meter before start",""),IF(L13="NO RATE","Missing equipment rate","")))</x:f>
      </x:c>
    </x:row>
    <x:row r="14" ht="20" customHeight="1">
      <x:c r="A14" s="15"/>
      <x:c r="B14" s="28"/>
      <x:c r="C14" s="15"/>
      <x:c r="D14" s="15"/>
      <x:c r="E14" s="15"/>
      <x:c r="F14" s="15"/>
      <x:c r="G14" s="138"/>
      <x:c r="H14" s="138"/>
      <x:c r="I14" s="138" t="str">
        <x:f>IF(OR(G14="",H14=""),"",MAX(0,H14-G14))</x:f>
      </x:c>
      <x:c r="J14" s="138"/>
      <x:c r="K14" s="138"/>
      <x:c r="L14" s="70" t="str">
        <x:f>IF(E14="","",IFERROR(INDEX('07_Equipment'!$G:$G,MATCH(E14,'07_Equipment'!$A:$A,0)),"NO RATE"))</x:f>
      </x:c>
      <x:c r="M14" s="70" t="str">
        <x:f>IF(OR(I14="",NOT(ISNUMBER(L14))),"",I14*L14)</x:f>
      </x:c>
      <x:c r="N14" s="15"/>
      <x:c r="O14" s="15" t="str">
        <x:f>IF(COUNTA(B14:H14,J14:K14,N14:N14)=0,"",TEXTJOIN("; ",TRUE,IF(B14="","Missing work date",""),IF(C14="","Missing project",""),IF(E14="","Missing equipment",""),IF(H14&lt;G14,"End meter before start",""),IF(L14="NO RATE","Missing equipment rate","")))</x:f>
      </x:c>
    </x:row>
    <x:row r="15" ht="20" customHeight="1">
      <x:c r="A15" s="15"/>
      <x:c r="B15" s="28"/>
      <x:c r="C15" s="15"/>
      <x:c r="D15" s="15"/>
      <x:c r="E15" s="15"/>
      <x:c r="F15" s="15"/>
      <x:c r="G15" s="138"/>
      <x:c r="H15" s="138"/>
      <x:c r="I15" s="138" t="str">
        <x:f>IF(OR(G15="",H15=""),"",MAX(0,H15-G15))</x:f>
      </x:c>
      <x:c r="J15" s="138"/>
      <x:c r="K15" s="138"/>
      <x:c r="L15" s="70" t="str">
        <x:f>IF(E15="","",IFERROR(INDEX('07_Equipment'!$G:$G,MATCH(E15,'07_Equipment'!$A:$A,0)),"NO RATE"))</x:f>
      </x:c>
      <x:c r="M15" s="70" t="str">
        <x:f>IF(OR(I15="",NOT(ISNUMBER(L15))),"",I15*L15)</x:f>
      </x:c>
      <x:c r="N15" s="15"/>
      <x:c r="O15" s="15" t="str">
        <x:f>IF(COUNTA(B15:H15,J15:K15,N15:N15)=0,"",TEXTJOIN("; ",TRUE,IF(B15="","Missing work date",""),IF(C15="","Missing project",""),IF(E15="","Missing equipment",""),IF(H15&lt;G15,"End meter before start",""),IF(L15="NO RATE","Missing equipment rate","")))</x:f>
      </x:c>
    </x:row>
    <x:row r="16" ht="20" customHeight="1">
      <x:c r="A16" s="15"/>
      <x:c r="B16" s="28"/>
      <x:c r="C16" s="15"/>
      <x:c r="D16" s="15"/>
      <x:c r="E16" s="15"/>
      <x:c r="F16" s="15"/>
      <x:c r="G16" s="138"/>
      <x:c r="H16" s="138"/>
      <x:c r="I16" s="138" t="str">
        <x:f>IF(OR(G16="",H16=""),"",MAX(0,H16-G16))</x:f>
      </x:c>
      <x:c r="J16" s="138"/>
      <x:c r="K16" s="138"/>
      <x:c r="L16" s="70" t="str">
        <x:f>IF(E16="","",IFERROR(INDEX('07_Equipment'!$G:$G,MATCH(E16,'07_Equipment'!$A:$A,0)),"NO RATE"))</x:f>
      </x:c>
      <x:c r="M16" s="70" t="str">
        <x:f>IF(OR(I16="",NOT(ISNUMBER(L16))),"",I16*L16)</x:f>
      </x:c>
      <x:c r="N16" s="15"/>
      <x:c r="O16" s="15" t="str">
        <x:f>IF(COUNTA(B16:H16,J16:K16,N16:N16)=0,"",TEXTJOIN("; ",TRUE,IF(B16="","Missing work date",""),IF(C16="","Missing project",""),IF(E16="","Missing equipment",""),IF(H16&lt;G16,"End meter before start",""),IF(L16="NO RATE","Missing equipment rate","")))</x:f>
      </x:c>
    </x:row>
    <x:row r="17" ht="20" customHeight="1">
      <x:c r="A17" s="15"/>
      <x:c r="B17" s="28"/>
      <x:c r="C17" s="15"/>
      <x:c r="D17" s="15"/>
      <x:c r="E17" s="15"/>
      <x:c r="F17" s="15"/>
      <x:c r="G17" s="138"/>
      <x:c r="H17" s="138"/>
      <x:c r="I17" s="138" t="str">
        <x:f>IF(OR(G17="",H17=""),"",MAX(0,H17-G17))</x:f>
      </x:c>
      <x:c r="J17" s="138"/>
      <x:c r="K17" s="138"/>
      <x:c r="L17" s="70" t="str">
        <x:f>IF(E17="","",IFERROR(INDEX('07_Equipment'!$G:$G,MATCH(E17,'07_Equipment'!$A:$A,0)),"NO RATE"))</x:f>
      </x:c>
      <x:c r="M17" s="70" t="str">
        <x:f>IF(OR(I17="",NOT(ISNUMBER(L17))),"",I17*L17)</x:f>
      </x:c>
      <x:c r="N17" s="15"/>
      <x:c r="O17" s="15" t="str">
        <x:f>IF(COUNTA(B17:H17,J17:K17,N17:N17)=0,"",TEXTJOIN("; ",TRUE,IF(B17="","Missing work date",""),IF(C17="","Missing project",""),IF(E17="","Missing equipment",""),IF(H17&lt;G17,"End meter before start",""),IF(L17="NO RATE","Missing equipment rate","")))</x:f>
      </x:c>
    </x:row>
    <x:row r="18" ht="20" customHeight="1">
      <x:c r="A18" s="15"/>
      <x:c r="B18" s="28"/>
      <x:c r="C18" s="15"/>
      <x:c r="D18" s="15"/>
      <x:c r="E18" s="15"/>
      <x:c r="F18" s="15"/>
      <x:c r="G18" s="138"/>
      <x:c r="H18" s="138"/>
      <x:c r="I18" s="138" t="str">
        <x:f>IF(OR(G18="",H18=""),"",MAX(0,H18-G18))</x:f>
      </x:c>
      <x:c r="J18" s="138"/>
      <x:c r="K18" s="138"/>
      <x:c r="L18" s="70" t="str">
        <x:f>IF(E18="","",IFERROR(INDEX('07_Equipment'!$G:$G,MATCH(E18,'07_Equipment'!$A:$A,0)),"NO RATE"))</x:f>
      </x:c>
      <x:c r="M18" s="70" t="str">
        <x:f>IF(OR(I18="",NOT(ISNUMBER(L18))),"",I18*L18)</x:f>
      </x:c>
      <x:c r="N18" s="15"/>
      <x:c r="O18" s="15" t="str">
        <x:f>IF(COUNTA(B18:H18,J18:K18,N18:N18)=0,"",TEXTJOIN("; ",TRUE,IF(B18="","Missing work date",""),IF(C18="","Missing project",""),IF(E18="","Missing equipment",""),IF(H18&lt;G18,"End meter before start",""),IF(L18="NO RATE","Missing equipment rate","")))</x:f>
      </x:c>
    </x:row>
    <x:row r="19" ht="20" customHeight="1">
      <x:c r="A19" s="15"/>
      <x:c r="B19" s="28"/>
      <x:c r="C19" s="15"/>
      <x:c r="D19" s="15"/>
      <x:c r="E19" s="15"/>
      <x:c r="F19" s="15"/>
      <x:c r="G19" s="138"/>
      <x:c r="H19" s="138"/>
      <x:c r="I19" s="138" t="str">
        <x:f>IF(OR(G19="",H19=""),"",MAX(0,H19-G19))</x:f>
      </x:c>
      <x:c r="J19" s="138"/>
      <x:c r="K19" s="138"/>
      <x:c r="L19" s="70" t="str">
        <x:f>IF(E19="","",IFERROR(INDEX('07_Equipment'!$G:$G,MATCH(E19,'07_Equipment'!$A:$A,0)),"NO RATE"))</x:f>
      </x:c>
      <x:c r="M19" s="70" t="str">
        <x:f>IF(OR(I19="",NOT(ISNUMBER(L19))),"",I19*L19)</x:f>
      </x:c>
      <x:c r="N19" s="15"/>
      <x:c r="O19" s="15" t="str">
        <x:f>IF(COUNTA(B19:H19,J19:K19,N19:N19)=0,"",TEXTJOIN("; ",TRUE,IF(B19="","Missing work date",""),IF(C19="","Missing project",""),IF(E19="","Missing equipment",""),IF(H19&lt;G19,"End meter before start",""),IF(L19="NO RATE","Missing equipment rate","")))</x:f>
      </x:c>
    </x:row>
    <x:row r="20" ht="20" customHeight="1">
      <x:c r="A20" s="15"/>
      <x:c r="B20" s="28"/>
      <x:c r="C20" s="15"/>
      <x:c r="D20" s="15"/>
      <x:c r="E20" s="15"/>
      <x:c r="F20" s="15"/>
      <x:c r="G20" s="138"/>
      <x:c r="H20" s="138"/>
      <x:c r="I20" s="138" t="str">
        <x:f>IF(OR(G20="",H20=""),"",MAX(0,H20-G20))</x:f>
      </x:c>
      <x:c r="J20" s="138"/>
      <x:c r="K20" s="138"/>
      <x:c r="L20" s="70" t="str">
        <x:f>IF(E20="","",IFERROR(INDEX('07_Equipment'!$G:$G,MATCH(E20,'07_Equipment'!$A:$A,0)),"NO RATE"))</x:f>
      </x:c>
      <x:c r="M20" s="70" t="str">
        <x:f>IF(OR(I20="",NOT(ISNUMBER(L20))),"",I20*L20)</x:f>
      </x:c>
      <x:c r="N20" s="15"/>
      <x:c r="O20" s="15" t="str">
        <x:f>IF(COUNTA(B20:H20,J20:K20,N20:N20)=0,"",TEXTJOIN("; ",TRUE,IF(B20="","Missing work date",""),IF(C20="","Missing project",""),IF(E20="","Missing equipment",""),IF(H20&lt;G20,"End meter before start",""),IF(L20="NO RATE","Missing equipment rate","")))</x:f>
      </x:c>
    </x:row>
    <x:row r="21" ht="20" customHeight="1">
      <x:c r="A21" s="15"/>
      <x:c r="B21" s="28"/>
      <x:c r="C21" s="15"/>
      <x:c r="D21" s="15"/>
      <x:c r="E21" s="15"/>
      <x:c r="F21" s="15"/>
      <x:c r="G21" s="138"/>
      <x:c r="H21" s="138"/>
      <x:c r="I21" s="138" t="str">
        <x:f>IF(OR(G21="",H21=""),"",MAX(0,H21-G21))</x:f>
      </x:c>
      <x:c r="J21" s="138"/>
      <x:c r="K21" s="138"/>
      <x:c r="L21" s="70" t="str">
        <x:f>IF(E21="","",IFERROR(INDEX('07_Equipment'!$G:$G,MATCH(E21,'07_Equipment'!$A:$A,0)),"NO RATE"))</x:f>
      </x:c>
      <x:c r="M21" s="70" t="str">
        <x:f>IF(OR(I21="",NOT(ISNUMBER(L21))),"",I21*L21)</x:f>
      </x:c>
      <x:c r="N21" s="15"/>
      <x:c r="O21" s="15" t="str">
        <x:f>IF(COUNTA(B21:H21,J21:K21,N21:N21)=0,"",TEXTJOIN("; ",TRUE,IF(B21="","Missing work date",""),IF(C21="","Missing project",""),IF(E21="","Missing equipment",""),IF(H21&lt;G21,"End meter before start",""),IF(L21="NO RATE","Missing equipment rate","")))</x:f>
      </x:c>
    </x:row>
    <x:row r="22" ht="20" customHeight="1">
      <x:c r="A22" s="15"/>
      <x:c r="B22" s="28"/>
      <x:c r="C22" s="15"/>
      <x:c r="D22" s="15"/>
      <x:c r="E22" s="15"/>
      <x:c r="F22" s="15"/>
      <x:c r="G22" s="138"/>
      <x:c r="H22" s="138"/>
      <x:c r="I22" s="138" t="str">
        <x:f>IF(OR(G22="",H22=""),"",MAX(0,H22-G22))</x:f>
      </x:c>
      <x:c r="J22" s="138"/>
      <x:c r="K22" s="138"/>
      <x:c r="L22" s="70" t="str">
        <x:f>IF(E22="","",IFERROR(INDEX('07_Equipment'!$G:$G,MATCH(E22,'07_Equipment'!$A:$A,0)),"NO RATE"))</x:f>
      </x:c>
      <x:c r="M22" s="70" t="str">
        <x:f>IF(OR(I22="",NOT(ISNUMBER(L22))),"",I22*L22)</x:f>
      </x:c>
      <x:c r="N22" s="15"/>
      <x:c r="O22" s="15" t="str">
        <x:f>IF(COUNTA(B22:H22,J22:K22,N22:N22)=0,"",TEXTJOIN("; ",TRUE,IF(B22="","Missing work date",""),IF(C22="","Missing project",""),IF(E22="","Missing equipment",""),IF(H22&lt;G22,"End meter before start",""),IF(L22="NO RATE","Missing equipment rate","")))</x:f>
      </x:c>
    </x:row>
    <x:row r="23" ht="20" customHeight="1">
      <x:c r="A23" s="15"/>
      <x:c r="B23" s="28"/>
      <x:c r="C23" s="15"/>
      <x:c r="D23" s="15"/>
      <x:c r="E23" s="15"/>
      <x:c r="F23" s="15"/>
      <x:c r="G23" s="138"/>
      <x:c r="H23" s="138"/>
      <x:c r="I23" s="138" t="str">
        <x:f>IF(OR(G23="",H23=""),"",MAX(0,H23-G23))</x:f>
      </x:c>
      <x:c r="J23" s="138"/>
      <x:c r="K23" s="138"/>
      <x:c r="L23" s="70" t="str">
        <x:f>IF(E23="","",IFERROR(INDEX('07_Equipment'!$G:$G,MATCH(E23,'07_Equipment'!$A:$A,0)),"NO RATE"))</x:f>
      </x:c>
      <x:c r="M23" s="70" t="str">
        <x:f>IF(OR(I23="",NOT(ISNUMBER(L23))),"",I23*L23)</x:f>
      </x:c>
      <x:c r="N23" s="15"/>
      <x:c r="O23" s="15" t="str">
        <x:f>IF(COUNTA(B23:H23,J23:K23,N23:N23)=0,"",TEXTJOIN("; ",TRUE,IF(B23="","Missing work date",""),IF(C23="","Missing project",""),IF(E23="","Missing equipment",""),IF(H23&lt;G23,"End meter before start",""),IF(L23="NO RATE","Missing equipment rate","")))</x:f>
      </x:c>
    </x:row>
    <x:row r="24" ht="20" customHeight="1">
      <x:c r="A24" s="15"/>
      <x:c r="B24" s="28"/>
      <x:c r="C24" s="15"/>
      <x:c r="D24" s="15"/>
      <x:c r="E24" s="15"/>
      <x:c r="F24" s="15"/>
      <x:c r="G24" s="138"/>
      <x:c r="H24" s="138"/>
      <x:c r="I24" s="138" t="str">
        <x:f>IF(OR(G24="",H24=""),"",MAX(0,H24-G24))</x:f>
      </x:c>
      <x:c r="J24" s="138"/>
      <x:c r="K24" s="138"/>
      <x:c r="L24" s="70" t="str">
        <x:f>IF(E24="","",IFERROR(INDEX('07_Equipment'!$G:$G,MATCH(E24,'07_Equipment'!$A:$A,0)),"NO RATE"))</x:f>
      </x:c>
      <x:c r="M24" s="70" t="str">
        <x:f>IF(OR(I24="",NOT(ISNUMBER(L24))),"",I24*L24)</x:f>
      </x:c>
      <x:c r="N24" s="15"/>
      <x:c r="O24" s="15" t="str">
        <x:f>IF(COUNTA(B24:H24,J24:K24,N24:N24)=0,"",TEXTJOIN("; ",TRUE,IF(B24="","Missing work date",""),IF(C24="","Missing project",""),IF(E24="","Missing equipment",""),IF(H24&lt;G24,"End meter before start",""),IF(L24="NO RATE","Missing equipment rate","")))</x:f>
      </x:c>
    </x:row>
    <x:row r="25" ht="20" customHeight="1">
      <x:c r="A25" s="15"/>
      <x:c r="B25" s="28"/>
      <x:c r="C25" s="15"/>
      <x:c r="D25" s="15"/>
      <x:c r="E25" s="15"/>
      <x:c r="F25" s="15"/>
      <x:c r="G25" s="138"/>
      <x:c r="H25" s="138"/>
      <x:c r="I25" s="138" t="str">
        <x:f>IF(OR(G25="",H25=""),"",MAX(0,H25-G25))</x:f>
      </x:c>
      <x:c r="J25" s="138"/>
      <x:c r="K25" s="138"/>
      <x:c r="L25" s="70" t="str">
        <x:f>IF(E25="","",IFERROR(INDEX('07_Equipment'!$G:$G,MATCH(E25,'07_Equipment'!$A:$A,0)),"NO RATE"))</x:f>
      </x:c>
      <x:c r="M25" s="70" t="str">
        <x:f>IF(OR(I25="",NOT(ISNUMBER(L25))),"",I25*L25)</x:f>
      </x:c>
      <x:c r="N25" s="15"/>
      <x:c r="O25" s="15" t="str">
        <x:f>IF(COUNTA(B25:H25,J25:K25,N25:N25)=0,"",TEXTJOIN("; ",TRUE,IF(B25="","Missing work date",""),IF(C25="","Missing project",""),IF(E25="","Missing equipment",""),IF(H25&lt;G25,"End meter before start",""),IF(L25="NO RATE","Missing equipment rate","")))</x:f>
      </x:c>
    </x:row>
    <x:row r="26" ht="20" customHeight="1">
      <x:c r="A26" s="15"/>
      <x:c r="B26" s="28"/>
      <x:c r="C26" s="15"/>
      <x:c r="D26" s="15"/>
      <x:c r="E26" s="15"/>
      <x:c r="F26" s="15"/>
      <x:c r="G26" s="138"/>
      <x:c r="H26" s="138"/>
      <x:c r="I26" s="138" t="str">
        <x:f>IF(OR(G26="",H26=""),"",MAX(0,H26-G26))</x:f>
      </x:c>
      <x:c r="J26" s="138"/>
      <x:c r="K26" s="138"/>
      <x:c r="L26" s="70" t="str">
        <x:f>IF(E26="","",IFERROR(INDEX('07_Equipment'!$G:$G,MATCH(E26,'07_Equipment'!$A:$A,0)),"NO RATE"))</x:f>
      </x:c>
      <x:c r="M26" s="70" t="str">
        <x:f>IF(OR(I26="",NOT(ISNUMBER(L26))),"",I26*L26)</x:f>
      </x:c>
      <x:c r="N26" s="15"/>
      <x:c r="O26" s="15" t="str">
        <x:f>IF(COUNTA(B26:H26,J26:K26,N26:N26)=0,"",TEXTJOIN("; ",TRUE,IF(B26="","Missing work date",""),IF(C26="","Missing project",""),IF(E26="","Missing equipment",""),IF(H26&lt;G26,"End meter before start",""),IF(L26="NO RATE","Missing equipment rate","")))</x:f>
      </x:c>
    </x:row>
    <x:row r="27" ht="20" customHeight="1">
      <x:c r="A27" s="15"/>
      <x:c r="B27" s="28"/>
      <x:c r="C27" s="15"/>
      <x:c r="D27" s="15"/>
      <x:c r="E27" s="15"/>
      <x:c r="F27" s="15"/>
      <x:c r="G27" s="138"/>
      <x:c r="H27" s="138"/>
      <x:c r="I27" s="138" t="str">
        <x:f>IF(OR(G27="",H27=""),"",MAX(0,H27-G27))</x:f>
      </x:c>
      <x:c r="J27" s="138"/>
      <x:c r="K27" s="138"/>
      <x:c r="L27" s="70" t="str">
        <x:f>IF(E27="","",IFERROR(INDEX('07_Equipment'!$G:$G,MATCH(E27,'07_Equipment'!$A:$A,0)),"NO RATE"))</x:f>
      </x:c>
      <x:c r="M27" s="70" t="str">
        <x:f>IF(OR(I27="",NOT(ISNUMBER(L27))),"",I27*L27)</x:f>
      </x:c>
      <x:c r="N27" s="15"/>
      <x:c r="O27" s="15" t="str">
        <x:f>IF(COUNTA(B27:H27,J27:K27,N27:N27)=0,"",TEXTJOIN("; ",TRUE,IF(B27="","Missing work date",""),IF(C27="","Missing project",""),IF(E27="","Missing equipment",""),IF(H27&lt;G27,"End meter before start",""),IF(L27="NO RATE","Missing equipment rate","")))</x:f>
      </x:c>
    </x:row>
    <x:row r="28" ht="20" customHeight="1">
      <x:c r="A28" s="15"/>
      <x:c r="B28" s="28"/>
      <x:c r="C28" s="15"/>
      <x:c r="D28" s="15"/>
      <x:c r="E28" s="15"/>
      <x:c r="F28" s="15"/>
      <x:c r="G28" s="138"/>
      <x:c r="H28" s="138"/>
      <x:c r="I28" s="138" t="str">
        <x:f>IF(OR(G28="",H28=""),"",MAX(0,H28-G28))</x:f>
      </x:c>
      <x:c r="J28" s="138"/>
      <x:c r="K28" s="138"/>
      <x:c r="L28" s="70" t="str">
        <x:f>IF(E28="","",IFERROR(INDEX('07_Equipment'!$G:$G,MATCH(E28,'07_Equipment'!$A:$A,0)),"NO RATE"))</x:f>
      </x:c>
      <x:c r="M28" s="70" t="str">
        <x:f>IF(OR(I28="",NOT(ISNUMBER(L28))),"",I28*L28)</x:f>
      </x:c>
      <x:c r="N28" s="15"/>
      <x:c r="O28" s="15" t="str">
        <x:f>IF(COUNTA(B28:H28,J28:K28,N28:N28)=0,"",TEXTJOIN("; ",TRUE,IF(B28="","Missing work date",""),IF(C28="","Missing project",""),IF(E28="","Missing equipment",""),IF(H28&lt;G28,"End meter before start",""),IF(L28="NO RATE","Missing equipment rate","")))</x:f>
      </x:c>
    </x:row>
    <x:row r="29" ht="20" customHeight="1">
      <x:c r="A29" s="15"/>
      <x:c r="B29" s="28"/>
      <x:c r="C29" s="15"/>
      <x:c r="D29" s="15"/>
      <x:c r="E29" s="15"/>
      <x:c r="F29" s="15"/>
      <x:c r="G29" s="138"/>
      <x:c r="H29" s="138"/>
      <x:c r="I29" s="138" t="str">
        <x:f>IF(OR(G29="",H29=""),"",MAX(0,H29-G29))</x:f>
      </x:c>
      <x:c r="J29" s="138"/>
      <x:c r="K29" s="138"/>
      <x:c r="L29" s="70" t="str">
        <x:f>IF(E29="","",IFERROR(INDEX('07_Equipment'!$G:$G,MATCH(E29,'07_Equipment'!$A:$A,0)),"NO RATE"))</x:f>
      </x:c>
      <x:c r="M29" s="70" t="str">
        <x:f>IF(OR(I29="",NOT(ISNUMBER(L29))),"",I29*L29)</x:f>
      </x:c>
      <x:c r="N29" s="15"/>
      <x:c r="O29" s="15" t="str">
        <x:f>IF(COUNTA(B29:H29,J29:K29,N29:N29)=0,"",TEXTJOIN("; ",TRUE,IF(B29="","Missing work date",""),IF(C29="","Missing project",""),IF(E29="","Missing equipment",""),IF(H29&lt;G29,"End meter before start",""),IF(L29="NO RATE","Missing equipment rate","")))</x:f>
      </x:c>
    </x:row>
    <x:row r="30" ht="20" customHeight="1">
      <x:c r="A30" s="15"/>
      <x:c r="B30" s="28"/>
      <x:c r="C30" s="15"/>
      <x:c r="D30" s="15"/>
      <x:c r="E30" s="15"/>
      <x:c r="F30" s="15"/>
      <x:c r="G30" s="138"/>
      <x:c r="H30" s="138"/>
      <x:c r="I30" s="138" t="str">
        <x:f>IF(OR(G30="",H30=""),"",MAX(0,H30-G30))</x:f>
      </x:c>
      <x:c r="J30" s="138"/>
      <x:c r="K30" s="138"/>
      <x:c r="L30" s="70" t="str">
        <x:f>IF(E30="","",IFERROR(INDEX('07_Equipment'!$G:$G,MATCH(E30,'07_Equipment'!$A:$A,0)),"NO RATE"))</x:f>
      </x:c>
      <x:c r="M30" s="70" t="str">
        <x:f>IF(OR(I30="",NOT(ISNUMBER(L30))),"",I30*L30)</x:f>
      </x:c>
      <x:c r="N30" s="15"/>
      <x:c r="O30" s="15" t="str">
        <x:f>IF(COUNTA(B30:H30,J30:K30,N30:N30)=0,"",TEXTJOIN("; ",TRUE,IF(B30="","Missing work date",""),IF(C30="","Missing project",""),IF(E30="","Missing equipment",""),IF(H30&lt;G30,"End meter before start",""),IF(L30="NO RATE","Missing equipment rate","")))</x:f>
      </x:c>
    </x:row>
    <x:row r="31" ht="20" customHeight="1">
      <x:c r="A31" s="15"/>
      <x:c r="B31" s="28"/>
      <x:c r="C31" s="15"/>
      <x:c r="D31" s="15"/>
      <x:c r="E31" s="15"/>
      <x:c r="F31" s="15"/>
      <x:c r="G31" s="138"/>
      <x:c r="H31" s="138"/>
      <x:c r="I31" s="138" t="str">
        <x:f>IF(OR(G31="",H31=""),"",MAX(0,H31-G31))</x:f>
      </x:c>
      <x:c r="J31" s="138"/>
      <x:c r="K31" s="138"/>
      <x:c r="L31" s="70" t="str">
        <x:f>IF(E31="","",IFERROR(INDEX('07_Equipment'!$G:$G,MATCH(E31,'07_Equipment'!$A:$A,0)),"NO RATE"))</x:f>
      </x:c>
      <x:c r="M31" s="70" t="str">
        <x:f>IF(OR(I31="",NOT(ISNUMBER(L31))),"",I31*L31)</x:f>
      </x:c>
      <x:c r="N31" s="15"/>
      <x:c r="O31" s="15" t="str">
        <x:f>IF(COUNTA(B31:H31,J31:K31,N31:N31)=0,"",TEXTJOIN("; ",TRUE,IF(B31="","Missing work date",""),IF(C31="","Missing project",""),IF(E31="","Missing equipment",""),IF(H31&lt;G31,"End meter before start",""),IF(L31="NO RATE","Missing equipment rate","")))</x:f>
      </x:c>
    </x:row>
    <x:row r="32" ht="20" customHeight="1">
      <x:c r="A32" s="15"/>
      <x:c r="B32" s="28"/>
      <x:c r="C32" s="15"/>
      <x:c r="D32" s="15"/>
      <x:c r="E32" s="15"/>
      <x:c r="F32" s="15"/>
      <x:c r="G32" s="138"/>
      <x:c r="H32" s="138"/>
      <x:c r="I32" s="138" t="str">
        <x:f>IF(OR(G32="",H32=""),"",MAX(0,H32-G32))</x:f>
      </x:c>
      <x:c r="J32" s="138"/>
      <x:c r="K32" s="138"/>
      <x:c r="L32" s="70" t="str">
        <x:f>IF(E32="","",IFERROR(INDEX('07_Equipment'!$G:$G,MATCH(E32,'07_Equipment'!$A:$A,0)),"NO RATE"))</x:f>
      </x:c>
      <x:c r="M32" s="70" t="str">
        <x:f>IF(OR(I32="",NOT(ISNUMBER(L32))),"",I32*L32)</x:f>
      </x:c>
      <x:c r="N32" s="15"/>
      <x:c r="O32" s="15" t="str">
        <x:f>IF(COUNTA(B32:H32,J32:K32,N32:N32)=0,"",TEXTJOIN("; ",TRUE,IF(B32="","Missing work date",""),IF(C32="","Missing project",""),IF(E32="","Missing equipment",""),IF(H32&lt;G32,"End meter before start",""),IF(L32="NO RATE","Missing equipment rate","")))</x:f>
      </x:c>
    </x:row>
    <x:row r="33" ht="20" customHeight="1">
      <x:c r="A33" s="15"/>
      <x:c r="B33" s="28"/>
      <x:c r="C33" s="15"/>
      <x:c r="D33" s="15"/>
      <x:c r="E33" s="15"/>
      <x:c r="F33" s="15"/>
      <x:c r="G33" s="138"/>
      <x:c r="H33" s="138"/>
      <x:c r="I33" s="138" t="str">
        <x:f>IF(OR(G33="",H33=""),"",MAX(0,H33-G33))</x:f>
      </x:c>
      <x:c r="J33" s="138"/>
      <x:c r="K33" s="138"/>
      <x:c r="L33" s="70" t="str">
        <x:f>IF(E33="","",IFERROR(INDEX('07_Equipment'!$G:$G,MATCH(E33,'07_Equipment'!$A:$A,0)),"NO RATE"))</x:f>
      </x:c>
      <x:c r="M33" s="70" t="str">
        <x:f>IF(OR(I33="",NOT(ISNUMBER(L33))),"",I33*L33)</x:f>
      </x:c>
      <x:c r="N33" s="15"/>
      <x:c r="O33" s="15" t="str">
        <x:f>IF(COUNTA(B33:H33,J33:K33,N33:N33)=0,"",TEXTJOIN("; ",TRUE,IF(B33="","Missing work date",""),IF(C33="","Missing project",""),IF(E33="","Missing equipment",""),IF(H33&lt;G33,"End meter before start",""),IF(L33="NO RATE","Missing equipment rate","")))</x:f>
      </x:c>
    </x:row>
    <x:row r="34" ht="20" customHeight="1">
      <x:c r="A34" s="15"/>
      <x:c r="B34" s="28"/>
      <x:c r="C34" s="15"/>
      <x:c r="D34" s="15"/>
      <x:c r="E34" s="15"/>
      <x:c r="F34" s="15"/>
      <x:c r="G34" s="138"/>
      <x:c r="H34" s="138"/>
      <x:c r="I34" s="138" t="str">
        <x:f>IF(OR(G34="",H34=""),"",MAX(0,H34-G34))</x:f>
      </x:c>
      <x:c r="J34" s="138"/>
      <x:c r="K34" s="138"/>
      <x:c r="L34" s="70" t="str">
        <x:f>IF(E34="","",IFERROR(INDEX('07_Equipment'!$G:$G,MATCH(E34,'07_Equipment'!$A:$A,0)),"NO RATE"))</x:f>
      </x:c>
      <x:c r="M34" s="70" t="str">
        <x:f>IF(OR(I34="",NOT(ISNUMBER(L34))),"",I34*L34)</x:f>
      </x:c>
      <x:c r="N34" s="15"/>
      <x:c r="O34" s="15" t="str">
        <x:f>IF(COUNTA(B34:H34,J34:K34,N34:N34)=0,"",TEXTJOIN("; ",TRUE,IF(B34="","Missing work date",""),IF(C34="","Missing project",""),IF(E34="","Missing equipment",""),IF(H34&lt;G34,"End meter before start",""),IF(L34="NO RATE","Missing equipment rate","")))</x:f>
      </x:c>
    </x:row>
    <x:row r="35" ht="20" customHeight="1">
      <x:c r="A35" s="15"/>
      <x:c r="B35" s="28"/>
      <x:c r="C35" s="15"/>
      <x:c r="D35" s="15"/>
      <x:c r="E35" s="15"/>
      <x:c r="F35" s="15"/>
      <x:c r="G35" s="138"/>
      <x:c r="H35" s="138"/>
      <x:c r="I35" s="138" t="str">
        <x:f>IF(OR(G35="",H35=""),"",MAX(0,H35-G35))</x:f>
      </x:c>
      <x:c r="J35" s="138"/>
      <x:c r="K35" s="138"/>
      <x:c r="L35" s="70" t="str">
        <x:f>IF(E35="","",IFERROR(INDEX('07_Equipment'!$G:$G,MATCH(E35,'07_Equipment'!$A:$A,0)),"NO RATE"))</x:f>
      </x:c>
      <x:c r="M35" s="70" t="str">
        <x:f>IF(OR(I35="",NOT(ISNUMBER(L35))),"",I35*L35)</x:f>
      </x:c>
      <x:c r="N35" s="15"/>
      <x:c r="O35" s="15" t="str">
        <x:f>IF(COUNTA(B35:H35,J35:K35,N35:N35)=0,"",TEXTJOIN("; ",TRUE,IF(B35="","Missing work date",""),IF(C35="","Missing project",""),IF(E35="","Missing equipment",""),IF(H35&lt;G35,"End meter before start",""),IF(L35="NO RATE","Missing equipment rate","")))</x:f>
      </x:c>
    </x:row>
    <x:row r="36" ht="20" customHeight="1">
      <x:c r="A36" s="15"/>
      <x:c r="B36" s="28"/>
      <x:c r="C36" s="15"/>
      <x:c r="D36" s="15"/>
      <x:c r="E36" s="15"/>
      <x:c r="F36" s="15"/>
      <x:c r="G36" s="138"/>
      <x:c r="H36" s="138"/>
      <x:c r="I36" s="138" t="str">
        <x:f>IF(OR(G36="",H36=""),"",MAX(0,H36-G36))</x:f>
      </x:c>
      <x:c r="J36" s="138"/>
      <x:c r="K36" s="138"/>
      <x:c r="L36" s="70" t="str">
        <x:f>IF(E36="","",IFERROR(INDEX('07_Equipment'!$G:$G,MATCH(E36,'07_Equipment'!$A:$A,0)),"NO RATE"))</x:f>
      </x:c>
      <x:c r="M36" s="70" t="str">
        <x:f>IF(OR(I36="",NOT(ISNUMBER(L36))),"",I36*L36)</x:f>
      </x:c>
      <x:c r="N36" s="15"/>
      <x:c r="O36" s="15" t="str">
        <x:f>IF(COUNTA(B36:H36,J36:K36,N36:N36)=0,"",TEXTJOIN("; ",TRUE,IF(B36="","Missing work date",""),IF(C36="","Missing project",""),IF(E36="","Missing equipment",""),IF(H36&lt;G36,"End meter before start",""),IF(L36="NO RATE","Missing equipment rate","")))</x:f>
      </x:c>
    </x:row>
    <x:row r="37" ht="20" customHeight="1">
      <x:c r="A37" s="15"/>
      <x:c r="B37" s="28"/>
      <x:c r="C37" s="15"/>
      <x:c r="D37" s="15"/>
      <x:c r="E37" s="15"/>
      <x:c r="F37" s="15"/>
      <x:c r="G37" s="138"/>
      <x:c r="H37" s="138"/>
      <x:c r="I37" s="138" t="str">
        <x:f>IF(OR(G37="",H37=""),"",MAX(0,H37-G37))</x:f>
      </x:c>
      <x:c r="J37" s="138"/>
      <x:c r="K37" s="138"/>
      <x:c r="L37" s="70" t="str">
        <x:f>IF(E37="","",IFERROR(INDEX('07_Equipment'!$G:$G,MATCH(E37,'07_Equipment'!$A:$A,0)),"NO RATE"))</x:f>
      </x:c>
      <x:c r="M37" s="70" t="str">
        <x:f>IF(OR(I37="",NOT(ISNUMBER(L37))),"",I37*L37)</x:f>
      </x:c>
      <x:c r="N37" s="15"/>
      <x:c r="O37" s="15" t="str">
        <x:f>IF(COUNTA(B37:H37,J37:K37,N37:N37)=0,"",TEXTJOIN("; ",TRUE,IF(B37="","Missing work date",""),IF(C37="","Missing project",""),IF(E37="","Missing equipment",""),IF(H37&lt;G37,"End meter before start",""),IF(L37="NO RATE","Missing equipment rate","")))</x:f>
      </x:c>
    </x:row>
    <x:row r="38" ht="20" customHeight="1">
      <x:c r="A38" s="15"/>
      <x:c r="B38" s="28"/>
      <x:c r="C38" s="15"/>
      <x:c r="D38" s="15"/>
      <x:c r="E38" s="15"/>
      <x:c r="F38" s="15"/>
      <x:c r="G38" s="138"/>
      <x:c r="H38" s="138"/>
      <x:c r="I38" s="138" t="str">
        <x:f>IF(OR(G38="",H38=""),"",MAX(0,H38-G38))</x:f>
      </x:c>
      <x:c r="J38" s="138"/>
      <x:c r="K38" s="138"/>
      <x:c r="L38" s="70" t="str">
        <x:f>IF(E38="","",IFERROR(INDEX('07_Equipment'!$G:$G,MATCH(E38,'07_Equipment'!$A:$A,0)),"NO RATE"))</x:f>
      </x:c>
      <x:c r="M38" s="70" t="str">
        <x:f>IF(OR(I38="",NOT(ISNUMBER(L38))),"",I38*L38)</x:f>
      </x:c>
      <x:c r="N38" s="15"/>
      <x:c r="O38" s="15" t="str">
        <x:f>IF(COUNTA(B38:H38,J38:K38,N38:N38)=0,"",TEXTJOIN("; ",TRUE,IF(B38="","Missing work date",""),IF(C38="","Missing project",""),IF(E38="","Missing equipment",""),IF(H38&lt;G38,"End meter before start",""),IF(L38="NO RATE","Missing equipment rate","")))</x:f>
      </x:c>
    </x:row>
    <x:row r="39" ht="20" customHeight="1">
      <x:c r="A39" s="15"/>
      <x:c r="B39" s="28"/>
      <x:c r="C39" s="15"/>
      <x:c r="D39" s="15"/>
      <x:c r="E39" s="15"/>
      <x:c r="F39" s="15"/>
      <x:c r="G39" s="138"/>
      <x:c r="H39" s="138"/>
      <x:c r="I39" s="138" t="str">
        <x:f>IF(OR(G39="",H39=""),"",MAX(0,H39-G39))</x:f>
      </x:c>
      <x:c r="J39" s="138"/>
      <x:c r="K39" s="138"/>
      <x:c r="L39" s="70" t="str">
        <x:f>IF(E39="","",IFERROR(INDEX('07_Equipment'!$G:$G,MATCH(E39,'07_Equipment'!$A:$A,0)),"NO RATE"))</x:f>
      </x:c>
      <x:c r="M39" s="70" t="str">
        <x:f>IF(OR(I39="",NOT(ISNUMBER(L39))),"",I39*L39)</x:f>
      </x:c>
      <x:c r="N39" s="15"/>
      <x:c r="O39" s="15" t="str">
        <x:f>IF(COUNTA(B39:H39,J39:K39,N39:N39)=0,"",TEXTJOIN("; ",TRUE,IF(B39="","Missing work date",""),IF(C39="","Missing project",""),IF(E39="","Missing equipment",""),IF(H39&lt;G39,"End meter before start",""),IF(L39="NO RATE","Missing equipment rate","")))</x:f>
      </x:c>
    </x:row>
    <x:row r="40" ht="20" customHeight="1">
      <x:c r="A40" s="15"/>
      <x:c r="B40" s="28"/>
      <x:c r="C40" s="15"/>
      <x:c r="D40" s="15"/>
      <x:c r="E40" s="15"/>
      <x:c r="F40" s="15"/>
      <x:c r="G40" s="138"/>
      <x:c r="H40" s="138"/>
      <x:c r="I40" s="138" t="str">
        <x:f>IF(OR(G40="",H40=""),"",MAX(0,H40-G40))</x:f>
      </x:c>
      <x:c r="J40" s="138"/>
      <x:c r="K40" s="138"/>
      <x:c r="L40" s="70" t="str">
        <x:f>IF(E40="","",IFERROR(INDEX('07_Equipment'!$G:$G,MATCH(E40,'07_Equipment'!$A:$A,0)),"NO RATE"))</x:f>
      </x:c>
      <x:c r="M40" s="70" t="str">
        <x:f>IF(OR(I40="",NOT(ISNUMBER(L40))),"",I40*L40)</x:f>
      </x:c>
      <x:c r="N40" s="15"/>
      <x:c r="O40" s="15" t="str">
        <x:f>IF(COUNTA(B40:H40,J40:K40,N40:N40)=0,"",TEXTJOIN("; ",TRUE,IF(B40="","Missing work date",""),IF(C40="","Missing project",""),IF(E40="","Missing equipment",""),IF(H40&lt;G40,"End meter before start",""),IF(L40="NO RATE","Missing equipment rate","")))</x:f>
      </x:c>
    </x:row>
    <x:row r="41" ht="20" customHeight="1">
      <x:c r="A41" s="15"/>
      <x:c r="B41" s="28"/>
      <x:c r="C41" s="15"/>
      <x:c r="D41" s="15"/>
      <x:c r="E41" s="15"/>
      <x:c r="F41" s="15"/>
      <x:c r="G41" s="138"/>
      <x:c r="H41" s="138"/>
      <x:c r="I41" s="138" t="str">
        <x:f>IF(OR(G41="",H41=""),"",MAX(0,H41-G41))</x:f>
      </x:c>
      <x:c r="J41" s="138"/>
      <x:c r="K41" s="138"/>
      <x:c r="L41" s="70" t="str">
        <x:f>IF(E41="","",IFERROR(INDEX('07_Equipment'!$G:$G,MATCH(E41,'07_Equipment'!$A:$A,0)),"NO RATE"))</x:f>
      </x:c>
      <x:c r="M41" s="70" t="str">
        <x:f>IF(OR(I41="",NOT(ISNUMBER(L41))),"",I41*L41)</x:f>
      </x:c>
      <x:c r="N41" s="15"/>
      <x:c r="O41" s="15" t="str">
        <x:f>IF(COUNTA(B41:H41,J41:K41,N41:N41)=0,"",TEXTJOIN("; ",TRUE,IF(B41="","Missing work date",""),IF(C41="","Missing project",""),IF(E41="","Missing equipment",""),IF(H41&lt;G41,"End meter before start",""),IF(L41="NO RATE","Missing equipment rate","")))</x:f>
      </x:c>
    </x:row>
    <x:row r="42" ht="20" customHeight="1">
      <x:c r="A42" s="15"/>
      <x:c r="B42" s="28"/>
      <x:c r="C42" s="15"/>
      <x:c r="D42" s="15"/>
      <x:c r="E42" s="15"/>
      <x:c r="F42" s="15"/>
      <x:c r="G42" s="138"/>
      <x:c r="H42" s="138"/>
      <x:c r="I42" s="138" t="str">
        <x:f>IF(OR(G42="",H42=""),"",MAX(0,H42-G42))</x:f>
      </x:c>
      <x:c r="J42" s="138"/>
      <x:c r="K42" s="138"/>
      <x:c r="L42" s="70" t="str">
        <x:f>IF(E42="","",IFERROR(INDEX('07_Equipment'!$G:$G,MATCH(E42,'07_Equipment'!$A:$A,0)),"NO RATE"))</x:f>
      </x:c>
      <x:c r="M42" s="70" t="str">
        <x:f>IF(OR(I42="",NOT(ISNUMBER(L42))),"",I42*L42)</x:f>
      </x:c>
      <x:c r="N42" s="15"/>
      <x:c r="O42" s="15" t="str">
        <x:f>IF(COUNTA(B42:H42,J42:K42,N42:N42)=0,"",TEXTJOIN("; ",TRUE,IF(B42="","Missing work date",""),IF(C42="","Missing project",""),IF(E42="","Missing equipment",""),IF(H42&lt;G42,"End meter before start",""),IF(L42="NO RATE","Missing equipment rate","")))</x:f>
      </x:c>
    </x:row>
    <x:row r="43" ht="20" customHeight="1">
      <x:c r="A43" s="15"/>
      <x:c r="B43" s="28"/>
      <x:c r="C43" s="15"/>
      <x:c r="D43" s="15"/>
      <x:c r="E43" s="15"/>
      <x:c r="F43" s="15"/>
      <x:c r="G43" s="138"/>
      <x:c r="H43" s="138"/>
      <x:c r="I43" s="138" t="str">
        <x:f>IF(OR(G43="",H43=""),"",MAX(0,H43-G43))</x:f>
      </x:c>
      <x:c r="J43" s="138"/>
      <x:c r="K43" s="138"/>
      <x:c r="L43" s="70" t="str">
        <x:f>IF(E43="","",IFERROR(INDEX('07_Equipment'!$G:$G,MATCH(E43,'07_Equipment'!$A:$A,0)),"NO RATE"))</x:f>
      </x:c>
      <x:c r="M43" s="70" t="str">
        <x:f>IF(OR(I43="",NOT(ISNUMBER(L43))),"",I43*L43)</x:f>
      </x:c>
      <x:c r="N43" s="15"/>
      <x:c r="O43" s="15" t="str">
        <x:f>IF(COUNTA(B43:H43,J43:K43,N43:N43)=0,"",TEXTJOIN("; ",TRUE,IF(B43="","Missing work date",""),IF(C43="","Missing project",""),IF(E43="","Missing equipment",""),IF(H43&lt;G43,"End meter before start",""),IF(L43="NO RATE","Missing equipment rate","")))</x:f>
      </x:c>
    </x:row>
    <x:row r="44" ht="20" customHeight="1">
      <x:c r="A44" s="15"/>
      <x:c r="B44" s="28"/>
      <x:c r="C44" s="15"/>
      <x:c r="D44" s="15"/>
      <x:c r="E44" s="15"/>
      <x:c r="F44" s="15"/>
      <x:c r="G44" s="138"/>
      <x:c r="H44" s="138"/>
      <x:c r="I44" s="138" t="str">
        <x:f>IF(OR(G44="",H44=""),"",MAX(0,H44-G44))</x:f>
      </x:c>
      <x:c r="J44" s="138"/>
      <x:c r="K44" s="138"/>
      <x:c r="L44" s="70" t="str">
        <x:f>IF(E44="","",IFERROR(INDEX('07_Equipment'!$G:$G,MATCH(E44,'07_Equipment'!$A:$A,0)),"NO RATE"))</x:f>
      </x:c>
      <x:c r="M44" s="70" t="str">
        <x:f>IF(OR(I44="",NOT(ISNUMBER(L44))),"",I44*L44)</x:f>
      </x:c>
      <x:c r="N44" s="15"/>
      <x:c r="O44" s="15" t="str">
        <x:f>IF(COUNTA(B44:H44,J44:K44,N44:N44)=0,"",TEXTJOIN("; ",TRUE,IF(B44="","Missing work date",""),IF(C44="","Missing project",""),IF(E44="","Missing equipment",""),IF(H44&lt;G44,"End meter before start",""),IF(L44="NO RATE","Missing equipment rate","")))</x:f>
      </x:c>
    </x:row>
    <x:row r="45" ht="20" customHeight="1">
      <x:c r="A45" s="15"/>
      <x:c r="B45" s="28"/>
      <x:c r="C45" s="15"/>
      <x:c r="D45" s="15"/>
      <x:c r="E45" s="15"/>
      <x:c r="F45" s="15"/>
      <x:c r="G45" s="138"/>
      <x:c r="H45" s="138"/>
      <x:c r="I45" s="138" t="str">
        <x:f>IF(OR(G45="",H45=""),"",MAX(0,H45-G45))</x:f>
      </x:c>
      <x:c r="J45" s="138"/>
      <x:c r="K45" s="138"/>
      <x:c r="L45" s="70" t="str">
        <x:f>IF(E45="","",IFERROR(INDEX('07_Equipment'!$G:$G,MATCH(E45,'07_Equipment'!$A:$A,0)),"NO RATE"))</x:f>
      </x:c>
      <x:c r="M45" s="70" t="str">
        <x:f>IF(OR(I45="",NOT(ISNUMBER(L45))),"",I45*L45)</x:f>
      </x:c>
      <x:c r="N45" s="15"/>
      <x:c r="O45" s="15" t="str">
        <x:f>IF(COUNTA(B45:H45,J45:K45,N45:N45)=0,"",TEXTJOIN("; ",TRUE,IF(B45="","Missing work date",""),IF(C45="","Missing project",""),IF(E45="","Missing equipment",""),IF(H45&lt;G45,"End meter before start",""),IF(L45="NO RATE","Missing equipment rate","")))</x:f>
      </x:c>
    </x:row>
    <x:row r="46" ht="20" customHeight="1">
      <x:c r="A46" s="15"/>
      <x:c r="B46" s="28"/>
      <x:c r="C46" s="15"/>
      <x:c r="D46" s="15"/>
      <x:c r="E46" s="15"/>
      <x:c r="F46" s="15"/>
      <x:c r="G46" s="138"/>
      <x:c r="H46" s="138"/>
      <x:c r="I46" s="138" t="str">
        <x:f>IF(OR(G46="",H46=""),"",MAX(0,H46-G46))</x:f>
      </x:c>
      <x:c r="J46" s="138"/>
      <x:c r="K46" s="138"/>
      <x:c r="L46" s="70" t="str">
        <x:f>IF(E46="","",IFERROR(INDEX('07_Equipment'!$G:$G,MATCH(E46,'07_Equipment'!$A:$A,0)),"NO RATE"))</x:f>
      </x:c>
      <x:c r="M46" s="70" t="str">
        <x:f>IF(OR(I46="",NOT(ISNUMBER(L46))),"",I46*L46)</x:f>
      </x:c>
      <x:c r="N46" s="15"/>
      <x:c r="O46" s="15" t="str">
        <x:f>IF(COUNTA(B46:H46,J46:K46,N46:N46)=0,"",TEXTJOIN("; ",TRUE,IF(B46="","Missing work date",""),IF(C46="","Missing project",""),IF(E46="","Missing equipment",""),IF(H46&lt;G46,"End meter before start",""),IF(L46="NO RATE","Missing equipment rate","")))</x:f>
      </x:c>
    </x:row>
    <x:row r="47" ht="20" customHeight="1">
      <x:c r="A47" s="15"/>
      <x:c r="B47" s="28"/>
      <x:c r="C47" s="15"/>
      <x:c r="D47" s="15"/>
      <x:c r="E47" s="15"/>
      <x:c r="F47" s="15"/>
      <x:c r="G47" s="138"/>
      <x:c r="H47" s="138"/>
      <x:c r="I47" s="138" t="str">
        <x:f>IF(OR(G47="",H47=""),"",MAX(0,H47-G47))</x:f>
      </x:c>
      <x:c r="J47" s="138"/>
      <x:c r="K47" s="138"/>
      <x:c r="L47" s="70" t="str">
        <x:f>IF(E47="","",IFERROR(INDEX('07_Equipment'!$G:$G,MATCH(E47,'07_Equipment'!$A:$A,0)),"NO RATE"))</x:f>
      </x:c>
      <x:c r="M47" s="70" t="str">
        <x:f>IF(OR(I47="",NOT(ISNUMBER(L47))),"",I47*L47)</x:f>
      </x:c>
      <x:c r="N47" s="15"/>
      <x:c r="O47" s="15" t="str">
        <x:f>IF(COUNTA(B47:H47,J47:K47,N47:N47)=0,"",TEXTJOIN("; ",TRUE,IF(B47="","Missing work date",""),IF(C47="","Missing project",""),IF(E47="","Missing equipment",""),IF(H47&lt;G47,"End meter before start",""),IF(L47="NO RATE","Missing equipment rate","")))</x:f>
      </x:c>
    </x:row>
    <x:row r="48" ht="20" customHeight="1">
      <x:c r="A48" s="15"/>
      <x:c r="B48" s="28"/>
      <x:c r="C48" s="15"/>
      <x:c r="D48" s="15"/>
      <x:c r="E48" s="15"/>
      <x:c r="F48" s="15"/>
      <x:c r="G48" s="138"/>
      <x:c r="H48" s="138"/>
      <x:c r="I48" s="138" t="str">
        <x:f>IF(OR(G48="",H48=""),"",MAX(0,H48-G48))</x:f>
      </x:c>
      <x:c r="J48" s="138"/>
      <x:c r="K48" s="138"/>
      <x:c r="L48" s="70" t="str">
        <x:f>IF(E48="","",IFERROR(INDEX('07_Equipment'!$G:$G,MATCH(E48,'07_Equipment'!$A:$A,0)),"NO RATE"))</x:f>
      </x:c>
      <x:c r="M48" s="70" t="str">
        <x:f>IF(OR(I48="",NOT(ISNUMBER(L48))),"",I48*L48)</x:f>
      </x:c>
      <x:c r="N48" s="15"/>
      <x:c r="O48" s="15" t="str">
        <x:f>IF(COUNTA(B48:H48,J48:K48,N48:N48)=0,"",TEXTJOIN("; ",TRUE,IF(B48="","Missing work date",""),IF(C48="","Missing project",""),IF(E48="","Missing equipment",""),IF(H48&lt;G48,"End meter before start",""),IF(L48="NO RATE","Missing equipment rate","")))</x:f>
      </x:c>
    </x:row>
    <x:row r="49" ht="20" customHeight="1">
      <x:c r="A49" s="15"/>
      <x:c r="B49" s="28"/>
      <x:c r="C49" s="15"/>
      <x:c r="D49" s="15"/>
      <x:c r="E49" s="15"/>
      <x:c r="F49" s="15"/>
      <x:c r="G49" s="138"/>
      <x:c r="H49" s="138"/>
      <x:c r="I49" s="138" t="str">
        <x:f>IF(OR(G49="",H49=""),"",MAX(0,H49-G49))</x:f>
      </x:c>
      <x:c r="J49" s="138"/>
      <x:c r="K49" s="138"/>
      <x:c r="L49" s="70" t="str">
        <x:f>IF(E49="","",IFERROR(INDEX('07_Equipment'!$G:$G,MATCH(E49,'07_Equipment'!$A:$A,0)),"NO RATE"))</x:f>
      </x:c>
      <x:c r="M49" s="70" t="str">
        <x:f>IF(OR(I49="",NOT(ISNUMBER(L49))),"",I49*L49)</x:f>
      </x:c>
      <x:c r="N49" s="15"/>
      <x:c r="O49" s="15" t="str">
        <x:f>IF(COUNTA(B49:H49,J49:K49,N49:N49)=0,"",TEXTJOIN("; ",TRUE,IF(B49="","Missing work date",""),IF(C49="","Missing project",""),IF(E49="","Missing equipment",""),IF(H49&lt;G49,"End meter before start",""),IF(L49="NO RATE","Missing equipment rate","")))</x:f>
      </x:c>
    </x:row>
    <x:row r="50" ht="20" customHeight="1">
      <x:c r="A50" s="15"/>
      <x:c r="B50" s="28"/>
      <x:c r="C50" s="15"/>
      <x:c r="D50" s="15"/>
      <x:c r="E50" s="15"/>
      <x:c r="F50" s="15"/>
      <x:c r="G50" s="138"/>
      <x:c r="H50" s="138"/>
      <x:c r="I50" s="138" t="str">
        <x:f>IF(OR(G50="",H50=""),"",MAX(0,H50-G50))</x:f>
      </x:c>
      <x:c r="J50" s="138"/>
      <x:c r="K50" s="138"/>
      <x:c r="L50" s="70" t="str">
        <x:f>IF(E50="","",IFERROR(INDEX('07_Equipment'!$G:$G,MATCH(E50,'07_Equipment'!$A:$A,0)),"NO RATE"))</x:f>
      </x:c>
      <x:c r="M50" s="70" t="str">
        <x:f>IF(OR(I50="",NOT(ISNUMBER(L50))),"",I50*L50)</x:f>
      </x:c>
      <x:c r="N50" s="15"/>
      <x:c r="O50" s="15" t="str">
        <x:f>IF(COUNTA(B50:H50,J50:K50,N50:N50)=0,"",TEXTJOIN("; ",TRUE,IF(B50="","Missing work date",""),IF(C50="","Missing project",""),IF(E50="","Missing equipment",""),IF(H50&lt;G50,"End meter before start",""),IF(L50="NO RATE","Missing equipment rate","")))</x:f>
      </x:c>
    </x:row>
    <x:row r="51" ht="20" customHeight="1">
      <x:c r="A51" s="15"/>
      <x:c r="B51" s="28"/>
      <x:c r="C51" s="15"/>
      <x:c r="D51" s="15"/>
      <x:c r="E51" s="15"/>
      <x:c r="F51" s="15"/>
      <x:c r="G51" s="138"/>
      <x:c r="H51" s="138"/>
      <x:c r="I51" s="138" t="str">
        <x:f>IF(OR(G51="",H51=""),"",MAX(0,H51-G51))</x:f>
      </x:c>
      <x:c r="J51" s="138"/>
      <x:c r="K51" s="138"/>
      <x:c r="L51" s="70" t="str">
        <x:f>IF(E51="","",IFERROR(INDEX('07_Equipment'!$G:$G,MATCH(E51,'07_Equipment'!$A:$A,0)),"NO RATE"))</x:f>
      </x:c>
      <x:c r="M51" s="70" t="str">
        <x:f>IF(OR(I51="",NOT(ISNUMBER(L51))),"",I51*L51)</x:f>
      </x:c>
      <x:c r="N51" s="15"/>
      <x:c r="O51" s="15" t="str">
        <x:f>IF(COUNTA(B51:H51,J51:K51,N51:N51)=0,"",TEXTJOIN("; ",TRUE,IF(B51="","Missing work date",""),IF(C51="","Missing project",""),IF(E51="","Missing equipment",""),IF(H51&lt;G51,"End meter before start",""),IF(L51="NO RATE","Missing equipment rate","")))</x:f>
      </x:c>
    </x:row>
    <x:row r="52" ht="20" customHeight="1">
      <x:c r="A52" s="15"/>
      <x:c r="B52" s="28"/>
      <x:c r="C52" s="15"/>
      <x:c r="D52" s="15"/>
      <x:c r="E52" s="15"/>
      <x:c r="F52" s="15"/>
      <x:c r="G52" s="138"/>
      <x:c r="H52" s="138"/>
      <x:c r="I52" s="138" t="str">
        <x:f>IF(OR(G52="",H52=""),"",MAX(0,H52-G52))</x:f>
      </x:c>
      <x:c r="J52" s="138"/>
      <x:c r="K52" s="138"/>
      <x:c r="L52" s="70" t="str">
        <x:f>IF(E52="","",IFERROR(INDEX('07_Equipment'!$G:$G,MATCH(E52,'07_Equipment'!$A:$A,0)),"NO RATE"))</x:f>
      </x:c>
      <x:c r="M52" s="70" t="str">
        <x:f>IF(OR(I52="",NOT(ISNUMBER(L52))),"",I52*L52)</x:f>
      </x:c>
      <x:c r="N52" s="15"/>
      <x:c r="O52" s="15" t="str">
        <x:f>IF(COUNTA(B52:H52,J52:K52,N52:N52)=0,"",TEXTJOIN("; ",TRUE,IF(B52="","Missing work date",""),IF(C52="","Missing project",""),IF(E52="","Missing equipment",""),IF(H52&lt;G52,"End meter before start",""),IF(L52="NO RATE","Missing equipment rate","")))</x:f>
      </x:c>
    </x:row>
    <x:row r="53" ht="20" customHeight="1">
      <x:c r="A53" s="15"/>
      <x:c r="B53" s="28"/>
      <x:c r="C53" s="15"/>
      <x:c r="D53" s="15"/>
      <x:c r="E53" s="15"/>
      <x:c r="F53" s="15"/>
      <x:c r="G53" s="138"/>
      <x:c r="H53" s="138"/>
      <x:c r="I53" s="138" t="str">
        <x:f>IF(OR(G53="",H53=""),"",MAX(0,H53-G53))</x:f>
      </x:c>
      <x:c r="J53" s="138"/>
      <x:c r="K53" s="138"/>
      <x:c r="L53" s="70" t="str">
        <x:f>IF(E53="","",IFERROR(INDEX('07_Equipment'!$G:$G,MATCH(E53,'07_Equipment'!$A:$A,0)),"NO RATE"))</x:f>
      </x:c>
      <x:c r="M53" s="70" t="str">
        <x:f>IF(OR(I53="",NOT(ISNUMBER(L53))),"",I53*L53)</x:f>
      </x:c>
      <x:c r="N53" s="15"/>
      <x:c r="O53" s="15" t="str">
        <x:f>IF(COUNTA(B53:H53,J53:K53,N53:N53)=0,"",TEXTJOIN("; ",TRUE,IF(B53="","Missing work date",""),IF(C53="","Missing project",""),IF(E53="","Missing equipment",""),IF(H53&lt;G53,"End meter before start",""),IF(L53="NO RATE","Missing equipment rate","")))</x:f>
      </x:c>
    </x:row>
    <x:row r="54" ht="20" customHeight="1">
      <x:c r="A54" s="15"/>
      <x:c r="B54" s="28"/>
      <x:c r="C54" s="15"/>
      <x:c r="D54" s="15"/>
      <x:c r="E54" s="15"/>
      <x:c r="F54" s="15"/>
      <x:c r="G54" s="138"/>
      <x:c r="H54" s="138"/>
      <x:c r="I54" s="138" t="str">
        <x:f>IF(OR(G54="",H54=""),"",MAX(0,H54-G54))</x:f>
      </x:c>
      <x:c r="J54" s="138"/>
      <x:c r="K54" s="138"/>
      <x:c r="L54" s="70" t="str">
        <x:f>IF(E54="","",IFERROR(INDEX('07_Equipment'!$G:$G,MATCH(E54,'07_Equipment'!$A:$A,0)),"NO RATE"))</x:f>
      </x:c>
      <x:c r="M54" s="70" t="str">
        <x:f>IF(OR(I54="",NOT(ISNUMBER(L54))),"",I54*L54)</x:f>
      </x:c>
      <x:c r="N54" s="15"/>
      <x:c r="O54" s="15" t="str">
        <x:f>IF(COUNTA(B54:H54,J54:K54,N54:N54)=0,"",TEXTJOIN("; ",TRUE,IF(B54="","Missing work date",""),IF(C54="","Missing project",""),IF(E54="","Missing equipment",""),IF(H54&lt;G54,"End meter before start",""),IF(L54="NO RATE","Missing equipment rate","")))</x:f>
      </x:c>
    </x:row>
    <x:row r="55" ht="20" customHeight="1">
      <x:c r="A55" s="15"/>
      <x:c r="B55" s="28"/>
      <x:c r="C55" s="15"/>
      <x:c r="D55" s="15"/>
      <x:c r="E55" s="15"/>
      <x:c r="F55" s="15"/>
      <x:c r="G55" s="138"/>
      <x:c r="H55" s="138"/>
      <x:c r="I55" s="138" t="str">
        <x:f>IF(OR(G55="",H55=""),"",MAX(0,H55-G55))</x:f>
      </x:c>
      <x:c r="J55" s="138"/>
      <x:c r="K55" s="138"/>
      <x:c r="L55" s="70" t="str">
        <x:f>IF(E55="","",IFERROR(INDEX('07_Equipment'!$G:$G,MATCH(E55,'07_Equipment'!$A:$A,0)),"NO RATE"))</x:f>
      </x:c>
      <x:c r="M55" s="70" t="str">
        <x:f>IF(OR(I55="",NOT(ISNUMBER(L55))),"",I55*L55)</x:f>
      </x:c>
      <x:c r="N55" s="15"/>
      <x:c r="O55" s="15" t="str">
        <x:f>IF(COUNTA(B55:H55,J55:K55,N55:N55)=0,"",TEXTJOIN("; ",TRUE,IF(B55="","Missing work date",""),IF(C55="","Missing project",""),IF(E55="","Missing equipment",""),IF(H55&lt;G55,"End meter before start",""),IF(L55="NO RATE","Missing equipment rate","")))</x:f>
      </x:c>
    </x:row>
    <x:row r="56" ht="20" customHeight="1">
      <x:c r="A56" s="15"/>
      <x:c r="B56" s="28"/>
      <x:c r="C56" s="15"/>
      <x:c r="D56" s="15"/>
      <x:c r="E56" s="15"/>
      <x:c r="F56" s="15"/>
      <x:c r="G56" s="138"/>
      <x:c r="H56" s="138"/>
      <x:c r="I56" s="138" t="str">
        <x:f>IF(OR(G56="",H56=""),"",MAX(0,H56-G56))</x:f>
      </x:c>
      <x:c r="J56" s="138"/>
      <x:c r="K56" s="138"/>
      <x:c r="L56" s="70" t="str">
        <x:f>IF(E56="","",IFERROR(INDEX('07_Equipment'!$G:$G,MATCH(E56,'07_Equipment'!$A:$A,0)),"NO RATE"))</x:f>
      </x:c>
      <x:c r="M56" s="70" t="str">
        <x:f>IF(OR(I56="",NOT(ISNUMBER(L56))),"",I56*L56)</x:f>
      </x:c>
      <x:c r="N56" s="15"/>
      <x:c r="O56" s="15" t="str">
        <x:f>IF(COUNTA(B56:H56,J56:K56,N56:N56)=0,"",TEXTJOIN("; ",TRUE,IF(B56="","Missing work date",""),IF(C56="","Missing project",""),IF(E56="","Missing equipment",""),IF(H56&lt;G56,"End meter before start",""),IF(L56="NO RATE","Missing equipment rate","")))</x:f>
      </x:c>
    </x:row>
    <x:row r="57" ht="20" customHeight="1">
      <x:c r="A57" s="15"/>
      <x:c r="B57" s="28"/>
      <x:c r="C57" s="15"/>
      <x:c r="D57" s="15"/>
      <x:c r="E57" s="15"/>
      <x:c r="F57" s="15"/>
      <x:c r="G57" s="138"/>
      <x:c r="H57" s="138"/>
      <x:c r="I57" s="138" t="str">
        <x:f>IF(OR(G57="",H57=""),"",MAX(0,H57-G57))</x:f>
      </x:c>
      <x:c r="J57" s="138"/>
      <x:c r="K57" s="138"/>
      <x:c r="L57" s="70" t="str">
        <x:f>IF(E57="","",IFERROR(INDEX('07_Equipment'!$G:$G,MATCH(E57,'07_Equipment'!$A:$A,0)),"NO RATE"))</x:f>
      </x:c>
      <x:c r="M57" s="70" t="str">
        <x:f>IF(OR(I57="",NOT(ISNUMBER(L57))),"",I57*L57)</x:f>
      </x:c>
      <x:c r="N57" s="15"/>
      <x:c r="O57" s="15" t="str">
        <x:f>IF(COUNTA(B57:H57,J57:K57,N57:N57)=0,"",TEXTJOIN("; ",TRUE,IF(B57="","Missing work date",""),IF(C57="","Missing project",""),IF(E57="","Missing equipment",""),IF(H57&lt;G57,"End meter before start",""),IF(L57="NO RATE","Missing equipment rate","")))</x:f>
      </x:c>
    </x:row>
    <x:row r="58" ht="20" customHeight="1">
      <x:c r="A58" s="15"/>
      <x:c r="B58" s="28"/>
      <x:c r="C58" s="15"/>
      <x:c r="D58" s="15"/>
      <x:c r="E58" s="15"/>
      <x:c r="F58" s="15"/>
      <x:c r="G58" s="138"/>
      <x:c r="H58" s="138"/>
      <x:c r="I58" s="138" t="str">
        <x:f>IF(OR(G58="",H58=""),"",MAX(0,H58-G58))</x:f>
      </x:c>
      <x:c r="J58" s="138"/>
      <x:c r="K58" s="138"/>
      <x:c r="L58" s="70" t="str">
        <x:f>IF(E58="","",IFERROR(INDEX('07_Equipment'!$G:$G,MATCH(E58,'07_Equipment'!$A:$A,0)),"NO RATE"))</x:f>
      </x:c>
      <x:c r="M58" s="70" t="str">
        <x:f>IF(OR(I58="",NOT(ISNUMBER(L58))),"",I58*L58)</x:f>
      </x:c>
      <x:c r="N58" s="15"/>
      <x:c r="O58" s="15" t="str">
        <x:f>IF(COUNTA(B58:H58,J58:K58,N58:N58)=0,"",TEXTJOIN("; ",TRUE,IF(B58="","Missing work date",""),IF(C58="","Missing project",""),IF(E58="","Missing equipment",""),IF(H58&lt;G58,"End meter before start",""),IF(L58="NO RATE","Missing equipment rate","")))</x:f>
      </x:c>
    </x:row>
    <x:row r="59" ht="20" customHeight="1">
      <x:c r="A59" s="15"/>
      <x:c r="B59" s="28"/>
      <x:c r="C59" s="15"/>
      <x:c r="D59" s="15"/>
      <x:c r="E59" s="15"/>
      <x:c r="F59" s="15"/>
      <x:c r="G59" s="138"/>
      <x:c r="H59" s="138"/>
      <x:c r="I59" s="138" t="str">
        <x:f>IF(OR(G59="",H59=""),"",MAX(0,H59-G59))</x:f>
      </x:c>
      <x:c r="J59" s="138"/>
      <x:c r="K59" s="138"/>
      <x:c r="L59" s="70" t="str">
        <x:f>IF(E59="","",IFERROR(INDEX('07_Equipment'!$G:$G,MATCH(E59,'07_Equipment'!$A:$A,0)),"NO RATE"))</x:f>
      </x:c>
      <x:c r="M59" s="70" t="str">
        <x:f>IF(OR(I59="",NOT(ISNUMBER(L59))),"",I59*L59)</x:f>
      </x:c>
      <x:c r="N59" s="15"/>
      <x:c r="O59" s="15" t="str">
        <x:f>IF(COUNTA(B59:H59,J59:K59,N59:N59)=0,"",TEXTJOIN("; ",TRUE,IF(B59="","Missing work date",""),IF(C59="","Missing project",""),IF(E59="","Missing equipment",""),IF(H59&lt;G59,"End meter before start",""),IF(L59="NO RATE","Missing equipment rate","")))</x:f>
      </x:c>
    </x:row>
    <x:row r="60" ht="20" customHeight="1">
      <x:c r="A60" s="15"/>
      <x:c r="B60" s="28"/>
      <x:c r="C60" s="15"/>
      <x:c r="D60" s="15"/>
      <x:c r="E60" s="15"/>
      <x:c r="F60" s="15"/>
      <x:c r="G60" s="138"/>
      <x:c r="H60" s="138"/>
      <x:c r="I60" s="138" t="str">
        <x:f>IF(OR(G60="",H60=""),"",MAX(0,H60-G60))</x:f>
      </x:c>
      <x:c r="J60" s="138"/>
      <x:c r="K60" s="138"/>
      <x:c r="L60" s="70" t="str">
        <x:f>IF(E60="","",IFERROR(INDEX('07_Equipment'!$G:$G,MATCH(E60,'07_Equipment'!$A:$A,0)),"NO RATE"))</x:f>
      </x:c>
      <x:c r="M60" s="70" t="str">
        <x:f>IF(OR(I60="",NOT(ISNUMBER(L60))),"",I60*L60)</x:f>
      </x:c>
      <x:c r="N60" s="15"/>
      <x:c r="O60" s="15" t="str">
        <x:f>IF(COUNTA(B60:H60,J60:K60,N60:N60)=0,"",TEXTJOIN("; ",TRUE,IF(B60="","Missing work date",""),IF(C60="","Missing project",""),IF(E60="","Missing equipment",""),IF(H60&lt;G60,"End meter before start",""),IF(L60="NO RATE","Missing equipment rate","")))</x:f>
      </x:c>
    </x:row>
    <x:row r="61" ht="20" customHeight="1">
      <x:c r="A61" s="15"/>
      <x:c r="B61" s="28"/>
      <x:c r="C61" s="15"/>
      <x:c r="D61" s="15"/>
      <x:c r="E61" s="15"/>
      <x:c r="F61" s="15"/>
      <x:c r="G61" s="138"/>
      <x:c r="H61" s="138"/>
      <x:c r="I61" s="138" t="str">
        <x:f>IF(OR(G61="",H61=""),"",MAX(0,H61-G61))</x:f>
      </x:c>
      <x:c r="J61" s="138"/>
      <x:c r="K61" s="138"/>
      <x:c r="L61" s="70" t="str">
        <x:f>IF(E61="","",IFERROR(INDEX('07_Equipment'!$G:$G,MATCH(E61,'07_Equipment'!$A:$A,0)),"NO RATE"))</x:f>
      </x:c>
      <x:c r="M61" s="70" t="str">
        <x:f>IF(OR(I61="",NOT(ISNUMBER(L61))),"",I61*L61)</x:f>
      </x:c>
      <x:c r="N61" s="15"/>
      <x:c r="O61" s="15" t="str">
        <x:f>IF(COUNTA(B61:H61,J61:K61,N61:N61)=0,"",TEXTJOIN("; ",TRUE,IF(B61="","Missing work date",""),IF(C61="","Missing project",""),IF(E61="","Missing equipment",""),IF(H61&lt;G61,"End meter before start",""),IF(L61="NO RATE","Missing equipment rate","")))</x:f>
      </x:c>
    </x:row>
    <x:row r="62" ht="20" customHeight="1">
      <x:c r="A62" s="15"/>
      <x:c r="B62" s="28"/>
      <x:c r="C62" s="15"/>
      <x:c r="D62" s="15"/>
      <x:c r="E62" s="15"/>
      <x:c r="F62" s="15"/>
      <x:c r="G62" s="138"/>
      <x:c r="H62" s="138"/>
      <x:c r="I62" s="138" t="str">
        <x:f>IF(OR(G62="",H62=""),"",MAX(0,H62-G62))</x:f>
      </x:c>
      <x:c r="J62" s="138"/>
      <x:c r="K62" s="138"/>
      <x:c r="L62" s="70" t="str">
        <x:f>IF(E62="","",IFERROR(INDEX('07_Equipment'!$G:$G,MATCH(E62,'07_Equipment'!$A:$A,0)),"NO RATE"))</x:f>
      </x:c>
      <x:c r="M62" s="70" t="str">
        <x:f>IF(OR(I62="",NOT(ISNUMBER(L62))),"",I62*L62)</x:f>
      </x:c>
      <x:c r="N62" s="15"/>
      <x:c r="O62" s="15" t="str">
        <x:f>IF(COUNTA(B62:H62,J62:K62,N62:N62)=0,"",TEXTJOIN("; ",TRUE,IF(B62="","Missing work date",""),IF(C62="","Missing project",""),IF(E62="","Missing equipment",""),IF(H62&lt;G62,"End meter before start",""),IF(L62="NO RATE","Missing equipment rate","")))</x:f>
      </x:c>
    </x:row>
    <x:row r="63" ht="20" customHeight="1">
      <x:c r="A63" s="15"/>
      <x:c r="B63" s="28"/>
      <x:c r="C63" s="15"/>
      <x:c r="D63" s="15"/>
      <x:c r="E63" s="15"/>
      <x:c r="F63" s="15"/>
      <x:c r="G63" s="138"/>
      <x:c r="H63" s="138"/>
      <x:c r="I63" s="138" t="str">
        <x:f>IF(OR(G63="",H63=""),"",MAX(0,H63-G63))</x:f>
      </x:c>
      <x:c r="J63" s="138"/>
      <x:c r="K63" s="138"/>
      <x:c r="L63" s="70" t="str">
        <x:f>IF(E63="","",IFERROR(INDEX('07_Equipment'!$G:$G,MATCH(E63,'07_Equipment'!$A:$A,0)),"NO RATE"))</x:f>
      </x:c>
      <x:c r="M63" s="70" t="str">
        <x:f>IF(OR(I63="",NOT(ISNUMBER(L63))),"",I63*L63)</x:f>
      </x:c>
      <x:c r="N63" s="15"/>
      <x:c r="O63" s="15" t="str">
        <x:f>IF(COUNTA(B63:H63,J63:K63,N63:N63)=0,"",TEXTJOIN("; ",TRUE,IF(B63="","Missing work date",""),IF(C63="","Missing project",""),IF(E63="","Missing equipment",""),IF(H63&lt;G63,"End meter before start",""),IF(L63="NO RATE","Missing equipment rate","")))</x:f>
      </x:c>
    </x:row>
    <x:row r="64" ht="20" customHeight="1">
      <x:c r="A64" s="15"/>
      <x:c r="B64" s="28"/>
      <x:c r="C64" s="15"/>
      <x:c r="D64" s="15"/>
      <x:c r="E64" s="15"/>
      <x:c r="F64" s="15"/>
      <x:c r="G64" s="138"/>
      <x:c r="H64" s="138"/>
      <x:c r="I64" s="138" t="str">
        <x:f>IF(OR(G64="",H64=""),"",MAX(0,H64-G64))</x:f>
      </x:c>
      <x:c r="J64" s="138"/>
      <x:c r="K64" s="138"/>
      <x:c r="L64" s="70" t="str">
        <x:f>IF(E64="","",IFERROR(INDEX('07_Equipment'!$G:$G,MATCH(E64,'07_Equipment'!$A:$A,0)),"NO RATE"))</x:f>
      </x:c>
      <x:c r="M64" s="70" t="str">
        <x:f>IF(OR(I64="",NOT(ISNUMBER(L64))),"",I64*L64)</x:f>
      </x:c>
      <x:c r="N64" s="15"/>
      <x:c r="O64" s="15" t="str">
        <x:f>IF(COUNTA(B64:H64,J64:K64,N64:N64)=0,"",TEXTJOIN("; ",TRUE,IF(B64="","Missing work date",""),IF(C64="","Missing project",""),IF(E64="","Missing equipment",""),IF(H64&lt;G64,"End meter before start",""),IF(L64="NO RATE","Missing equipment rate","")))</x:f>
      </x:c>
    </x:row>
    <x:row r="65" ht="20" customHeight="1">
      <x:c r="A65" s="15"/>
      <x:c r="B65" s="28"/>
      <x:c r="C65" s="15"/>
      <x:c r="D65" s="15"/>
      <x:c r="E65" s="15"/>
      <x:c r="F65" s="15"/>
      <x:c r="G65" s="138"/>
      <x:c r="H65" s="138"/>
      <x:c r="I65" s="138" t="str">
        <x:f>IF(OR(G65="",H65=""),"",MAX(0,H65-G65))</x:f>
      </x:c>
      <x:c r="J65" s="138"/>
      <x:c r="K65" s="138"/>
      <x:c r="L65" s="70" t="str">
        <x:f>IF(E65="","",IFERROR(INDEX('07_Equipment'!$G:$G,MATCH(E65,'07_Equipment'!$A:$A,0)),"NO RATE"))</x:f>
      </x:c>
      <x:c r="M65" s="70" t="str">
        <x:f>IF(OR(I65="",NOT(ISNUMBER(L65))),"",I65*L65)</x:f>
      </x:c>
      <x:c r="N65" s="15"/>
      <x:c r="O65" s="15" t="str">
        <x:f>IF(COUNTA(B65:H65,J65:K65,N65:N65)=0,"",TEXTJOIN("; ",TRUE,IF(B65="","Missing work date",""),IF(C65="","Missing project",""),IF(E65="","Missing equipment",""),IF(H65&lt;G65,"End meter before start",""),IF(L65="NO RATE","Missing equipment rate","")))</x:f>
      </x:c>
    </x:row>
    <x:row r="66" ht="20" customHeight="1">
      <x:c r="A66" s="15"/>
      <x:c r="B66" s="28"/>
      <x:c r="C66" s="15"/>
      <x:c r="D66" s="15"/>
      <x:c r="E66" s="15"/>
      <x:c r="F66" s="15"/>
      <x:c r="G66" s="138"/>
      <x:c r="H66" s="138"/>
      <x:c r="I66" s="138" t="str">
        <x:f>IF(OR(G66="",H66=""),"",MAX(0,H66-G66))</x:f>
      </x:c>
      <x:c r="J66" s="138"/>
      <x:c r="K66" s="138"/>
      <x:c r="L66" s="70" t="str">
        <x:f>IF(E66="","",IFERROR(INDEX('07_Equipment'!$G:$G,MATCH(E66,'07_Equipment'!$A:$A,0)),"NO RATE"))</x:f>
      </x:c>
      <x:c r="M66" s="70" t="str">
        <x:f>IF(OR(I66="",NOT(ISNUMBER(L66))),"",I66*L66)</x:f>
      </x:c>
      <x:c r="N66" s="15"/>
      <x:c r="O66" s="15" t="str">
        <x:f>IF(COUNTA(B66:H66,J66:K66,N66:N66)=0,"",TEXTJOIN("; ",TRUE,IF(B66="","Missing work date",""),IF(C66="","Missing project",""),IF(E66="","Missing equipment",""),IF(H66&lt;G66,"End meter before start",""),IF(L66="NO RATE","Missing equipment rate","")))</x:f>
      </x:c>
    </x:row>
    <x:row r="67" ht="20" customHeight="1">
      <x:c r="A67" s="15"/>
      <x:c r="B67" s="28"/>
      <x:c r="C67" s="15"/>
      <x:c r="D67" s="15"/>
      <x:c r="E67" s="15"/>
      <x:c r="F67" s="15"/>
      <x:c r="G67" s="138"/>
      <x:c r="H67" s="138"/>
      <x:c r="I67" s="138" t="str">
        <x:f>IF(OR(G67="",H67=""),"",MAX(0,H67-G67))</x:f>
      </x:c>
      <x:c r="J67" s="138"/>
      <x:c r="K67" s="138"/>
      <x:c r="L67" s="70" t="str">
        <x:f>IF(E67="","",IFERROR(INDEX('07_Equipment'!$G:$G,MATCH(E67,'07_Equipment'!$A:$A,0)),"NO RATE"))</x:f>
      </x:c>
      <x:c r="M67" s="70" t="str">
        <x:f>IF(OR(I67="",NOT(ISNUMBER(L67))),"",I67*L67)</x:f>
      </x:c>
      <x:c r="N67" s="15"/>
      <x:c r="O67" s="15" t="str">
        <x:f>IF(COUNTA(B67:H67,J67:K67,N67:N67)=0,"",TEXTJOIN("; ",TRUE,IF(B67="","Missing work date",""),IF(C67="","Missing project",""),IF(E67="","Missing equipment",""),IF(H67&lt;G67,"End meter before start",""),IF(L67="NO RATE","Missing equipment rate","")))</x:f>
      </x:c>
    </x:row>
    <x:row r="68" ht="20" customHeight="1">
      <x:c r="A68" s="15"/>
      <x:c r="B68" s="28"/>
      <x:c r="C68" s="15"/>
      <x:c r="D68" s="15"/>
      <x:c r="E68" s="15"/>
      <x:c r="F68" s="15"/>
      <x:c r="G68" s="138"/>
      <x:c r="H68" s="138"/>
      <x:c r="I68" s="138" t="str">
        <x:f>IF(OR(G68="",H68=""),"",MAX(0,H68-G68))</x:f>
      </x:c>
      <x:c r="J68" s="138"/>
      <x:c r="K68" s="138"/>
      <x:c r="L68" s="70" t="str">
        <x:f>IF(E68="","",IFERROR(INDEX('07_Equipment'!$G:$G,MATCH(E68,'07_Equipment'!$A:$A,0)),"NO RATE"))</x:f>
      </x:c>
      <x:c r="M68" s="70" t="str">
        <x:f>IF(OR(I68="",NOT(ISNUMBER(L68))),"",I68*L68)</x:f>
      </x:c>
      <x:c r="N68" s="15"/>
      <x:c r="O68" s="15" t="str">
        <x:f>IF(COUNTA(B68:H68,J68:K68,N68:N68)=0,"",TEXTJOIN("; ",TRUE,IF(B68="","Missing work date",""),IF(C68="","Missing project",""),IF(E68="","Missing equipment",""),IF(H68&lt;G68,"End meter before start",""),IF(L68="NO RATE","Missing equipment rate","")))</x:f>
      </x:c>
    </x:row>
    <x:row r="69" ht="20" customHeight="1">
      <x:c r="A69" s="15"/>
      <x:c r="B69" s="28"/>
      <x:c r="C69" s="15"/>
      <x:c r="D69" s="15"/>
      <x:c r="E69" s="15"/>
      <x:c r="F69" s="15"/>
      <x:c r="G69" s="138"/>
      <x:c r="H69" s="138"/>
      <x:c r="I69" s="138" t="str">
        <x:f>IF(OR(G69="",H69=""),"",MAX(0,H69-G69))</x:f>
      </x:c>
      <x:c r="J69" s="138"/>
      <x:c r="K69" s="138"/>
      <x:c r="L69" s="70" t="str">
        <x:f>IF(E69="","",IFERROR(INDEX('07_Equipment'!$G:$G,MATCH(E69,'07_Equipment'!$A:$A,0)),"NO RATE"))</x:f>
      </x:c>
      <x:c r="M69" s="70" t="str">
        <x:f>IF(OR(I69="",NOT(ISNUMBER(L69))),"",I69*L69)</x:f>
      </x:c>
      <x:c r="N69" s="15"/>
      <x:c r="O69" s="15" t="str">
        <x:f>IF(COUNTA(B69:H69,J69:K69,N69:N69)=0,"",TEXTJOIN("; ",TRUE,IF(B69="","Missing work date",""),IF(C69="","Missing project",""),IF(E69="","Missing equipment",""),IF(H69&lt;G69,"End meter before start",""),IF(L69="NO RATE","Missing equipment rate","")))</x:f>
      </x:c>
    </x:row>
    <x:row r="70" ht="20" customHeight="1">
      <x:c r="A70" s="15"/>
      <x:c r="B70" s="28"/>
      <x:c r="C70" s="15"/>
      <x:c r="D70" s="15"/>
      <x:c r="E70" s="15"/>
      <x:c r="F70" s="15"/>
      <x:c r="G70" s="138"/>
      <x:c r="H70" s="138"/>
      <x:c r="I70" s="138" t="str">
        <x:f>IF(OR(G70="",H70=""),"",MAX(0,H70-G70))</x:f>
      </x:c>
      <x:c r="J70" s="138"/>
      <x:c r="K70" s="138"/>
      <x:c r="L70" s="70" t="str">
        <x:f>IF(E70="","",IFERROR(INDEX('07_Equipment'!$G:$G,MATCH(E70,'07_Equipment'!$A:$A,0)),"NO RATE"))</x:f>
      </x:c>
      <x:c r="M70" s="70" t="str">
        <x:f>IF(OR(I70="",NOT(ISNUMBER(L70))),"",I70*L70)</x:f>
      </x:c>
      <x:c r="N70" s="15"/>
      <x:c r="O70" s="15" t="str">
        <x:f>IF(COUNTA(B70:H70,J70:K70,N70:N70)=0,"",TEXTJOIN("; ",TRUE,IF(B70="","Missing work date",""),IF(C70="","Missing project",""),IF(E70="","Missing equipment",""),IF(H70&lt;G70,"End meter before start",""),IF(L70="NO RATE","Missing equipment rate","")))</x:f>
      </x:c>
    </x:row>
    <x:row r="71" ht="20" customHeight="1">
      <x:c r="A71" s="15"/>
      <x:c r="B71" s="28"/>
      <x:c r="C71" s="15"/>
      <x:c r="D71" s="15"/>
      <x:c r="E71" s="15"/>
      <x:c r="F71" s="15"/>
      <x:c r="G71" s="138"/>
      <x:c r="H71" s="138"/>
      <x:c r="I71" s="138" t="str">
        <x:f>IF(OR(G71="",H71=""),"",MAX(0,H71-G71))</x:f>
      </x:c>
      <x:c r="J71" s="138"/>
      <x:c r="K71" s="138"/>
      <x:c r="L71" s="70" t="str">
        <x:f>IF(E71="","",IFERROR(INDEX('07_Equipment'!$G:$G,MATCH(E71,'07_Equipment'!$A:$A,0)),"NO RATE"))</x:f>
      </x:c>
      <x:c r="M71" s="70" t="str">
        <x:f>IF(OR(I71="",NOT(ISNUMBER(L71))),"",I71*L71)</x:f>
      </x:c>
      <x:c r="N71" s="15"/>
      <x:c r="O71" s="15" t="str">
        <x:f>IF(COUNTA(B71:H71,J71:K71,N71:N71)=0,"",TEXTJOIN("; ",TRUE,IF(B71="","Missing work date",""),IF(C71="","Missing project",""),IF(E71="","Missing equipment",""),IF(H71&lt;G71,"End meter before start",""),IF(L71="NO RATE","Missing equipment rate","")))</x:f>
      </x:c>
    </x:row>
    <x:row r="72" ht="20" customHeight="1">
      <x:c r="A72" s="15"/>
      <x:c r="B72" s="28"/>
      <x:c r="C72" s="15"/>
      <x:c r="D72" s="15"/>
      <x:c r="E72" s="15"/>
      <x:c r="F72" s="15"/>
      <x:c r="G72" s="138"/>
      <x:c r="H72" s="138"/>
      <x:c r="I72" s="138" t="str">
        <x:f>IF(OR(G72="",H72=""),"",MAX(0,H72-G72))</x:f>
      </x:c>
      <x:c r="J72" s="138"/>
      <x:c r="K72" s="138"/>
      <x:c r="L72" s="70" t="str">
        <x:f>IF(E72="","",IFERROR(INDEX('07_Equipment'!$G:$G,MATCH(E72,'07_Equipment'!$A:$A,0)),"NO RATE"))</x:f>
      </x:c>
      <x:c r="M72" s="70" t="str">
        <x:f>IF(OR(I72="",NOT(ISNUMBER(L72))),"",I72*L72)</x:f>
      </x:c>
      <x:c r="N72" s="15"/>
      <x:c r="O72" s="15" t="str">
        <x:f>IF(COUNTA(B72:H72,J72:K72,N72:N72)=0,"",TEXTJOIN("; ",TRUE,IF(B72="","Missing work date",""),IF(C72="","Missing project",""),IF(E72="","Missing equipment",""),IF(H72&lt;G72,"End meter before start",""),IF(L72="NO RATE","Missing equipment rate","")))</x:f>
      </x:c>
    </x:row>
    <x:row r="73" ht="20" customHeight="1">
      <x:c r="A73" s="15"/>
      <x:c r="B73" s="28"/>
      <x:c r="C73" s="15"/>
      <x:c r="D73" s="15"/>
      <x:c r="E73" s="15"/>
      <x:c r="F73" s="15"/>
      <x:c r="G73" s="138"/>
      <x:c r="H73" s="138"/>
      <x:c r="I73" s="138" t="str">
        <x:f>IF(OR(G73="",H73=""),"",MAX(0,H73-G73))</x:f>
      </x:c>
      <x:c r="J73" s="138"/>
      <x:c r="K73" s="138"/>
      <x:c r="L73" s="70" t="str">
        <x:f>IF(E73="","",IFERROR(INDEX('07_Equipment'!$G:$G,MATCH(E73,'07_Equipment'!$A:$A,0)),"NO RATE"))</x:f>
      </x:c>
      <x:c r="M73" s="70" t="str">
        <x:f>IF(OR(I73="",NOT(ISNUMBER(L73))),"",I73*L73)</x:f>
      </x:c>
      <x:c r="N73" s="15"/>
      <x:c r="O73" s="15" t="str">
        <x:f>IF(COUNTA(B73:H73,J73:K73,N73:N73)=0,"",TEXTJOIN("; ",TRUE,IF(B73="","Missing work date",""),IF(C73="","Missing project",""),IF(E73="","Missing equipment",""),IF(H73&lt;G73,"End meter before start",""),IF(L73="NO RATE","Missing equipment rate","")))</x:f>
      </x:c>
    </x:row>
    <x:row r="74" ht="20" customHeight="1">
      <x:c r="A74" s="15"/>
      <x:c r="B74" s="28"/>
      <x:c r="C74" s="15"/>
      <x:c r="D74" s="15"/>
      <x:c r="E74" s="15"/>
      <x:c r="F74" s="15"/>
      <x:c r="G74" s="138"/>
      <x:c r="H74" s="138"/>
      <x:c r="I74" s="138" t="str">
        <x:f>IF(OR(G74="",H74=""),"",MAX(0,H74-G74))</x:f>
      </x:c>
      <x:c r="J74" s="138"/>
      <x:c r="K74" s="138"/>
      <x:c r="L74" s="70" t="str">
        <x:f>IF(E74="","",IFERROR(INDEX('07_Equipment'!$G:$G,MATCH(E74,'07_Equipment'!$A:$A,0)),"NO RATE"))</x:f>
      </x:c>
      <x:c r="M74" s="70" t="str">
        <x:f>IF(OR(I74="",NOT(ISNUMBER(L74))),"",I74*L74)</x:f>
      </x:c>
      <x:c r="N74" s="15"/>
      <x:c r="O74" s="15" t="str">
        <x:f>IF(COUNTA(B74:H74,J74:K74,N74:N74)=0,"",TEXTJOIN("; ",TRUE,IF(B74="","Missing work date",""),IF(C74="","Missing project",""),IF(E74="","Missing equipment",""),IF(H74&lt;G74,"End meter before start",""),IF(L74="NO RATE","Missing equipment rate","")))</x:f>
      </x:c>
    </x:row>
    <x:row r="75" ht="20" customHeight="1">
      <x:c r="A75" s="15"/>
      <x:c r="B75" s="28"/>
      <x:c r="C75" s="15"/>
      <x:c r="D75" s="15"/>
      <x:c r="E75" s="15"/>
      <x:c r="F75" s="15"/>
      <x:c r="G75" s="138"/>
      <x:c r="H75" s="138"/>
      <x:c r="I75" s="138" t="str">
        <x:f>IF(OR(G75="",H75=""),"",MAX(0,H75-G75))</x:f>
      </x:c>
      <x:c r="J75" s="138"/>
      <x:c r="K75" s="138"/>
      <x:c r="L75" s="70" t="str">
        <x:f>IF(E75="","",IFERROR(INDEX('07_Equipment'!$G:$G,MATCH(E75,'07_Equipment'!$A:$A,0)),"NO RATE"))</x:f>
      </x:c>
      <x:c r="M75" s="70" t="str">
        <x:f>IF(OR(I75="",NOT(ISNUMBER(L75))),"",I75*L75)</x:f>
      </x:c>
      <x:c r="N75" s="15"/>
      <x:c r="O75" s="15" t="str">
        <x:f>IF(COUNTA(B75:H75,J75:K75,N75:N75)=0,"",TEXTJOIN("; ",TRUE,IF(B75="","Missing work date",""),IF(C75="","Missing project",""),IF(E75="","Missing equipment",""),IF(H75&lt;G75,"End meter before start",""),IF(L75="NO RATE","Missing equipment rate","")))</x:f>
      </x:c>
    </x:row>
    <x:row r="76" ht="20" customHeight="1">
      <x:c r="A76" s="15"/>
      <x:c r="B76" s="28"/>
      <x:c r="C76" s="15"/>
      <x:c r="D76" s="15"/>
      <x:c r="E76" s="15"/>
      <x:c r="F76" s="15"/>
      <x:c r="G76" s="138"/>
      <x:c r="H76" s="138"/>
      <x:c r="I76" s="138" t="str">
        <x:f>IF(OR(G76="",H76=""),"",MAX(0,H76-G76))</x:f>
      </x:c>
      <x:c r="J76" s="138"/>
      <x:c r="K76" s="138"/>
      <x:c r="L76" s="70" t="str">
        <x:f>IF(E76="","",IFERROR(INDEX('07_Equipment'!$G:$G,MATCH(E76,'07_Equipment'!$A:$A,0)),"NO RATE"))</x:f>
      </x:c>
      <x:c r="M76" s="70" t="str">
        <x:f>IF(OR(I76="",NOT(ISNUMBER(L76))),"",I76*L76)</x:f>
      </x:c>
      <x:c r="N76" s="15"/>
      <x:c r="O76" s="15" t="str">
        <x:f>IF(COUNTA(B76:H76,J76:K76,N76:N76)=0,"",TEXTJOIN("; ",TRUE,IF(B76="","Missing work date",""),IF(C76="","Missing project",""),IF(E76="","Missing equipment",""),IF(H76&lt;G76,"End meter before start",""),IF(L76="NO RATE","Missing equipment rate","")))</x:f>
      </x:c>
    </x:row>
    <x:row r="77" ht="20" customHeight="1">
      <x:c r="A77" s="15"/>
      <x:c r="B77" s="28"/>
      <x:c r="C77" s="15"/>
      <x:c r="D77" s="15"/>
      <x:c r="E77" s="15"/>
      <x:c r="F77" s="15"/>
      <x:c r="G77" s="138"/>
      <x:c r="H77" s="138"/>
      <x:c r="I77" s="138" t="str">
        <x:f>IF(OR(G77="",H77=""),"",MAX(0,H77-G77))</x:f>
      </x:c>
      <x:c r="J77" s="138"/>
      <x:c r="K77" s="138"/>
      <x:c r="L77" s="70" t="str">
        <x:f>IF(E77="","",IFERROR(INDEX('07_Equipment'!$G:$G,MATCH(E77,'07_Equipment'!$A:$A,0)),"NO RATE"))</x:f>
      </x:c>
      <x:c r="M77" s="70" t="str">
        <x:f>IF(OR(I77="",NOT(ISNUMBER(L77))),"",I77*L77)</x:f>
      </x:c>
      <x:c r="N77" s="15"/>
      <x:c r="O77" s="15" t="str">
        <x:f>IF(COUNTA(B77:H77,J77:K77,N77:N77)=0,"",TEXTJOIN("; ",TRUE,IF(B77="","Missing work date",""),IF(C77="","Missing project",""),IF(E77="","Missing equipment",""),IF(H77&lt;G77,"End meter before start",""),IF(L77="NO RATE","Missing equipment rate","")))</x:f>
      </x:c>
    </x:row>
    <x:row r="78" ht="20" customHeight="1">
      <x:c r="A78" s="15"/>
      <x:c r="B78" s="28"/>
      <x:c r="C78" s="15"/>
      <x:c r="D78" s="15"/>
      <x:c r="E78" s="15"/>
      <x:c r="F78" s="15"/>
      <x:c r="G78" s="138"/>
      <x:c r="H78" s="138"/>
      <x:c r="I78" s="138" t="str">
        <x:f>IF(OR(G78="",H78=""),"",MAX(0,H78-G78))</x:f>
      </x:c>
      <x:c r="J78" s="138"/>
      <x:c r="K78" s="138"/>
      <x:c r="L78" s="70" t="str">
        <x:f>IF(E78="","",IFERROR(INDEX('07_Equipment'!$G:$G,MATCH(E78,'07_Equipment'!$A:$A,0)),"NO RATE"))</x:f>
      </x:c>
      <x:c r="M78" s="70" t="str">
        <x:f>IF(OR(I78="",NOT(ISNUMBER(L78))),"",I78*L78)</x:f>
      </x:c>
      <x:c r="N78" s="15"/>
      <x:c r="O78" s="15" t="str">
        <x:f>IF(COUNTA(B78:H78,J78:K78,N78:N78)=0,"",TEXTJOIN("; ",TRUE,IF(B78="","Missing work date",""),IF(C78="","Missing project",""),IF(E78="","Missing equipment",""),IF(H78&lt;G78,"End meter before start",""),IF(L78="NO RATE","Missing equipment rate","")))</x:f>
      </x:c>
    </x:row>
    <x:row r="79" ht="20" customHeight="1">
      <x:c r="A79" s="15"/>
      <x:c r="B79" s="28"/>
      <x:c r="C79" s="15"/>
      <x:c r="D79" s="15"/>
      <x:c r="E79" s="15"/>
      <x:c r="F79" s="15"/>
      <x:c r="G79" s="138"/>
      <x:c r="H79" s="138"/>
      <x:c r="I79" s="138" t="str">
        <x:f>IF(OR(G79="",H79=""),"",MAX(0,H79-G79))</x:f>
      </x:c>
      <x:c r="J79" s="138"/>
      <x:c r="K79" s="138"/>
      <x:c r="L79" s="70" t="str">
        <x:f>IF(E79="","",IFERROR(INDEX('07_Equipment'!$G:$G,MATCH(E79,'07_Equipment'!$A:$A,0)),"NO RATE"))</x:f>
      </x:c>
      <x:c r="M79" s="70" t="str">
        <x:f>IF(OR(I79="",NOT(ISNUMBER(L79))),"",I79*L79)</x:f>
      </x:c>
      <x:c r="N79" s="15"/>
      <x:c r="O79" s="15" t="str">
        <x:f>IF(COUNTA(B79:H79,J79:K79,N79:N79)=0,"",TEXTJOIN("; ",TRUE,IF(B79="","Missing work date",""),IF(C79="","Missing project",""),IF(E79="","Missing equipment",""),IF(H79&lt;G79,"End meter before start",""),IF(L79="NO RATE","Missing equipment rate","")))</x:f>
      </x:c>
    </x:row>
    <x:row r="80" ht="20" customHeight="1">
      <x:c r="A80" s="15"/>
      <x:c r="B80" s="28"/>
      <x:c r="C80" s="15"/>
      <x:c r="D80" s="15"/>
      <x:c r="E80" s="15"/>
      <x:c r="F80" s="15"/>
      <x:c r="G80" s="138"/>
      <x:c r="H80" s="138"/>
      <x:c r="I80" s="138" t="str">
        <x:f>IF(OR(G80="",H80=""),"",MAX(0,H80-G80))</x:f>
      </x:c>
      <x:c r="J80" s="138"/>
      <x:c r="K80" s="138"/>
      <x:c r="L80" s="70" t="str">
        <x:f>IF(E80="","",IFERROR(INDEX('07_Equipment'!$G:$G,MATCH(E80,'07_Equipment'!$A:$A,0)),"NO RATE"))</x:f>
      </x:c>
      <x:c r="M80" s="70" t="str">
        <x:f>IF(OR(I80="",NOT(ISNUMBER(L80))),"",I80*L80)</x:f>
      </x:c>
      <x:c r="N80" s="15"/>
      <x:c r="O80" s="15" t="str">
        <x:f>IF(COUNTA(B80:H80,J80:K80,N80:N80)=0,"",TEXTJOIN("; ",TRUE,IF(B80="","Missing work date",""),IF(C80="","Missing project",""),IF(E80="","Missing equipment",""),IF(H80&lt;G80,"End meter before start",""),IF(L80="NO RATE","Missing equipment rate","")))</x:f>
      </x:c>
    </x:row>
    <x:row r="81" ht="20" customHeight="1">
      <x:c r="A81" s="15"/>
      <x:c r="B81" s="28"/>
      <x:c r="C81" s="15"/>
      <x:c r="D81" s="15"/>
      <x:c r="E81" s="15"/>
      <x:c r="F81" s="15"/>
      <x:c r="G81" s="138"/>
      <x:c r="H81" s="138"/>
      <x:c r="I81" s="138" t="str">
        <x:f>IF(OR(G81="",H81=""),"",MAX(0,H81-G81))</x:f>
      </x:c>
      <x:c r="J81" s="138"/>
      <x:c r="K81" s="138"/>
      <x:c r="L81" s="70" t="str">
        <x:f>IF(E81="","",IFERROR(INDEX('07_Equipment'!$G:$G,MATCH(E81,'07_Equipment'!$A:$A,0)),"NO RATE"))</x:f>
      </x:c>
      <x:c r="M81" s="70" t="str">
        <x:f>IF(OR(I81="",NOT(ISNUMBER(L81))),"",I81*L81)</x:f>
      </x:c>
      <x:c r="N81" s="15"/>
      <x:c r="O81" s="15" t="str">
        <x:f>IF(COUNTA(B81:H81,J81:K81,N81:N81)=0,"",TEXTJOIN("; ",TRUE,IF(B81="","Missing work date",""),IF(C81="","Missing project",""),IF(E81="","Missing equipment",""),IF(H81&lt;G81,"End meter before start",""),IF(L81="NO RATE","Missing equipment rate","")))</x:f>
      </x:c>
    </x:row>
    <x:row r="82" ht="20" customHeight="1">
      <x:c r="A82" s="15"/>
      <x:c r="B82" s="28"/>
      <x:c r="C82" s="15"/>
      <x:c r="D82" s="15"/>
      <x:c r="E82" s="15"/>
      <x:c r="F82" s="15"/>
      <x:c r="G82" s="138"/>
      <x:c r="H82" s="138"/>
      <x:c r="I82" s="138" t="str">
        <x:f>IF(OR(G82="",H82=""),"",MAX(0,H82-G82))</x:f>
      </x:c>
      <x:c r="J82" s="138"/>
      <x:c r="K82" s="138"/>
      <x:c r="L82" s="70" t="str">
        <x:f>IF(E82="","",IFERROR(INDEX('07_Equipment'!$G:$G,MATCH(E82,'07_Equipment'!$A:$A,0)),"NO RATE"))</x:f>
      </x:c>
      <x:c r="M82" s="70" t="str">
        <x:f>IF(OR(I82="",NOT(ISNUMBER(L82))),"",I82*L82)</x:f>
      </x:c>
      <x:c r="N82" s="15"/>
      <x:c r="O82" s="15" t="str">
        <x:f>IF(COUNTA(B82:H82,J82:K82,N82:N82)=0,"",TEXTJOIN("; ",TRUE,IF(B82="","Missing work date",""),IF(C82="","Missing project",""),IF(E82="","Missing equipment",""),IF(H82&lt;G82,"End meter before start",""),IF(L82="NO RATE","Missing equipment rate","")))</x:f>
      </x:c>
    </x:row>
    <x:row r="83" ht="20" customHeight="1">
      <x:c r="A83" s="15"/>
      <x:c r="B83" s="28"/>
      <x:c r="C83" s="15"/>
      <x:c r="D83" s="15"/>
      <x:c r="E83" s="15"/>
      <x:c r="F83" s="15"/>
      <x:c r="G83" s="138"/>
      <x:c r="H83" s="138"/>
      <x:c r="I83" s="138" t="str">
        <x:f>IF(OR(G83="",H83=""),"",MAX(0,H83-G83))</x:f>
      </x:c>
      <x:c r="J83" s="138"/>
      <x:c r="K83" s="138"/>
      <x:c r="L83" s="70" t="str">
        <x:f>IF(E83="","",IFERROR(INDEX('07_Equipment'!$G:$G,MATCH(E83,'07_Equipment'!$A:$A,0)),"NO RATE"))</x:f>
      </x:c>
      <x:c r="M83" s="70" t="str">
        <x:f>IF(OR(I83="",NOT(ISNUMBER(L83))),"",I83*L83)</x:f>
      </x:c>
      <x:c r="N83" s="15"/>
      <x:c r="O83" s="15" t="str">
        <x:f>IF(COUNTA(B83:H83,J83:K83,N83:N83)=0,"",TEXTJOIN("; ",TRUE,IF(B83="","Missing work date",""),IF(C83="","Missing project",""),IF(E83="","Missing equipment",""),IF(H83&lt;G83,"End meter before start",""),IF(L83="NO RATE","Missing equipment rate","")))</x:f>
      </x:c>
    </x:row>
    <x:row r="84" ht="20" customHeight="1">
      <x:c r="A84" s="15"/>
      <x:c r="B84" s="28"/>
      <x:c r="C84" s="15"/>
      <x:c r="D84" s="15"/>
      <x:c r="E84" s="15"/>
      <x:c r="F84" s="15"/>
      <x:c r="G84" s="138"/>
      <x:c r="H84" s="138"/>
      <x:c r="I84" s="138" t="str">
        <x:f>IF(OR(G84="",H84=""),"",MAX(0,H84-G84))</x:f>
      </x:c>
      <x:c r="J84" s="138"/>
      <x:c r="K84" s="138"/>
      <x:c r="L84" s="70" t="str">
        <x:f>IF(E84="","",IFERROR(INDEX('07_Equipment'!$G:$G,MATCH(E84,'07_Equipment'!$A:$A,0)),"NO RATE"))</x:f>
      </x:c>
      <x:c r="M84" s="70" t="str">
        <x:f>IF(OR(I84="",NOT(ISNUMBER(L84))),"",I84*L84)</x:f>
      </x:c>
      <x:c r="N84" s="15"/>
      <x:c r="O84" s="15" t="str">
        <x:f>IF(COUNTA(B84:H84,J84:K84,N84:N84)=0,"",TEXTJOIN("; ",TRUE,IF(B84="","Missing work date",""),IF(C84="","Missing project",""),IF(E84="","Missing equipment",""),IF(H84&lt;G84,"End meter before start",""),IF(L84="NO RATE","Missing equipment rate","")))</x:f>
      </x:c>
    </x:row>
    <x:row r="85" ht="20" customHeight="1">
      <x:c r="A85" s="15"/>
      <x:c r="B85" s="28"/>
      <x:c r="C85" s="15"/>
      <x:c r="D85" s="15"/>
      <x:c r="E85" s="15"/>
      <x:c r="F85" s="15"/>
      <x:c r="G85" s="138"/>
      <x:c r="H85" s="138"/>
      <x:c r="I85" s="138" t="str">
        <x:f>IF(OR(G85="",H85=""),"",MAX(0,H85-G85))</x:f>
      </x:c>
      <x:c r="J85" s="138"/>
      <x:c r="K85" s="138"/>
      <x:c r="L85" s="70" t="str">
        <x:f>IF(E85="","",IFERROR(INDEX('07_Equipment'!$G:$G,MATCH(E85,'07_Equipment'!$A:$A,0)),"NO RATE"))</x:f>
      </x:c>
      <x:c r="M85" s="70" t="str">
        <x:f>IF(OR(I85="",NOT(ISNUMBER(L85))),"",I85*L85)</x:f>
      </x:c>
      <x:c r="N85" s="15"/>
      <x:c r="O85" s="15" t="str">
        <x:f>IF(COUNTA(B85:H85,J85:K85,N85:N85)=0,"",TEXTJOIN("; ",TRUE,IF(B85="","Missing work date",""),IF(C85="","Missing project",""),IF(E85="","Missing equipment",""),IF(H85&lt;G85,"End meter before start",""),IF(L85="NO RATE","Missing equipment rate","")))</x:f>
      </x:c>
    </x:row>
    <x:row r="86" ht="20" customHeight="1">
      <x:c r="A86" s="15"/>
      <x:c r="B86" s="28"/>
      <x:c r="C86" s="15"/>
      <x:c r="D86" s="15"/>
      <x:c r="E86" s="15"/>
      <x:c r="F86" s="15"/>
      <x:c r="G86" s="138"/>
      <x:c r="H86" s="138"/>
      <x:c r="I86" s="138" t="str">
        <x:f>IF(OR(G86="",H86=""),"",MAX(0,H86-G86))</x:f>
      </x:c>
      <x:c r="J86" s="138"/>
      <x:c r="K86" s="138"/>
      <x:c r="L86" s="70" t="str">
        <x:f>IF(E86="","",IFERROR(INDEX('07_Equipment'!$G:$G,MATCH(E86,'07_Equipment'!$A:$A,0)),"NO RATE"))</x:f>
      </x:c>
      <x:c r="M86" s="70" t="str">
        <x:f>IF(OR(I86="",NOT(ISNUMBER(L86))),"",I86*L86)</x:f>
      </x:c>
      <x:c r="N86" s="15"/>
      <x:c r="O86" s="15" t="str">
        <x:f>IF(COUNTA(B86:H86,J86:K86,N86:N86)=0,"",TEXTJOIN("; ",TRUE,IF(B86="","Missing work date",""),IF(C86="","Missing project",""),IF(E86="","Missing equipment",""),IF(H86&lt;G86,"End meter before start",""),IF(L86="NO RATE","Missing equipment rate","")))</x:f>
      </x:c>
    </x:row>
    <x:row r="87" ht="20" customHeight="1">
      <x:c r="A87" s="15"/>
      <x:c r="B87" s="28"/>
      <x:c r="C87" s="15"/>
      <x:c r="D87" s="15"/>
      <x:c r="E87" s="15"/>
      <x:c r="F87" s="15"/>
      <x:c r="G87" s="138"/>
      <x:c r="H87" s="138"/>
      <x:c r="I87" s="138" t="str">
        <x:f>IF(OR(G87="",H87=""),"",MAX(0,H87-G87))</x:f>
      </x:c>
      <x:c r="J87" s="138"/>
      <x:c r="K87" s="138"/>
      <x:c r="L87" s="70" t="str">
        <x:f>IF(E87="","",IFERROR(INDEX('07_Equipment'!$G:$G,MATCH(E87,'07_Equipment'!$A:$A,0)),"NO RATE"))</x:f>
      </x:c>
      <x:c r="M87" s="70" t="str">
        <x:f>IF(OR(I87="",NOT(ISNUMBER(L87))),"",I87*L87)</x:f>
      </x:c>
      <x:c r="N87" s="15"/>
      <x:c r="O87" s="15" t="str">
        <x:f>IF(COUNTA(B87:H87,J87:K87,N87:N87)=0,"",TEXTJOIN("; ",TRUE,IF(B87="","Missing work date",""),IF(C87="","Missing project",""),IF(E87="","Missing equipment",""),IF(H87&lt;G87,"End meter before start",""),IF(L87="NO RATE","Missing equipment rate","")))</x:f>
      </x:c>
    </x:row>
    <x:row r="88" ht="20" customHeight="1">
      <x:c r="A88" s="15"/>
      <x:c r="B88" s="28"/>
      <x:c r="C88" s="15"/>
      <x:c r="D88" s="15"/>
      <x:c r="E88" s="15"/>
      <x:c r="F88" s="15"/>
      <x:c r="G88" s="138"/>
      <x:c r="H88" s="138"/>
      <x:c r="I88" s="138" t="str">
        <x:f>IF(OR(G88="",H88=""),"",MAX(0,H88-G88))</x:f>
      </x:c>
      <x:c r="J88" s="138"/>
      <x:c r="K88" s="138"/>
      <x:c r="L88" s="70" t="str">
        <x:f>IF(E88="","",IFERROR(INDEX('07_Equipment'!$G:$G,MATCH(E88,'07_Equipment'!$A:$A,0)),"NO RATE"))</x:f>
      </x:c>
      <x:c r="M88" s="70" t="str">
        <x:f>IF(OR(I88="",NOT(ISNUMBER(L88))),"",I88*L88)</x:f>
      </x:c>
      <x:c r="N88" s="15"/>
      <x:c r="O88" s="15" t="str">
        <x:f>IF(COUNTA(B88:H88,J88:K88,N88:N88)=0,"",TEXTJOIN("; ",TRUE,IF(B88="","Missing work date",""),IF(C88="","Missing project",""),IF(E88="","Missing equipment",""),IF(H88&lt;G88,"End meter before start",""),IF(L88="NO RATE","Missing equipment rate","")))</x:f>
      </x:c>
    </x:row>
    <x:row r="89" ht="20" customHeight="1">
      <x:c r="A89" s="15"/>
      <x:c r="B89" s="28"/>
      <x:c r="C89" s="15"/>
      <x:c r="D89" s="15"/>
      <x:c r="E89" s="15"/>
      <x:c r="F89" s="15"/>
      <x:c r="G89" s="138"/>
      <x:c r="H89" s="138"/>
      <x:c r="I89" s="138" t="str">
        <x:f>IF(OR(G89="",H89=""),"",MAX(0,H89-G89))</x:f>
      </x:c>
      <x:c r="J89" s="138"/>
      <x:c r="K89" s="138"/>
      <x:c r="L89" s="70" t="str">
        <x:f>IF(E89="","",IFERROR(INDEX('07_Equipment'!$G:$G,MATCH(E89,'07_Equipment'!$A:$A,0)),"NO RATE"))</x:f>
      </x:c>
      <x:c r="M89" s="70" t="str">
        <x:f>IF(OR(I89="",NOT(ISNUMBER(L89))),"",I89*L89)</x:f>
      </x:c>
      <x:c r="N89" s="15"/>
      <x:c r="O89" s="15" t="str">
        <x:f>IF(COUNTA(B89:H89,J89:K89,N89:N89)=0,"",TEXTJOIN("; ",TRUE,IF(B89="","Missing work date",""),IF(C89="","Missing project",""),IF(E89="","Missing equipment",""),IF(H89&lt;G89,"End meter before start",""),IF(L89="NO RATE","Missing equipment rate","")))</x:f>
      </x:c>
    </x:row>
    <x:row r="90" ht="20" customHeight="1">
      <x:c r="A90" s="15"/>
      <x:c r="B90" s="28"/>
      <x:c r="C90" s="15"/>
      <x:c r="D90" s="15"/>
      <x:c r="E90" s="15"/>
      <x:c r="F90" s="15"/>
      <x:c r="G90" s="138"/>
      <x:c r="H90" s="138"/>
      <x:c r="I90" s="138" t="str">
        <x:f>IF(OR(G90="",H90=""),"",MAX(0,H90-G90))</x:f>
      </x:c>
      <x:c r="J90" s="138"/>
      <x:c r="K90" s="138"/>
      <x:c r="L90" s="70" t="str">
        <x:f>IF(E90="","",IFERROR(INDEX('07_Equipment'!$G:$G,MATCH(E90,'07_Equipment'!$A:$A,0)),"NO RATE"))</x:f>
      </x:c>
      <x:c r="M90" s="70" t="str">
        <x:f>IF(OR(I90="",NOT(ISNUMBER(L90))),"",I90*L90)</x:f>
      </x:c>
      <x:c r="N90" s="15"/>
      <x:c r="O90" s="15" t="str">
        <x:f>IF(COUNTA(B90:H90,J90:K90,N90:N90)=0,"",TEXTJOIN("; ",TRUE,IF(B90="","Missing work date",""),IF(C90="","Missing project",""),IF(E90="","Missing equipment",""),IF(H90&lt;G90,"End meter before start",""),IF(L90="NO RATE","Missing equipment rate","")))</x:f>
      </x:c>
    </x:row>
    <x:row r="91" ht="20" customHeight="1">
      <x:c r="A91" s="15"/>
      <x:c r="B91" s="28"/>
      <x:c r="C91" s="15"/>
      <x:c r="D91" s="15"/>
      <x:c r="E91" s="15"/>
      <x:c r="F91" s="15"/>
      <x:c r="G91" s="138"/>
      <x:c r="H91" s="138"/>
      <x:c r="I91" s="138" t="str">
        <x:f>IF(OR(G91="",H91=""),"",MAX(0,H91-G91))</x:f>
      </x:c>
      <x:c r="J91" s="138"/>
      <x:c r="K91" s="138"/>
      <x:c r="L91" s="70" t="str">
        <x:f>IF(E91="","",IFERROR(INDEX('07_Equipment'!$G:$G,MATCH(E91,'07_Equipment'!$A:$A,0)),"NO RATE"))</x:f>
      </x:c>
      <x:c r="M91" s="70" t="str">
        <x:f>IF(OR(I91="",NOT(ISNUMBER(L91))),"",I91*L91)</x:f>
      </x:c>
      <x:c r="N91" s="15"/>
      <x:c r="O91" s="15" t="str">
        <x:f>IF(COUNTA(B91:H91,J91:K91,N91:N91)=0,"",TEXTJOIN("; ",TRUE,IF(B91="","Missing work date",""),IF(C91="","Missing project",""),IF(E91="","Missing equipment",""),IF(H91&lt;G91,"End meter before start",""),IF(L91="NO RATE","Missing equipment rate","")))</x:f>
      </x:c>
    </x:row>
    <x:row r="92" ht="20" customHeight="1">
      <x:c r="A92" s="15"/>
      <x:c r="B92" s="28"/>
      <x:c r="C92" s="15"/>
      <x:c r="D92" s="15"/>
      <x:c r="E92" s="15"/>
      <x:c r="F92" s="15"/>
      <x:c r="G92" s="138"/>
      <x:c r="H92" s="138"/>
      <x:c r="I92" s="138" t="str">
        <x:f>IF(OR(G92="",H92=""),"",MAX(0,H92-G92))</x:f>
      </x:c>
      <x:c r="J92" s="138"/>
      <x:c r="K92" s="138"/>
      <x:c r="L92" s="70" t="str">
        <x:f>IF(E92="","",IFERROR(INDEX('07_Equipment'!$G:$G,MATCH(E92,'07_Equipment'!$A:$A,0)),"NO RATE"))</x:f>
      </x:c>
      <x:c r="M92" s="70" t="str">
        <x:f>IF(OR(I92="",NOT(ISNUMBER(L92))),"",I92*L92)</x:f>
      </x:c>
      <x:c r="N92" s="15"/>
      <x:c r="O92" s="15" t="str">
        <x:f>IF(COUNTA(B92:H92,J92:K92,N92:N92)=0,"",TEXTJOIN("; ",TRUE,IF(B92="","Missing work date",""),IF(C92="","Missing project",""),IF(E92="","Missing equipment",""),IF(H92&lt;G92,"End meter before start",""),IF(L92="NO RATE","Missing equipment rate","")))</x:f>
      </x:c>
    </x:row>
    <x:row r="93" ht="20" customHeight="1">
      <x:c r="A93" s="15"/>
      <x:c r="B93" s="28"/>
      <x:c r="C93" s="15"/>
      <x:c r="D93" s="15"/>
      <x:c r="E93" s="15"/>
      <x:c r="F93" s="15"/>
      <x:c r="G93" s="138"/>
      <x:c r="H93" s="138"/>
      <x:c r="I93" s="138" t="str">
        <x:f>IF(OR(G93="",H93=""),"",MAX(0,H93-G93))</x:f>
      </x:c>
      <x:c r="J93" s="138"/>
      <x:c r="K93" s="138"/>
      <x:c r="L93" s="70" t="str">
        <x:f>IF(E93="","",IFERROR(INDEX('07_Equipment'!$G:$G,MATCH(E93,'07_Equipment'!$A:$A,0)),"NO RATE"))</x:f>
      </x:c>
      <x:c r="M93" s="70" t="str">
        <x:f>IF(OR(I93="",NOT(ISNUMBER(L93))),"",I93*L93)</x:f>
      </x:c>
      <x:c r="N93" s="15"/>
      <x:c r="O93" s="15" t="str">
        <x:f>IF(COUNTA(B93:H93,J93:K93,N93:N93)=0,"",TEXTJOIN("; ",TRUE,IF(B93="","Missing work date",""),IF(C93="","Missing project",""),IF(E93="","Missing equipment",""),IF(H93&lt;G93,"End meter before start",""),IF(L93="NO RATE","Missing equipment rate","")))</x:f>
      </x:c>
    </x:row>
    <x:row r="94" ht="20" customHeight="1">
      <x:c r="A94" s="15"/>
      <x:c r="B94" s="28"/>
      <x:c r="C94" s="15"/>
      <x:c r="D94" s="15"/>
      <x:c r="E94" s="15"/>
      <x:c r="F94" s="15"/>
      <x:c r="G94" s="138"/>
      <x:c r="H94" s="138"/>
      <x:c r="I94" s="138" t="str">
        <x:f>IF(OR(G94="",H94=""),"",MAX(0,H94-G94))</x:f>
      </x:c>
      <x:c r="J94" s="138"/>
      <x:c r="K94" s="138"/>
      <x:c r="L94" s="70" t="str">
        <x:f>IF(E94="","",IFERROR(INDEX('07_Equipment'!$G:$G,MATCH(E94,'07_Equipment'!$A:$A,0)),"NO RATE"))</x:f>
      </x:c>
      <x:c r="M94" s="70" t="str">
        <x:f>IF(OR(I94="",NOT(ISNUMBER(L94))),"",I94*L94)</x:f>
      </x:c>
      <x:c r="N94" s="15"/>
      <x:c r="O94" s="15" t="str">
        <x:f>IF(COUNTA(B94:H94,J94:K94,N94:N94)=0,"",TEXTJOIN("; ",TRUE,IF(B94="","Missing work date",""),IF(C94="","Missing project",""),IF(E94="","Missing equipment",""),IF(H94&lt;G94,"End meter before start",""),IF(L94="NO RATE","Missing equipment rate","")))</x:f>
      </x:c>
    </x:row>
    <x:row r="95" ht="20" customHeight="1">
      <x:c r="A95" s="15"/>
      <x:c r="B95" s="28"/>
      <x:c r="C95" s="15"/>
      <x:c r="D95" s="15"/>
      <x:c r="E95" s="15"/>
      <x:c r="F95" s="15"/>
      <x:c r="G95" s="138"/>
      <x:c r="H95" s="138"/>
      <x:c r="I95" s="138" t="str">
        <x:f>IF(OR(G95="",H95=""),"",MAX(0,H95-G95))</x:f>
      </x:c>
      <x:c r="J95" s="138"/>
      <x:c r="K95" s="138"/>
      <x:c r="L95" s="70" t="str">
        <x:f>IF(E95="","",IFERROR(INDEX('07_Equipment'!$G:$G,MATCH(E95,'07_Equipment'!$A:$A,0)),"NO RATE"))</x:f>
      </x:c>
      <x:c r="M95" s="70" t="str">
        <x:f>IF(OR(I95="",NOT(ISNUMBER(L95))),"",I95*L95)</x:f>
      </x:c>
      <x:c r="N95" s="15"/>
      <x:c r="O95" s="15" t="str">
        <x:f>IF(COUNTA(B95:H95,J95:K95,N95:N95)=0,"",TEXTJOIN("; ",TRUE,IF(B95="","Missing work date",""),IF(C95="","Missing project",""),IF(E95="","Missing equipment",""),IF(H95&lt;G95,"End meter before start",""),IF(L95="NO RATE","Missing equipment rate","")))</x:f>
      </x:c>
    </x:row>
    <x:row r="96" ht="20" customHeight="1">
      <x:c r="A96" s="15"/>
      <x:c r="B96" s="28"/>
      <x:c r="C96" s="15"/>
      <x:c r="D96" s="15"/>
      <x:c r="E96" s="15"/>
      <x:c r="F96" s="15"/>
      <x:c r="G96" s="138"/>
      <x:c r="H96" s="138"/>
      <x:c r="I96" s="138" t="str">
        <x:f>IF(OR(G96="",H96=""),"",MAX(0,H96-G96))</x:f>
      </x:c>
      <x:c r="J96" s="138"/>
      <x:c r="K96" s="138"/>
      <x:c r="L96" s="70" t="str">
        <x:f>IF(E96="","",IFERROR(INDEX('07_Equipment'!$G:$G,MATCH(E96,'07_Equipment'!$A:$A,0)),"NO RATE"))</x:f>
      </x:c>
      <x:c r="M96" s="70" t="str">
        <x:f>IF(OR(I96="",NOT(ISNUMBER(L96))),"",I96*L96)</x:f>
      </x:c>
      <x:c r="N96" s="15"/>
      <x:c r="O96" s="15" t="str">
        <x:f>IF(COUNTA(B96:H96,J96:K96,N96:N96)=0,"",TEXTJOIN("; ",TRUE,IF(B96="","Missing work date",""),IF(C96="","Missing project",""),IF(E96="","Missing equipment",""),IF(H96&lt;G96,"End meter before start",""),IF(L96="NO RATE","Missing equipment rate","")))</x:f>
      </x:c>
    </x:row>
    <x:row r="97" ht="20" customHeight="1">
      <x:c r="A97" s="15"/>
      <x:c r="B97" s="28"/>
      <x:c r="C97" s="15"/>
      <x:c r="D97" s="15"/>
      <x:c r="E97" s="15"/>
      <x:c r="F97" s="15"/>
      <x:c r="G97" s="138"/>
      <x:c r="H97" s="138"/>
      <x:c r="I97" s="138" t="str">
        <x:f>IF(OR(G97="",H97=""),"",MAX(0,H97-G97))</x:f>
      </x:c>
      <x:c r="J97" s="138"/>
      <x:c r="K97" s="138"/>
      <x:c r="L97" s="70" t="str">
        <x:f>IF(E97="","",IFERROR(INDEX('07_Equipment'!$G:$G,MATCH(E97,'07_Equipment'!$A:$A,0)),"NO RATE"))</x:f>
      </x:c>
      <x:c r="M97" s="70" t="str">
        <x:f>IF(OR(I97="",NOT(ISNUMBER(L97))),"",I97*L97)</x:f>
      </x:c>
      <x:c r="N97" s="15"/>
      <x:c r="O97" s="15" t="str">
        <x:f>IF(COUNTA(B97:H97,J97:K97,N97:N97)=0,"",TEXTJOIN("; ",TRUE,IF(B97="","Missing work date",""),IF(C97="","Missing project",""),IF(E97="","Missing equipment",""),IF(H97&lt;G97,"End meter before start",""),IF(L97="NO RATE","Missing equipment rate","")))</x:f>
      </x:c>
    </x:row>
    <x:row r="98" ht="20" customHeight="1">
      <x:c r="A98" s="15"/>
      <x:c r="B98" s="28"/>
      <x:c r="C98" s="15"/>
      <x:c r="D98" s="15"/>
      <x:c r="E98" s="15"/>
      <x:c r="F98" s="15"/>
      <x:c r="G98" s="138"/>
      <x:c r="H98" s="138"/>
      <x:c r="I98" s="138" t="str">
        <x:f>IF(OR(G98="",H98=""),"",MAX(0,H98-G98))</x:f>
      </x:c>
      <x:c r="J98" s="138"/>
      <x:c r="K98" s="138"/>
      <x:c r="L98" s="70" t="str">
        <x:f>IF(E98="","",IFERROR(INDEX('07_Equipment'!$G:$G,MATCH(E98,'07_Equipment'!$A:$A,0)),"NO RATE"))</x:f>
      </x:c>
      <x:c r="M98" s="70" t="str">
        <x:f>IF(OR(I98="",NOT(ISNUMBER(L98))),"",I98*L98)</x:f>
      </x:c>
      <x:c r="N98" s="15"/>
      <x:c r="O98" s="15" t="str">
        <x:f>IF(COUNTA(B98:H98,J98:K98,N98:N98)=0,"",TEXTJOIN("; ",TRUE,IF(B98="","Missing work date",""),IF(C98="","Missing project",""),IF(E98="","Missing equipment",""),IF(H98&lt;G98,"End meter before start",""),IF(L98="NO RATE","Missing equipment rate","")))</x:f>
      </x:c>
    </x:row>
    <x:row r="99" ht="20" customHeight="1">
      <x:c r="A99" s="15"/>
      <x:c r="B99" s="28"/>
      <x:c r="C99" s="15"/>
      <x:c r="D99" s="15"/>
      <x:c r="E99" s="15"/>
      <x:c r="F99" s="15"/>
      <x:c r="G99" s="138"/>
      <x:c r="H99" s="138"/>
      <x:c r="I99" s="138" t="str">
        <x:f>IF(OR(G99="",H99=""),"",MAX(0,H99-G99))</x:f>
      </x:c>
      <x:c r="J99" s="138"/>
      <x:c r="K99" s="138"/>
      <x:c r="L99" s="70" t="str">
        <x:f>IF(E99="","",IFERROR(INDEX('07_Equipment'!$G:$G,MATCH(E99,'07_Equipment'!$A:$A,0)),"NO RATE"))</x:f>
      </x:c>
      <x:c r="M99" s="70" t="str">
        <x:f>IF(OR(I99="",NOT(ISNUMBER(L99))),"",I99*L99)</x:f>
      </x:c>
      <x:c r="N99" s="15"/>
      <x:c r="O99" s="15" t="str">
        <x:f>IF(COUNTA(B99:H99,J99:K99,N99:N99)=0,"",TEXTJOIN("; ",TRUE,IF(B99="","Missing work date",""),IF(C99="","Missing project",""),IF(E99="","Missing equipment",""),IF(H99&lt;G99,"End meter before start",""),IF(L99="NO RATE","Missing equipment rate","")))</x:f>
      </x:c>
    </x:row>
    <x:row r="100" ht="20" customHeight="1">
      <x:c r="A100" s="15"/>
      <x:c r="B100" s="28"/>
      <x:c r="C100" s="15"/>
      <x:c r="D100" s="15"/>
      <x:c r="E100" s="15"/>
      <x:c r="F100" s="15"/>
      <x:c r="G100" s="138"/>
      <x:c r="H100" s="138"/>
      <x:c r="I100" s="138" t="str">
        <x:f>IF(OR(G100="",H100=""),"",MAX(0,H100-G100))</x:f>
      </x:c>
      <x:c r="J100" s="138"/>
      <x:c r="K100" s="138"/>
      <x:c r="L100" s="70" t="str">
        <x:f>IF(E100="","",IFERROR(INDEX('07_Equipment'!$G:$G,MATCH(E100,'07_Equipment'!$A:$A,0)),"NO RATE"))</x:f>
      </x:c>
      <x:c r="M100" s="70" t="str">
        <x:f>IF(OR(I100="",NOT(ISNUMBER(L100))),"",I100*L100)</x:f>
      </x:c>
      <x:c r="N100" s="15"/>
      <x:c r="O100" s="15" t="str">
        <x:f>IF(COUNTA(B100:H100,J100:K100,N100:N100)=0,"",TEXTJOIN("; ",TRUE,IF(B100="","Missing work date",""),IF(C100="","Missing project",""),IF(E100="","Missing equipment",""),IF(H100&lt;G100,"End meter before start",""),IF(L100="NO RATE","Missing equipment rate","")))</x:f>
      </x:c>
    </x:row>
    <x:row r="101" ht="20" customHeight="1">
      <x:c r="A101" s="15"/>
      <x:c r="B101" s="28"/>
      <x:c r="C101" s="15"/>
      <x:c r="D101" s="15"/>
      <x:c r="E101" s="15"/>
      <x:c r="F101" s="15"/>
      <x:c r="G101" s="138"/>
      <x:c r="H101" s="138"/>
      <x:c r="I101" s="138" t="str">
        <x:f>IF(OR(G101="",H101=""),"",MAX(0,H101-G101))</x:f>
      </x:c>
      <x:c r="J101" s="138"/>
      <x:c r="K101" s="138"/>
      <x:c r="L101" s="70" t="str">
        <x:f>IF(E101="","",IFERROR(INDEX('07_Equipment'!$G:$G,MATCH(E101,'07_Equipment'!$A:$A,0)),"NO RATE"))</x:f>
      </x:c>
      <x:c r="M101" s="70" t="str">
        <x:f>IF(OR(I101="",NOT(ISNUMBER(L101))),"",I101*L101)</x:f>
      </x:c>
      <x:c r="N101" s="15"/>
      <x:c r="O101" s="15" t="str">
        <x:f>IF(COUNTA(B101:H101,J101:K101,N101:N101)=0,"",TEXTJOIN("; ",TRUE,IF(B101="","Missing work date",""),IF(C101="","Missing project",""),IF(E101="","Missing equipment",""),IF(H101&lt;G101,"End meter before start",""),IF(L101="NO RATE","Missing equipment rate","")))</x:f>
      </x:c>
    </x:row>
    <x:row r="102" ht="20" customHeight="1">
      <x:c r="A102" s="15"/>
      <x:c r="B102" s="28"/>
      <x:c r="C102" s="15"/>
      <x:c r="D102" s="15"/>
      <x:c r="E102" s="15"/>
      <x:c r="F102" s="15"/>
      <x:c r="G102" s="138"/>
      <x:c r="H102" s="138"/>
      <x:c r="I102" s="138" t="str">
        <x:f>IF(OR(G102="",H102=""),"",MAX(0,H102-G102))</x:f>
      </x:c>
      <x:c r="J102" s="138"/>
      <x:c r="K102" s="138"/>
      <x:c r="L102" s="70" t="str">
        <x:f>IF(E102="","",IFERROR(INDEX('07_Equipment'!$G:$G,MATCH(E102,'07_Equipment'!$A:$A,0)),"NO RATE"))</x:f>
      </x:c>
      <x:c r="M102" s="70" t="str">
        <x:f>IF(OR(I102="",NOT(ISNUMBER(L102))),"",I102*L102)</x:f>
      </x:c>
      <x:c r="N102" s="15"/>
      <x:c r="O102" s="15" t="str">
        <x:f>IF(COUNTA(B102:H102,J102:K102,N102:N102)=0,"",TEXTJOIN("; ",TRUE,IF(B102="","Missing work date",""),IF(C102="","Missing project",""),IF(E102="","Missing equipment",""),IF(H102&lt;G102,"End meter before start",""),IF(L102="NO RATE","Missing equipment rate","")))</x:f>
      </x:c>
    </x:row>
    <x:row r="103" ht="20" customHeight="1">
      <x:c r="A103" s="15"/>
      <x:c r="B103" s="28"/>
      <x:c r="C103" s="15"/>
      <x:c r="D103" s="15"/>
      <x:c r="E103" s="15"/>
      <x:c r="F103" s="15"/>
      <x:c r="G103" s="138"/>
      <x:c r="H103" s="138"/>
      <x:c r="I103" s="138" t="str">
        <x:f>IF(OR(G103="",H103=""),"",MAX(0,H103-G103))</x:f>
      </x:c>
      <x:c r="J103" s="138"/>
      <x:c r="K103" s="138"/>
      <x:c r="L103" s="70" t="str">
        <x:f>IF(E103="","",IFERROR(INDEX('07_Equipment'!$G:$G,MATCH(E103,'07_Equipment'!$A:$A,0)),"NO RATE"))</x:f>
      </x:c>
      <x:c r="M103" s="70" t="str">
        <x:f>IF(OR(I103="",NOT(ISNUMBER(L103))),"",I103*L103)</x:f>
      </x:c>
      <x:c r="N103" s="15"/>
      <x:c r="O103" s="15" t="str">
        <x:f>IF(COUNTA(B103:H103,J103:K103,N103:N103)=0,"",TEXTJOIN("; ",TRUE,IF(B103="","Missing work date",""),IF(C103="","Missing project",""),IF(E103="","Missing equipment",""),IF(H103&lt;G103,"End meter before start",""),IF(L103="NO RATE","Missing equipment rate","")))</x:f>
      </x:c>
    </x:row>
    <x:row r="104" ht="20" customHeight="1">
      <x:c r="A104" s="15"/>
      <x:c r="B104" s="28"/>
      <x:c r="C104" s="15"/>
      <x:c r="D104" s="15"/>
      <x:c r="E104" s="15"/>
      <x:c r="F104" s="15"/>
      <x:c r="G104" s="138"/>
      <x:c r="H104" s="138"/>
      <x:c r="I104" s="138" t="str">
        <x:f>IF(OR(G104="",H104=""),"",MAX(0,H104-G104))</x:f>
      </x:c>
      <x:c r="J104" s="138"/>
      <x:c r="K104" s="138"/>
      <x:c r="L104" s="70" t="str">
        <x:f>IF(E104="","",IFERROR(INDEX('07_Equipment'!$G:$G,MATCH(E104,'07_Equipment'!$A:$A,0)),"NO RATE"))</x:f>
      </x:c>
      <x:c r="M104" s="70" t="str">
        <x:f>IF(OR(I104="",NOT(ISNUMBER(L104))),"",I104*L104)</x:f>
      </x:c>
      <x:c r="N104" s="15"/>
      <x:c r="O104" s="15" t="str">
        <x:f>IF(COUNTA(B104:H104,J104:K104,N104:N104)=0,"",TEXTJOIN("; ",TRUE,IF(B104="","Missing work date",""),IF(C104="","Missing project",""),IF(E104="","Missing equipment",""),IF(H104&lt;G104,"End meter before start",""),IF(L104="NO RATE","Missing equipment rate","")))</x:f>
      </x:c>
    </x:row>
    <x:row r="105" ht="20" customHeight="1">
      <x:c r="A105" s="15"/>
      <x:c r="B105" s="28"/>
      <x:c r="C105" s="15"/>
      <x:c r="D105" s="15"/>
      <x:c r="E105" s="15"/>
      <x:c r="F105" s="15"/>
      <x:c r="G105" s="138"/>
      <x:c r="H105" s="138"/>
      <x:c r="I105" s="138" t="str">
        <x:f>IF(OR(G105="",H105=""),"",MAX(0,H105-G105))</x:f>
      </x:c>
      <x:c r="J105" s="138"/>
      <x:c r="K105" s="138"/>
      <x:c r="L105" s="70" t="str">
        <x:f>IF(E105="","",IFERROR(INDEX('07_Equipment'!$G:$G,MATCH(E105,'07_Equipment'!$A:$A,0)),"NO RATE"))</x:f>
      </x:c>
      <x:c r="M105" s="70" t="str">
        <x:f>IF(OR(I105="",NOT(ISNUMBER(L105))),"",I105*L105)</x:f>
      </x:c>
      <x:c r="N105" s="15"/>
      <x:c r="O105" s="15" t="str">
        <x:f>IF(COUNTA(B105:H105,J105:K105,N105:N105)=0,"",TEXTJOIN("; ",TRUE,IF(B105="","Missing work date",""),IF(C105="","Missing project",""),IF(E105="","Missing equipment",""),IF(H105&lt;G105,"End meter before start",""),IF(L105="NO RATE","Missing equipment rate","")))</x:f>
      </x:c>
    </x:row>
    <x:row r="106" ht="20" customHeight="1">
      <x:c r="A106" s="15"/>
      <x:c r="B106" s="28"/>
      <x:c r="C106" s="15"/>
      <x:c r="D106" s="15"/>
      <x:c r="E106" s="15"/>
      <x:c r="F106" s="15"/>
      <x:c r="G106" s="138"/>
      <x:c r="H106" s="138"/>
      <x:c r="I106" s="138" t="str">
        <x:f>IF(OR(G106="",H106=""),"",MAX(0,H106-G106))</x:f>
      </x:c>
      <x:c r="J106" s="138"/>
      <x:c r="K106" s="138"/>
      <x:c r="L106" s="70" t="str">
        <x:f>IF(E106="","",IFERROR(INDEX('07_Equipment'!$G:$G,MATCH(E106,'07_Equipment'!$A:$A,0)),"NO RATE"))</x:f>
      </x:c>
      <x:c r="M106" s="70" t="str">
        <x:f>IF(OR(I106="",NOT(ISNUMBER(L106))),"",I106*L106)</x:f>
      </x:c>
      <x:c r="N106" s="15"/>
      <x:c r="O106" s="15" t="str">
        <x:f>IF(COUNTA(B106:H106,J106:K106,N106:N106)=0,"",TEXTJOIN("; ",TRUE,IF(B106="","Missing work date",""),IF(C106="","Missing project",""),IF(E106="","Missing equipment",""),IF(H106&lt;G106,"End meter before start",""),IF(L106="NO RATE","Missing equipment rate","")))</x:f>
      </x:c>
    </x:row>
    <x:row r="107" ht="20" customHeight="1">
      <x:c r="A107" s="15"/>
      <x:c r="B107" s="28"/>
      <x:c r="C107" s="15"/>
      <x:c r="D107" s="15"/>
      <x:c r="E107" s="15"/>
      <x:c r="F107" s="15"/>
      <x:c r="G107" s="138"/>
      <x:c r="H107" s="138"/>
      <x:c r="I107" s="138" t="str">
        <x:f>IF(OR(G107="",H107=""),"",MAX(0,H107-G107))</x:f>
      </x:c>
      <x:c r="J107" s="138"/>
      <x:c r="K107" s="138"/>
      <x:c r="L107" s="70" t="str">
        <x:f>IF(E107="","",IFERROR(INDEX('07_Equipment'!$G:$G,MATCH(E107,'07_Equipment'!$A:$A,0)),"NO RATE"))</x:f>
      </x:c>
      <x:c r="M107" s="70" t="str">
        <x:f>IF(OR(I107="",NOT(ISNUMBER(L107))),"",I107*L107)</x:f>
      </x:c>
      <x:c r="N107" s="15"/>
      <x:c r="O107" s="15" t="str">
        <x:f>IF(COUNTA(B107:H107,J107:K107,N107:N107)=0,"",TEXTJOIN("; ",TRUE,IF(B107="","Missing work date",""),IF(C107="","Missing project",""),IF(E107="","Missing equipment",""),IF(H107&lt;G107,"End meter before start",""),IF(L107="NO RATE","Missing equipment rate","")))</x:f>
      </x:c>
    </x:row>
    <x:row r="108" ht="20" customHeight="1">
      <x:c r="A108" s="15"/>
      <x:c r="B108" s="28"/>
      <x:c r="C108" s="15"/>
      <x:c r="D108" s="15"/>
      <x:c r="E108" s="15"/>
      <x:c r="F108" s="15"/>
      <x:c r="G108" s="138"/>
      <x:c r="H108" s="138"/>
      <x:c r="I108" s="138" t="str">
        <x:f>IF(OR(G108="",H108=""),"",MAX(0,H108-G108))</x:f>
      </x:c>
      <x:c r="J108" s="138"/>
      <x:c r="K108" s="138"/>
      <x:c r="L108" s="70" t="str">
        <x:f>IF(E108="","",IFERROR(INDEX('07_Equipment'!$G:$G,MATCH(E108,'07_Equipment'!$A:$A,0)),"NO RATE"))</x:f>
      </x:c>
      <x:c r="M108" s="70" t="str">
        <x:f>IF(OR(I108="",NOT(ISNUMBER(L108))),"",I108*L108)</x:f>
      </x:c>
      <x:c r="N108" s="15"/>
      <x:c r="O108" s="15" t="str">
        <x:f>IF(COUNTA(B108:H108,J108:K108,N108:N108)=0,"",TEXTJOIN("; ",TRUE,IF(B108="","Missing work date",""),IF(C108="","Missing project",""),IF(E108="","Missing equipment",""),IF(H108&lt;G108,"End meter before start",""),IF(L108="NO RATE","Missing equipment rate","")))</x:f>
      </x:c>
    </x:row>
    <x:row r="109" ht="20" customHeight="1">
      <x:c r="A109" s="15"/>
      <x:c r="B109" s="28"/>
      <x:c r="C109" s="15"/>
      <x:c r="D109" s="15"/>
      <x:c r="E109" s="15"/>
      <x:c r="F109" s="15"/>
      <x:c r="G109" s="138"/>
      <x:c r="H109" s="138"/>
      <x:c r="I109" s="138" t="str">
        <x:f>IF(OR(G109="",H109=""),"",MAX(0,H109-G109))</x:f>
      </x:c>
      <x:c r="J109" s="138"/>
      <x:c r="K109" s="138"/>
      <x:c r="L109" s="70" t="str">
        <x:f>IF(E109="","",IFERROR(INDEX('07_Equipment'!$G:$G,MATCH(E109,'07_Equipment'!$A:$A,0)),"NO RATE"))</x:f>
      </x:c>
      <x:c r="M109" s="70" t="str">
        <x:f>IF(OR(I109="",NOT(ISNUMBER(L109))),"",I109*L109)</x:f>
      </x:c>
      <x:c r="N109" s="15"/>
      <x:c r="O109" s="15" t="str">
        <x:f>IF(COUNTA(B109:H109,J109:K109,N109:N109)=0,"",TEXTJOIN("; ",TRUE,IF(B109="","Missing work date",""),IF(C109="","Missing project",""),IF(E109="","Missing equipment",""),IF(H109&lt;G109,"End meter before start",""),IF(L109="NO RATE","Missing equipment rate","")))</x:f>
      </x:c>
    </x:row>
    <x:row r="110" ht="20" customHeight="1">
      <x:c r="A110" s="15"/>
      <x:c r="B110" s="28"/>
      <x:c r="C110" s="15"/>
      <x:c r="D110" s="15"/>
      <x:c r="E110" s="15"/>
      <x:c r="F110" s="15"/>
      <x:c r="G110" s="138"/>
      <x:c r="H110" s="138"/>
      <x:c r="I110" s="138" t="str">
        <x:f>IF(OR(G110="",H110=""),"",MAX(0,H110-G110))</x:f>
      </x:c>
      <x:c r="J110" s="138"/>
      <x:c r="K110" s="138"/>
      <x:c r="L110" s="70" t="str">
        <x:f>IF(E110="","",IFERROR(INDEX('07_Equipment'!$G:$G,MATCH(E110,'07_Equipment'!$A:$A,0)),"NO RATE"))</x:f>
      </x:c>
      <x:c r="M110" s="70" t="str">
        <x:f>IF(OR(I110="",NOT(ISNUMBER(L110))),"",I110*L110)</x:f>
      </x:c>
      <x:c r="N110" s="15"/>
      <x:c r="O110" s="15" t="str">
        <x:f>IF(COUNTA(B110:H110,J110:K110,N110:N110)=0,"",TEXTJOIN("; ",TRUE,IF(B110="","Missing work date",""),IF(C110="","Missing project",""),IF(E110="","Missing equipment",""),IF(H110&lt;G110,"End meter before start",""),IF(L110="NO RATE","Missing equipment rate","")))</x:f>
      </x:c>
    </x:row>
    <x:row r="111" ht="20" customHeight="1">
      <x:c r="A111" s="15"/>
      <x:c r="B111" s="28"/>
      <x:c r="C111" s="15"/>
      <x:c r="D111" s="15"/>
      <x:c r="E111" s="15"/>
      <x:c r="F111" s="15"/>
      <x:c r="G111" s="138"/>
      <x:c r="H111" s="138"/>
      <x:c r="I111" s="138" t="str">
        <x:f>IF(OR(G111="",H111=""),"",MAX(0,H111-G111))</x:f>
      </x:c>
      <x:c r="J111" s="138"/>
      <x:c r="K111" s="138"/>
      <x:c r="L111" s="70" t="str">
        <x:f>IF(E111="","",IFERROR(INDEX('07_Equipment'!$G:$G,MATCH(E111,'07_Equipment'!$A:$A,0)),"NO RATE"))</x:f>
      </x:c>
      <x:c r="M111" s="70" t="str">
        <x:f>IF(OR(I111="",NOT(ISNUMBER(L111))),"",I111*L111)</x:f>
      </x:c>
      <x:c r="N111" s="15"/>
      <x:c r="O111" s="15" t="str">
        <x:f>IF(COUNTA(B111:H111,J111:K111,N111:N111)=0,"",TEXTJOIN("; ",TRUE,IF(B111="","Missing work date",""),IF(C111="","Missing project",""),IF(E111="","Missing equipment",""),IF(H111&lt;G111,"End meter before start",""),IF(L111="NO RATE","Missing equipment rate","")))</x:f>
      </x:c>
    </x:row>
    <x:row r="112" ht="20" customHeight="1">
      <x:c r="A112" s="15"/>
      <x:c r="B112" s="28"/>
      <x:c r="C112" s="15"/>
      <x:c r="D112" s="15"/>
      <x:c r="E112" s="15"/>
      <x:c r="F112" s="15"/>
      <x:c r="G112" s="138"/>
      <x:c r="H112" s="138"/>
      <x:c r="I112" s="138" t="str">
        <x:f>IF(OR(G112="",H112=""),"",MAX(0,H112-G112))</x:f>
      </x:c>
      <x:c r="J112" s="138"/>
      <x:c r="K112" s="138"/>
      <x:c r="L112" s="70" t="str">
        <x:f>IF(E112="","",IFERROR(INDEX('07_Equipment'!$G:$G,MATCH(E112,'07_Equipment'!$A:$A,0)),"NO RATE"))</x:f>
      </x:c>
      <x:c r="M112" s="70" t="str">
        <x:f>IF(OR(I112="",NOT(ISNUMBER(L112))),"",I112*L112)</x:f>
      </x:c>
      <x:c r="N112" s="15"/>
      <x:c r="O112" s="15" t="str">
        <x:f>IF(COUNTA(B112:H112,J112:K112,N112:N112)=0,"",TEXTJOIN("; ",TRUE,IF(B112="","Missing work date",""),IF(C112="","Missing project",""),IF(E112="","Missing equipment",""),IF(H112&lt;G112,"End meter before start",""),IF(L112="NO RATE","Missing equipment rate","")))</x:f>
      </x:c>
    </x:row>
    <x:row r="113" ht="20" customHeight="1">
      <x:c r="A113" s="15"/>
      <x:c r="B113" s="28"/>
      <x:c r="C113" s="15"/>
      <x:c r="D113" s="15"/>
      <x:c r="E113" s="15"/>
      <x:c r="F113" s="15"/>
      <x:c r="G113" s="138"/>
      <x:c r="H113" s="138"/>
      <x:c r="I113" s="138" t="str">
        <x:f>IF(OR(G113="",H113=""),"",MAX(0,H113-G113))</x:f>
      </x:c>
      <x:c r="J113" s="138"/>
      <x:c r="K113" s="138"/>
      <x:c r="L113" s="70" t="str">
        <x:f>IF(E113="","",IFERROR(INDEX('07_Equipment'!$G:$G,MATCH(E113,'07_Equipment'!$A:$A,0)),"NO RATE"))</x:f>
      </x:c>
      <x:c r="M113" s="70" t="str">
        <x:f>IF(OR(I113="",NOT(ISNUMBER(L113))),"",I113*L113)</x:f>
      </x:c>
      <x:c r="N113" s="15"/>
      <x:c r="O113" s="15" t="str">
        <x:f>IF(COUNTA(B113:H113,J113:K113,N113:N113)=0,"",TEXTJOIN("; ",TRUE,IF(B113="","Missing work date",""),IF(C113="","Missing project",""),IF(E113="","Missing equipment",""),IF(H113&lt;G113,"End meter before start",""),IF(L113="NO RATE","Missing equipment rate","")))</x:f>
      </x:c>
    </x:row>
    <x:row r="114" ht="20" customHeight="1">
      <x:c r="A114" s="15"/>
      <x:c r="B114" s="28"/>
      <x:c r="C114" s="15"/>
      <x:c r="D114" s="15"/>
      <x:c r="E114" s="15"/>
      <x:c r="F114" s="15"/>
      <x:c r="G114" s="138"/>
      <x:c r="H114" s="138"/>
      <x:c r="I114" s="138" t="str">
        <x:f>IF(OR(G114="",H114=""),"",MAX(0,H114-G114))</x:f>
      </x:c>
      <x:c r="J114" s="138"/>
      <x:c r="K114" s="138"/>
      <x:c r="L114" s="70" t="str">
        <x:f>IF(E114="","",IFERROR(INDEX('07_Equipment'!$G:$G,MATCH(E114,'07_Equipment'!$A:$A,0)),"NO RATE"))</x:f>
      </x:c>
      <x:c r="M114" s="70" t="str">
        <x:f>IF(OR(I114="",NOT(ISNUMBER(L114))),"",I114*L114)</x:f>
      </x:c>
      <x:c r="N114" s="15"/>
      <x:c r="O114" s="15" t="str">
        <x:f>IF(COUNTA(B114:H114,J114:K114,N114:N114)=0,"",TEXTJOIN("; ",TRUE,IF(B114="","Missing work date",""),IF(C114="","Missing project",""),IF(E114="","Missing equipment",""),IF(H114&lt;G114,"End meter before start",""),IF(L114="NO RATE","Missing equipment rate","")))</x:f>
      </x:c>
    </x:row>
    <x:row r="115" ht="20" customHeight="1">
      <x:c r="A115" s="15"/>
      <x:c r="B115" s="28"/>
      <x:c r="C115" s="15"/>
      <x:c r="D115" s="15"/>
      <x:c r="E115" s="15"/>
      <x:c r="F115" s="15"/>
      <x:c r="G115" s="138"/>
      <x:c r="H115" s="138"/>
      <x:c r="I115" s="138" t="str">
        <x:f>IF(OR(G115="",H115=""),"",MAX(0,H115-G115))</x:f>
      </x:c>
      <x:c r="J115" s="138"/>
      <x:c r="K115" s="138"/>
      <x:c r="L115" s="70" t="str">
        <x:f>IF(E115="","",IFERROR(INDEX('07_Equipment'!$G:$G,MATCH(E115,'07_Equipment'!$A:$A,0)),"NO RATE"))</x:f>
      </x:c>
      <x:c r="M115" s="70" t="str">
        <x:f>IF(OR(I115="",NOT(ISNUMBER(L115))),"",I115*L115)</x:f>
      </x:c>
      <x:c r="N115" s="15"/>
      <x:c r="O115" s="15" t="str">
        <x:f>IF(COUNTA(B115:H115,J115:K115,N115:N115)=0,"",TEXTJOIN("; ",TRUE,IF(B115="","Missing work date",""),IF(C115="","Missing project",""),IF(E115="","Missing equipment",""),IF(H115&lt;G115,"End meter before start",""),IF(L115="NO RATE","Missing equipment rate","")))</x:f>
      </x:c>
    </x:row>
    <x:row r="116" ht="20" customHeight="1">
      <x:c r="A116" s="15"/>
      <x:c r="B116" s="28"/>
      <x:c r="C116" s="15"/>
      <x:c r="D116" s="15"/>
      <x:c r="E116" s="15"/>
      <x:c r="F116" s="15"/>
      <x:c r="G116" s="138"/>
      <x:c r="H116" s="138"/>
      <x:c r="I116" s="138" t="str">
        <x:f>IF(OR(G116="",H116=""),"",MAX(0,H116-G116))</x:f>
      </x:c>
      <x:c r="J116" s="138"/>
      <x:c r="K116" s="138"/>
      <x:c r="L116" s="70" t="str">
        <x:f>IF(E116="","",IFERROR(INDEX('07_Equipment'!$G:$G,MATCH(E116,'07_Equipment'!$A:$A,0)),"NO RATE"))</x:f>
      </x:c>
      <x:c r="M116" s="70" t="str">
        <x:f>IF(OR(I116="",NOT(ISNUMBER(L116))),"",I116*L116)</x:f>
      </x:c>
      <x:c r="N116" s="15"/>
      <x:c r="O116" s="15" t="str">
        <x:f>IF(COUNTA(B116:H116,J116:K116,N116:N116)=0,"",TEXTJOIN("; ",TRUE,IF(B116="","Missing work date",""),IF(C116="","Missing project",""),IF(E116="","Missing equipment",""),IF(H116&lt;G116,"End meter before start",""),IF(L116="NO RATE","Missing equipment rate","")))</x:f>
      </x:c>
    </x:row>
    <x:row r="117" ht="20" customHeight="1">
      <x:c r="A117" s="15"/>
      <x:c r="B117" s="28"/>
      <x:c r="C117" s="15"/>
      <x:c r="D117" s="15"/>
      <x:c r="E117" s="15"/>
      <x:c r="F117" s="15"/>
      <x:c r="G117" s="138"/>
      <x:c r="H117" s="138"/>
      <x:c r="I117" s="138" t="str">
        <x:f>IF(OR(G117="",H117=""),"",MAX(0,H117-G117))</x:f>
      </x:c>
      <x:c r="J117" s="138"/>
      <x:c r="K117" s="138"/>
      <x:c r="L117" s="70" t="str">
        <x:f>IF(E117="","",IFERROR(INDEX('07_Equipment'!$G:$G,MATCH(E117,'07_Equipment'!$A:$A,0)),"NO RATE"))</x:f>
      </x:c>
      <x:c r="M117" s="70" t="str">
        <x:f>IF(OR(I117="",NOT(ISNUMBER(L117))),"",I117*L117)</x:f>
      </x:c>
      <x:c r="N117" s="15"/>
      <x:c r="O117" s="15" t="str">
        <x:f>IF(COUNTA(B117:H117,J117:K117,N117:N117)=0,"",TEXTJOIN("; ",TRUE,IF(B117="","Missing work date",""),IF(C117="","Missing project",""),IF(E117="","Missing equipment",""),IF(H117&lt;G117,"End meter before start",""),IF(L117="NO RATE","Missing equipment rate","")))</x:f>
      </x:c>
    </x:row>
    <x:row r="118" ht="20" customHeight="1">
      <x:c r="A118" s="15"/>
      <x:c r="B118" s="28"/>
      <x:c r="C118" s="15"/>
      <x:c r="D118" s="15"/>
      <x:c r="E118" s="15"/>
      <x:c r="F118" s="15"/>
      <x:c r="G118" s="138"/>
      <x:c r="H118" s="138"/>
      <x:c r="I118" s="138" t="str">
        <x:f>IF(OR(G118="",H118=""),"",MAX(0,H118-G118))</x:f>
      </x:c>
      <x:c r="J118" s="138"/>
      <x:c r="K118" s="138"/>
      <x:c r="L118" s="70" t="str">
        <x:f>IF(E118="","",IFERROR(INDEX('07_Equipment'!$G:$G,MATCH(E118,'07_Equipment'!$A:$A,0)),"NO RATE"))</x:f>
      </x:c>
      <x:c r="M118" s="70" t="str">
        <x:f>IF(OR(I118="",NOT(ISNUMBER(L118))),"",I118*L118)</x:f>
      </x:c>
      <x:c r="N118" s="15"/>
      <x:c r="O118" s="15" t="str">
        <x:f>IF(COUNTA(B118:H118,J118:K118,N118:N118)=0,"",TEXTJOIN("; ",TRUE,IF(B118="","Missing work date",""),IF(C118="","Missing project",""),IF(E118="","Missing equipment",""),IF(H118&lt;G118,"End meter before start",""),IF(L118="NO RATE","Missing equipment rate","")))</x:f>
      </x:c>
    </x:row>
    <x:row r="119" ht="20" customHeight="1">
      <x:c r="A119" s="15"/>
      <x:c r="B119" s="28"/>
      <x:c r="C119" s="15"/>
      <x:c r="D119" s="15"/>
      <x:c r="E119" s="15"/>
      <x:c r="F119" s="15"/>
      <x:c r="G119" s="138"/>
      <x:c r="H119" s="138"/>
      <x:c r="I119" s="138" t="str">
        <x:f>IF(OR(G119="",H119=""),"",MAX(0,H119-G119))</x:f>
      </x:c>
      <x:c r="J119" s="138"/>
      <x:c r="K119" s="138"/>
      <x:c r="L119" s="70" t="str">
        <x:f>IF(E119="","",IFERROR(INDEX('07_Equipment'!$G:$G,MATCH(E119,'07_Equipment'!$A:$A,0)),"NO RATE"))</x:f>
      </x:c>
      <x:c r="M119" s="70" t="str">
        <x:f>IF(OR(I119="",NOT(ISNUMBER(L119))),"",I119*L119)</x:f>
      </x:c>
      <x:c r="N119" s="15"/>
      <x:c r="O119" s="15" t="str">
        <x:f>IF(COUNTA(B119:H119,J119:K119,N119:N119)=0,"",TEXTJOIN("; ",TRUE,IF(B119="","Missing work date",""),IF(C119="","Missing project",""),IF(E119="","Missing equipment",""),IF(H119&lt;G119,"End meter before start",""),IF(L119="NO RATE","Missing equipment rate","")))</x:f>
      </x:c>
    </x:row>
    <x:row r="120" ht="20" customHeight="1">
      <x:c r="A120" s="15"/>
      <x:c r="B120" s="28"/>
      <x:c r="C120" s="15"/>
      <x:c r="D120" s="15"/>
      <x:c r="E120" s="15"/>
      <x:c r="F120" s="15"/>
      <x:c r="G120" s="138"/>
      <x:c r="H120" s="138"/>
      <x:c r="I120" s="138" t="str">
        <x:f>IF(OR(G120="",H120=""),"",MAX(0,H120-G120))</x:f>
      </x:c>
      <x:c r="J120" s="138"/>
      <x:c r="K120" s="138"/>
      <x:c r="L120" s="70" t="str">
        <x:f>IF(E120="","",IFERROR(INDEX('07_Equipment'!$G:$G,MATCH(E120,'07_Equipment'!$A:$A,0)),"NO RATE"))</x:f>
      </x:c>
      <x:c r="M120" s="70" t="str">
        <x:f>IF(OR(I120="",NOT(ISNUMBER(L120))),"",I120*L120)</x:f>
      </x:c>
      <x:c r="N120" s="15"/>
      <x:c r="O120" s="15" t="str">
        <x:f>IF(COUNTA(B120:H120,J120:K120,N120:N120)=0,"",TEXTJOIN("; ",TRUE,IF(B120="","Missing work date",""),IF(C120="","Missing project",""),IF(E120="","Missing equipment",""),IF(H120&lt;G120,"End meter before start",""),IF(L120="NO RATE","Missing equipment rate","")))</x:f>
      </x:c>
    </x:row>
    <x:row r="121" ht="20" customHeight="1">
      <x:c r="A121" s="15"/>
      <x:c r="B121" s="28"/>
      <x:c r="C121" s="15"/>
      <x:c r="D121" s="15"/>
      <x:c r="E121" s="15"/>
      <x:c r="F121" s="15"/>
      <x:c r="G121" s="138"/>
      <x:c r="H121" s="138"/>
      <x:c r="I121" s="138" t="str">
        <x:f>IF(OR(G121="",H121=""),"",MAX(0,H121-G121))</x:f>
      </x:c>
      <x:c r="J121" s="138"/>
      <x:c r="K121" s="138"/>
      <x:c r="L121" s="70" t="str">
        <x:f>IF(E121="","",IFERROR(INDEX('07_Equipment'!$G:$G,MATCH(E121,'07_Equipment'!$A:$A,0)),"NO RATE"))</x:f>
      </x:c>
      <x:c r="M121" s="70" t="str">
        <x:f>IF(OR(I121="",NOT(ISNUMBER(L121))),"",I121*L121)</x:f>
      </x:c>
      <x:c r="N121" s="15"/>
      <x:c r="O121" s="15" t="str">
        <x:f>IF(COUNTA(B121:H121,J121:K121,N121:N121)=0,"",TEXTJOIN("; ",TRUE,IF(B121="","Missing work date",""),IF(C121="","Missing project",""),IF(E121="","Missing equipment",""),IF(H121&lt;G121,"End meter before start",""),IF(L121="NO RATE","Missing equipment rate","")))</x:f>
      </x:c>
    </x:row>
    <x:row r="122" ht="20" customHeight="1">
      <x:c r="A122" s="15"/>
      <x:c r="B122" s="28"/>
      <x:c r="C122" s="15"/>
      <x:c r="D122" s="15"/>
      <x:c r="E122" s="15"/>
      <x:c r="F122" s="15"/>
      <x:c r="G122" s="138"/>
      <x:c r="H122" s="138"/>
      <x:c r="I122" s="138" t="str">
        <x:f>IF(OR(G122="",H122=""),"",MAX(0,H122-G122))</x:f>
      </x:c>
      <x:c r="J122" s="138"/>
      <x:c r="K122" s="138"/>
      <x:c r="L122" s="70" t="str">
        <x:f>IF(E122="","",IFERROR(INDEX('07_Equipment'!$G:$G,MATCH(E122,'07_Equipment'!$A:$A,0)),"NO RATE"))</x:f>
      </x:c>
      <x:c r="M122" s="70" t="str">
        <x:f>IF(OR(I122="",NOT(ISNUMBER(L122))),"",I122*L122)</x:f>
      </x:c>
      <x:c r="N122" s="15"/>
      <x:c r="O122" s="15" t="str">
        <x:f>IF(COUNTA(B122:H122,J122:K122,N122:N122)=0,"",TEXTJOIN("; ",TRUE,IF(B122="","Missing work date",""),IF(C122="","Missing project",""),IF(E122="","Missing equipment",""),IF(H122&lt;G122,"End meter before start",""),IF(L122="NO RATE","Missing equipment rate","")))</x:f>
      </x:c>
    </x:row>
    <x:row r="123" ht="20" customHeight="1">
      <x:c r="A123" s="15"/>
      <x:c r="B123" s="28"/>
      <x:c r="C123" s="15"/>
      <x:c r="D123" s="15"/>
      <x:c r="E123" s="15"/>
      <x:c r="F123" s="15"/>
      <x:c r="G123" s="138"/>
      <x:c r="H123" s="138"/>
      <x:c r="I123" s="138" t="str">
        <x:f>IF(OR(G123="",H123=""),"",MAX(0,H123-G123))</x:f>
      </x:c>
      <x:c r="J123" s="138"/>
      <x:c r="K123" s="138"/>
      <x:c r="L123" s="70" t="str">
        <x:f>IF(E123="","",IFERROR(INDEX('07_Equipment'!$G:$G,MATCH(E123,'07_Equipment'!$A:$A,0)),"NO RATE"))</x:f>
      </x:c>
      <x:c r="M123" s="70" t="str">
        <x:f>IF(OR(I123="",NOT(ISNUMBER(L123))),"",I123*L123)</x:f>
      </x:c>
      <x:c r="N123" s="15"/>
      <x:c r="O123" s="15" t="str">
        <x:f>IF(COUNTA(B123:H123,J123:K123,N123:N123)=0,"",TEXTJOIN("; ",TRUE,IF(B123="","Missing work date",""),IF(C123="","Missing project",""),IF(E123="","Missing equipment",""),IF(H123&lt;G123,"End meter before start",""),IF(L123="NO RATE","Missing equipment rate","")))</x:f>
      </x:c>
    </x:row>
    <x:row r="124" ht="20" customHeight="1">
      <x:c r="A124" s="15"/>
      <x:c r="B124" s="28"/>
      <x:c r="C124" s="15"/>
      <x:c r="D124" s="15"/>
      <x:c r="E124" s="15"/>
      <x:c r="F124" s="15"/>
      <x:c r="G124" s="138"/>
      <x:c r="H124" s="138"/>
      <x:c r="I124" s="138" t="str">
        <x:f>IF(OR(G124="",H124=""),"",MAX(0,H124-G124))</x:f>
      </x:c>
      <x:c r="J124" s="138"/>
      <x:c r="K124" s="138"/>
      <x:c r="L124" s="70" t="str">
        <x:f>IF(E124="","",IFERROR(INDEX('07_Equipment'!$G:$G,MATCH(E124,'07_Equipment'!$A:$A,0)),"NO RATE"))</x:f>
      </x:c>
      <x:c r="M124" s="70" t="str">
        <x:f>IF(OR(I124="",NOT(ISNUMBER(L124))),"",I124*L124)</x:f>
      </x:c>
      <x:c r="N124" s="15"/>
      <x:c r="O124" s="15" t="str">
        <x:f>IF(COUNTA(B124:H124,J124:K124,N124:N124)=0,"",TEXTJOIN("; ",TRUE,IF(B124="","Missing work date",""),IF(C124="","Missing project",""),IF(E124="","Missing equipment",""),IF(H124&lt;G124,"End meter before start",""),IF(L124="NO RATE","Missing equipment rate","")))</x:f>
      </x:c>
    </x:row>
    <x:row r="125" ht="20" customHeight="1">
      <x:c r="A125" s="15"/>
      <x:c r="B125" s="28"/>
      <x:c r="C125" s="15"/>
      <x:c r="D125" s="15"/>
      <x:c r="E125" s="15"/>
      <x:c r="F125" s="15"/>
      <x:c r="G125" s="138"/>
      <x:c r="H125" s="138"/>
      <x:c r="I125" s="138" t="str">
        <x:f>IF(OR(G125="",H125=""),"",MAX(0,H125-G125))</x:f>
      </x:c>
      <x:c r="J125" s="138"/>
      <x:c r="K125" s="138"/>
      <x:c r="L125" s="70" t="str">
        <x:f>IF(E125="","",IFERROR(INDEX('07_Equipment'!$G:$G,MATCH(E125,'07_Equipment'!$A:$A,0)),"NO RATE"))</x:f>
      </x:c>
      <x:c r="M125" s="70" t="str">
        <x:f>IF(OR(I125="",NOT(ISNUMBER(L125))),"",I125*L125)</x:f>
      </x:c>
      <x:c r="N125" s="15"/>
      <x:c r="O125" s="15" t="str">
        <x:f>IF(COUNTA(B125:H125,J125:K125,N125:N125)=0,"",TEXTJOIN("; ",TRUE,IF(B125="","Missing work date",""),IF(C125="","Missing project",""),IF(E125="","Missing equipment",""),IF(H125&lt;G125,"End meter before start",""),IF(L125="NO RATE","Missing equipment rate","")))</x:f>
      </x:c>
    </x:row>
    <x:row r="126" ht="20" customHeight="1">
      <x:c r="A126" s="15"/>
      <x:c r="B126" s="28"/>
      <x:c r="C126" s="15"/>
      <x:c r="D126" s="15"/>
      <x:c r="E126" s="15"/>
      <x:c r="F126" s="15"/>
      <x:c r="G126" s="138"/>
      <x:c r="H126" s="138"/>
      <x:c r="I126" s="138" t="str">
        <x:f>IF(OR(G126="",H126=""),"",MAX(0,H126-G126))</x:f>
      </x:c>
      <x:c r="J126" s="138"/>
      <x:c r="K126" s="138"/>
      <x:c r="L126" s="70" t="str">
        <x:f>IF(E126="","",IFERROR(INDEX('07_Equipment'!$G:$G,MATCH(E126,'07_Equipment'!$A:$A,0)),"NO RATE"))</x:f>
      </x:c>
      <x:c r="M126" s="70" t="str">
        <x:f>IF(OR(I126="",NOT(ISNUMBER(L126))),"",I126*L126)</x:f>
      </x:c>
      <x:c r="N126" s="15"/>
      <x:c r="O126" s="15" t="str">
        <x:f>IF(COUNTA(B126:H126,J126:K126,N126:N126)=0,"",TEXTJOIN("; ",TRUE,IF(B126="","Missing work date",""),IF(C126="","Missing project",""),IF(E126="","Missing equipment",""),IF(H126&lt;G126,"End meter before start",""),IF(L126="NO RATE","Missing equipment rate","")))</x:f>
      </x:c>
    </x:row>
    <x:row r="127" ht="20" customHeight="1">
      <x:c r="A127" s="15"/>
      <x:c r="B127" s="28"/>
      <x:c r="C127" s="15"/>
      <x:c r="D127" s="15"/>
      <x:c r="E127" s="15"/>
      <x:c r="F127" s="15"/>
      <x:c r="G127" s="138"/>
      <x:c r="H127" s="138"/>
      <x:c r="I127" s="138" t="str">
        <x:f>IF(OR(G127="",H127=""),"",MAX(0,H127-G127))</x:f>
      </x:c>
      <x:c r="J127" s="138"/>
      <x:c r="K127" s="138"/>
      <x:c r="L127" s="70" t="str">
        <x:f>IF(E127="","",IFERROR(INDEX('07_Equipment'!$G:$G,MATCH(E127,'07_Equipment'!$A:$A,0)),"NO RATE"))</x:f>
      </x:c>
      <x:c r="M127" s="70" t="str">
        <x:f>IF(OR(I127="",NOT(ISNUMBER(L127))),"",I127*L127)</x:f>
      </x:c>
      <x:c r="N127" s="15"/>
      <x:c r="O127" s="15" t="str">
        <x:f>IF(COUNTA(B127:H127,J127:K127,N127:N127)=0,"",TEXTJOIN("; ",TRUE,IF(B127="","Missing work date",""),IF(C127="","Missing project",""),IF(E127="","Missing equipment",""),IF(H127&lt;G127,"End meter before start",""),IF(L127="NO RATE","Missing equipment rate","")))</x:f>
      </x:c>
    </x:row>
    <x:row r="128" ht="20" customHeight="1">
      <x:c r="A128" s="15"/>
      <x:c r="B128" s="28"/>
      <x:c r="C128" s="15"/>
      <x:c r="D128" s="15"/>
      <x:c r="E128" s="15"/>
      <x:c r="F128" s="15"/>
      <x:c r="G128" s="138"/>
      <x:c r="H128" s="138"/>
      <x:c r="I128" s="138" t="str">
        <x:f>IF(OR(G128="",H128=""),"",MAX(0,H128-G128))</x:f>
      </x:c>
      <x:c r="J128" s="138"/>
      <x:c r="K128" s="138"/>
      <x:c r="L128" s="70" t="str">
        <x:f>IF(E128="","",IFERROR(INDEX('07_Equipment'!$G:$G,MATCH(E128,'07_Equipment'!$A:$A,0)),"NO RATE"))</x:f>
      </x:c>
      <x:c r="M128" s="70" t="str">
        <x:f>IF(OR(I128="",NOT(ISNUMBER(L128))),"",I128*L128)</x:f>
      </x:c>
      <x:c r="N128" s="15"/>
      <x:c r="O128" s="15" t="str">
        <x:f>IF(COUNTA(B128:H128,J128:K128,N128:N128)=0,"",TEXTJOIN("; ",TRUE,IF(B128="","Missing work date",""),IF(C128="","Missing project",""),IF(E128="","Missing equipment",""),IF(H128&lt;G128,"End meter before start",""),IF(L128="NO RATE","Missing equipment rate","")))</x:f>
      </x:c>
    </x:row>
    <x:row r="129" ht="20" customHeight="1">
      <x:c r="A129" s="15"/>
      <x:c r="B129" s="28"/>
      <x:c r="C129" s="15"/>
      <x:c r="D129" s="15"/>
      <x:c r="E129" s="15"/>
      <x:c r="F129" s="15"/>
      <x:c r="G129" s="138"/>
      <x:c r="H129" s="138"/>
      <x:c r="I129" s="138" t="str">
        <x:f>IF(OR(G129="",H129=""),"",MAX(0,H129-G129))</x:f>
      </x:c>
      <x:c r="J129" s="138"/>
      <x:c r="K129" s="138"/>
      <x:c r="L129" s="70" t="str">
        <x:f>IF(E129="","",IFERROR(INDEX('07_Equipment'!$G:$G,MATCH(E129,'07_Equipment'!$A:$A,0)),"NO RATE"))</x:f>
      </x:c>
      <x:c r="M129" s="70" t="str">
        <x:f>IF(OR(I129="",NOT(ISNUMBER(L129))),"",I129*L129)</x:f>
      </x:c>
      <x:c r="N129" s="15"/>
      <x:c r="O129" s="15" t="str">
        <x:f>IF(COUNTA(B129:H129,J129:K129,N129:N129)=0,"",TEXTJOIN("; ",TRUE,IF(B129="","Missing work date",""),IF(C129="","Missing project",""),IF(E129="","Missing equipment",""),IF(H129&lt;G129,"End meter before start",""),IF(L129="NO RATE","Missing equipment rate","")))</x:f>
      </x:c>
    </x:row>
    <x:row r="130" ht="20" customHeight="1">
      <x:c r="A130" s="15"/>
      <x:c r="B130" s="28"/>
      <x:c r="C130" s="15"/>
      <x:c r="D130" s="15"/>
      <x:c r="E130" s="15"/>
      <x:c r="F130" s="15"/>
      <x:c r="G130" s="138"/>
      <x:c r="H130" s="138"/>
      <x:c r="I130" s="138" t="str">
        <x:f>IF(OR(G130="",H130=""),"",MAX(0,H130-G130))</x:f>
      </x:c>
      <x:c r="J130" s="138"/>
      <x:c r="K130" s="138"/>
      <x:c r="L130" s="70" t="str">
        <x:f>IF(E130="","",IFERROR(INDEX('07_Equipment'!$G:$G,MATCH(E130,'07_Equipment'!$A:$A,0)),"NO RATE"))</x:f>
      </x:c>
      <x:c r="M130" s="70" t="str">
        <x:f>IF(OR(I130="",NOT(ISNUMBER(L130))),"",I130*L130)</x:f>
      </x:c>
      <x:c r="N130" s="15"/>
      <x:c r="O130" s="15" t="str">
        <x:f>IF(COUNTA(B130:H130,J130:K130,N130:N130)=0,"",TEXTJOIN("; ",TRUE,IF(B130="","Missing work date",""),IF(C130="","Missing project",""),IF(E130="","Missing equipment",""),IF(H130&lt;G130,"End meter before start",""),IF(L130="NO RATE","Missing equipment rate","")))</x:f>
      </x:c>
    </x:row>
    <x:row r="131" ht="20" customHeight="1">
      <x:c r="A131" s="15"/>
      <x:c r="B131" s="28"/>
      <x:c r="C131" s="15"/>
      <x:c r="D131" s="15"/>
      <x:c r="E131" s="15"/>
      <x:c r="F131" s="15"/>
      <x:c r="G131" s="138"/>
      <x:c r="H131" s="138"/>
      <x:c r="I131" s="138" t="str">
        <x:f>IF(OR(G131="",H131=""),"",MAX(0,H131-G131))</x:f>
      </x:c>
      <x:c r="J131" s="138"/>
      <x:c r="K131" s="138"/>
      <x:c r="L131" s="70" t="str">
        <x:f>IF(E131="","",IFERROR(INDEX('07_Equipment'!$G:$G,MATCH(E131,'07_Equipment'!$A:$A,0)),"NO RATE"))</x:f>
      </x:c>
      <x:c r="M131" s="70" t="str">
        <x:f>IF(OR(I131="",NOT(ISNUMBER(L131))),"",I131*L131)</x:f>
      </x:c>
      <x:c r="N131" s="15"/>
      <x:c r="O131" s="15" t="str">
        <x:f>IF(COUNTA(B131:H131,J131:K131,N131:N131)=0,"",TEXTJOIN("; ",TRUE,IF(B131="","Missing work date",""),IF(C131="","Missing project",""),IF(E131="","Missing equipment",""),IF(H131&lt;G131,"End meter before start",""),IF(L131="NO RATE","Missing equipment rate","")))</x:f>
      </x:c>
    </x:row>
    <x:row r="132" ht="20" customHeight="1">
      <x:c r="A132" s="15"/>
      <x:c r="B132" s="28"/>
      <x:c r="C132" s="15"/>
      <x:c r="D132" s="15"/>
      <x:c r="E132" s="15"/>
      <x:c r="F132" s="15"/>
      <x:c r="G132" s="138"/>
      <x:c r="H132" s="138"/>
      <x:c r="I132" s="138" t="str">
        <x:f>IF(OR(G132="",H132=""),"",MAX(0,H132-G132))</x:f>
      </x:c>
      <x:c r="J132" s="138"/>
      <x:c r="K132" s="138"/>
      <x:c r="L132" s="70" t="str">
        <x:f>IF(E132="","",IFERROR(INDEX('07_Equipment'!$G:$G,MATCH(E132,'07_Equipment'!$A:$A,0)),"NO RATE"))</x:f>
      </x:c>
      <x:c r="M132" s="70" t="str">
        <x:f>IF(OR(I132="",NOT(ISNUMBER(L132))),"",I132*L132)</x:f>
      </x:c>
      <x:c r="N132" s="15"/>
      <x:c r="O132" s="15" t="str">
        <x:f>IF(COUNTA(B132:H132,J132:K132,N132:N132)=0,"",TEXTJOIN("; ",TRUE,IF(B132="","Missing work date",""),IF(C132="","Missing project",""),IF(E132="","Missing equipment",""),IF(H132&lt;G132,"End meter before start",""),IF(L132="NO RATE","Missing equipment rate","")))</x:f>
      </x:c>
    </x:row>
    <x:row r="133" ht="20" customHeight="1">
      <x:c r="A133" s="15"/>
      <x:c r="B133" s="28"/>
      <x:c r="C133" s="15"/>
      <x:c r="D133" s="15"/>
      <x:c r="E133" s="15"/>
      <x:c r="F133" s="15"/>
      <x:c r="G133" s="138"/>
      <x:c r="H133" s="138"/>
      <x:c r="I133" s="138" t="str">
        <x:f>IF(OR(G133="",H133=""),"",MAX(0,H133-G133))</x:f>
      </x:c>
      <x:c r="J133" s="138"/>
      <x:c r="K133" s="138"/>
      <x:c r="L133" s="70" t="str">
        <x:f>IF(E133="","",IFERROR(INDEX('07_Equipment'!$G:$G,MATCH(E133,'07_Equipment'!$A:$A,0)),"NO RATE"))</x:f>
      </x:c>
      <x:c r="M133" s="70" t="str">
        <x:f>IF(OR(I133="",NOT(ISNUMBER(L133))),"",I133*L133)</x:f>
      </x:c>
      <x:c r="N133" s="15"/>
      <x:c r="O133" s="15" t="str">
        <x:f>IF(COUNTA(B133:H133,J133:K133,N133:N133)=0,"",TEXTJOIN("; ",TRUE,IF(B133="","Missing work date",""),IF(C133="","Missing project",""),IF(E133="","Missing equipment",""),IF(H133&lt;G133,"End meter before start",""),IF(L133="NO RATE","Missing equipment rate","")))</x:f>
      </x:c>
    </x:row>
    <x:row r="134" ht="20" customHeight="1">
      <x:c r="A134" s="15"/>
      <x:c r="B134" s="28"/>
      <x:c r="C134" s="15"/>
      <x:c r="D134" s="15"/>
      <x:c r="E134" s="15"/>
      <x:c r="F134" s="15"/>
      <x:c r="G134" s="138"/>
      <x:c r="H134" s="138"/>
      <x:c r="I134" s="138" t="str">
        <x:f>IF(OR(G134="",H134=""),"",MAX(0,H134-G134))</x:f>
      </x:c>
      <x:c r="J134" s="138"/>
      <x:c r="K134" s="138"/>
      <x:c r="L134" s="70" t="str">
        <x:f>IF(E134="","",IFERROR(INDEX('07_Equipment'!$G:$G,MATCH(E134,'07_Equipment'!$A:$A,0)),"NO RATE"))</x:f>
      </x:c>
      <x:c r="M134" s="70" t="str">
        <x:f>IF(OR(I134="",NOT(ISNUMBER(L134))),"",I134*L134)</x:f>
      </x:c>
      <x:c r="N134" s="15"/>
      <x:c r="O134" s="15" t="str">
        <x:f>IF(COUNTA(B134:H134,J134:K134,N134:N134)=0,"",TEXTJOIN("; ",TRUE,IF(B134="","Missing work date",""),IF(C134="","Missing project",""),IF(E134="","Missing equipment",""),IF(H134&lt;G134,"End meter before start",""),IF(L134="NO RATE","Missing equipment rate","")))</x:f>
      </x:c>
    </x:row>
    <x:row r="135" ht="20" customHeight="1">
      <x:c r="A135" s="15"/>
      <x:c r="B135" s="28"/>
      <x:c r="C135" s="15"/>
      <x:c r="D135" s="15"/>
      <x:c r="E135" s="15"/>
      <x:c r="F135" s="15"/>
      <x:c r="G135" s="138"/>
      <x:c r="H135" s="138"/>
      <x:c r="I135" s="138" t="str">
        <x:f>IF(OR(G135="",H135=""),"",MAX(0,H135-G135))</x:f>
      </x:c>
      <x:c r="J135" s="138"/>
      <x:c r="K135" s="138"/>
      <x:c r="L135" s="70" t="str">
        <x:f>IF(E135="","",IFERROR(INDEX('07_Equipment'!$G:$G,MATCH(E135,'07_Equipment'!$A:$A,0)),"NO RATE"))</x:f>
      </x:c>
      <x:c r="M135" s="70" t="str">
        <x:f>IF(OR(I135="",NOT(ISNUMBER(L135))),"",I135*L135)</x:f>
      </x:c>
      <x:c r="N135" s="15"/>
      <x:c r="O135" s="15" t="str">
        <x:f>IF(COUNTA(B135:H135,J135:K135,N135:N135)=0,"",TEXTJOIN("; ",TRUE,IF(B135="","Missing work date",""),IF(C135="","Missing project",""),IF(E135="","Missing equipment",""),IF(H135&lt;G135,"End meter before start",""),IF(L135="NO RATE","Missing equipment rate","")))</x:f>
      </x:c>
    </x:row>
    <x:row r="136" ht="20" customHeight="1">
      <x:c r="A136" s="15"/>
      <x:c r="B136" s="28"/>
      <x:c r="C136" s="15"/>
      <x:c r="D136" s="15"/>
      <x:c r="E136" s="15"/>
      <x:c r="F136" s="15"/>
      <x:c r="G136" s="138"/>
      <x:c r="H136" s="138"/>
      <x:c r="I136" s="138" t="str">
        <x:f>IF(OR(G136="",H136=""),"",MAX(0,H136-G136))</x:f>
      </x:c>
      <x:c r="J136" s="138"/>
      <x:c r="K136" s="138"/>
      <x:c r="L136" s="70" t="str">
        <x:f>IF(E136="","",IFERROR(INDEX('07_Equipment'!$G:$G,MATCH(E136,'07_Equipment'!$A:$A,0)),"NO RATE"))</x:f>
      </x:c>
      <x:c r="M136" s="70" t="str">
        <x:f>IF(OR(I136="",NOT(ISNUMBER(L136))),"",I136*L136)</x:f>
      </x:c>
      <x:c r="N136" s="15"/>
      <x:c r="O136" s="15" t="str">
        <x:f>IF(COUNTA(B136:H136,J136:K136,N136:N136)=0,"",TEXTJOIN("; ",TRUE,IF(B136="","Missing work date",""),IF(C136="","Missing project",""),IF(E136="","Missing equipment",""),IF(H136&lt;G136,"End meter before start",""),IF(L136="NO RATE","Missing equipment rate","")))</x:f>
      </x:c>
    </x:row>
    <x:row r="137" ht="20" customHeight="1">
      <x:c r="A137" s="15"/>
      <x:c r="B137" s="28"/>
      <x:c r="C137" s="15"/>
      <x:c r="D137" s="15"/>
      <x:c r="E137" s="15"/>
      <x:c r="F137" s="15"/>
      <x:c r="G137" s="138"/>
      <x:c r="H137" s="138"/>
      <x:c r="I137" s="138" t="str">
        <x:f>IF(OR(G137="",H137=""),"",MAX(0,H137-G137))</x:f>
      </x:c>
      <x:c r="J137" s="138"/>
      <x:c r="K137" s="138"/>
      <x:c r="L137" s="70" t="str">
        <x:f>IF(E137="","",IFERROR(INDEX('07_Equipment'!$G:$G,MATCH(E137,'07_Equipment'!$A:$A,0)),"NO RATE"))</x:f>
      </x:c>
      <x:c r="M137" s="70" t="str">
        <x:f>IF(OR(I137="",NOT(ISNUMBER(L137))),"",I137*L137)</x:f>
      </x:c>
      <x:c r="N137" s="15"/>
      <x:c r="O137" s="15" t="str">
        <x:f>IF(COUNTA(B137:H137,J137:K137,N137:N137)=0,"",TEXTJOIN("; ",TRUE,IF(B137="","Missing work date",""),IF(C137="","Missing project",""),IF(E137="","Missing equipment",""),IF(H137&lt;G137,"End meter before start",""),IF(L137="NO RATE","Missing equipment rate","")))</x:f>
      </x:c>
    </x:row>
    <x:row r="138" ht="20" customHeight="1">
      <x:c r="A138" s="15"/>
      <x:c r="B138" s="28"/>
      <x:c r="C138" s="15"/>
      <x:c r="D138" s="15"/>
      <x:c r="E138" s="15"/>
      <x:c r="F138" s="15"/>
      <x:c r="G138" s="138"/>
      <x:c r="H138" s="138"/>
      <x:c r="I138" s="138" t="str">
        <x:f>IF(OR(G138="",H138=""),"",MAX(0,H138-G138))</x:f>
      </x:c>
      <x:c r="J138" s="138"/>
      <x:c r="K138" s="138"/>
      <x:c r="L138" s="70" t="str">
        <x:f>IF(E138="","",IFERROR(INDEX('07_Equipment'!$G:$G,MATCH(E138,'07_Equipment'!$A:$A,0)),"NO RATE"))</x:f>
      </x:c>
      <x:c r="M138" s="70" t="str">
        <x:f>IF(OR(I138="",NOT(ISNUMBER(L138))),"",I138*L138)</x:f>
      </x:c>
      <x:c r="N138" s="15"/>
      <x:c r="O138" s="15" t="str">
        <x:f>IF(COUNTA(B138:H138,J138:K138,N138:N138)=0,"",TEXTJOIN("; ",TRUE,IF(B138="","Missing work date",""),IF(C138="","Missing project",""),IF(E138="","Missing equipment",""),IF(H138&lt;G138,"End meter before start",""),IF(L138="NO RATE","Missing equipment rate","")))</x:f>
      </x:c>
    </x:row>
    <x:row r="139" ht="20" customHeight="1">
      <x:c r="A139" s="15"/>
      <x:c r="B139" s="28"/>
      <x:c r="C139" s="15"/>
      <x:c r="D139" s="15"/>
      <x:c r="E139" s="15"/>
      <x:c r="F139" s="15"/>
      <x:c r="G139" s="138"/>
      <x:c r="H139" s="138"/>
      <x:c r="I139" s="138" t="str">
        <x:f>IF(OR(G139="",H139=""),"",MAX(0,H139-G139))</x:f>
      </x:c>
      <x:c r="J139" s="138"/>
      <x:c r="K139" s="138"/>
      <x:c r="L139" s="70" t="str">
        <x:f>IF(E139="","",IFERROR(INDEX('07_Equipment'!$G:$G,MATCH(E139,'07_Equipment'!$A:$A,0)),"NO RATE"))</x:f>
      </x:c>
      <x:c r="M139" s="70" t="str">
        <x:f>IF(OR(I139="",NOT(ISNUMBER(L139))),"",I139*L139)</x:f>
      </x:c>
      <x:c r="N139" s="15"/>
      <x:c r="O139" s="15" t="str">
        <x:f>IF(COUNTA(B139:H139,J139:K139,N139:N139)=0,"",TEXTJOIN("; ",TRUE,IF(B139="","Missing work date",""),IF(C139="","Missing project",""),IF(E139="","Missing equipment",""),IF(H139&lt;G139,"End meter before start",""),IF(L139="NO RATE","Missing equipment rate","")))</x:f>
      </x:c>
    </x:row>
    <x:row r="140" ht="20" customHeight="1">
      <x:c r="A140" s="15"/>
      <x:c r="B140" s="28"/>
      <x:c r="C140" s="15"/>
      <x:c r="D140" s="15"/>
      <x:c r="E140" s="15"/>
      <x:c r="F140" s="15"/>
      <x:c r="G140" s="138"/>
      <x:c r="H140" s="138"/>
      <x:c r="I140" s="138" t="str">
        <x:f>IF(OR(G140="",H140=""),"",MAX(0,H140-G140))</x:f>
      </x:c>
      <x:c r="J140" s="138"/>
      <x:c r="K140" s="138"/>
      <x:c r="L140" s="70" t="str">
        <x:f>IF(E140="","",IFERROR(INDEX('07_Equipment'!$G:$G,MATCH(E140,'07_Equipment'!$A:$A,0)),"NO RATE"))</x:f>
      </x:c>
      <x:c r="M140" s="70" t="str">
        <x:f>IF(OR(I140="",NOT(ISNUMBER(L140))),"",I140*L140)</x:f>
      </x:c>
      <x:c r="N140" s="15"/>
      <x:c r="O140" s="15" t="str">
        <x:f>IF(COUNTA(B140:H140,J140:K140,N140:N140)=0,"",TEXTJOIN("; ",TRUE,IF(B140="","Missing work date",""),IF(C140="","Missing project",""),IF(E140="","Missing equipment",""),IF(H140&lt;G140,"End meter before start",""),IF(L140="NO RATE","Missing equipment rate","")))</x:f>
      </x:c>
    </x:row>
    <x:row r="141" ht="20" customHeight="1">
      <x:c r="A141" s="15"/>
      <x:c r="B141" s="28"/>
      <x:c r="C141" s="15"/>
      <x:c r="D141" s="15"/>
      <x:c r="E141" s="15"/>
      <x:c r="F141" s="15"/>
      <x:c r="G141" s="138"/>
      <x:c r="H141" s="138"/>
      <x:c r="I141" s="138" t="str">
        <x:f>IF(OR(G141="",H141=""),"",MAX(0,H141-G141))</x:f>
      </x:c>
      <x:c r="J141" s="138"/>
      <x:c r="K141" s="138"/>
      <x:c r="L141" s="70" t="str">
        <x:f>IF(E141="","",IFERROR(INDEX('07_Equipment'!$G:$G,MATCH(E141,'07_Equipment'!$A:$A,0)),"NO RATE"))</x:f>
      </x:c>
      <x:c r="M141" s="70" t="str">
        <x:f>IF(OR(I141="",NOT(ISNUMBER(L141))),"",I141*L141)</x:f>
      </x:c>
      <x:c r="N141" s="15"/>
      <x:c r="O141" s="15" t="str">
        <x:f>IF(COUNTA(B141:H141,J141:K141,N141:N141)=0,"",TEXTJOIN("; ",TRUE,IF(B141="","Missing work date",""),IF(C141="","Missing project",""),IF(E141="","Missing equipment",""),IF(H141&lt;G141,"End meter before start",""),IF(L141="NO RATE","Missing equipment rate","")))</x:f>
      </x:c>
    </x:row>
    <x:row r="142" ht="20" customHeight="1">
      <x:c r="A142" s="15"/>
      <x:c r="B142" s="28"/>
      <x:c r="C142" s="15"/>
      <x:c r="D142" s="15"/>
      <x:c r="E142" s="15"/>
      <x:c r="F142" s="15"/>
      <x:c r="G142" s="138"/>
      <x:c r="H142" s="138"/>
      <x:c r="I142" s="138" t="str">
        <x:f>IF(OR(G142="",H142=""),"",MAX(0,H142-G142))</x:f>
      </x:c>
      <x:c r="J142" s="138"/>
      <x:c r="K142" s="138"/>
      <x:c r="L142" s="70" t="str">
        <x:f>IF(E142="","",IFERROR(INDEX('07_Equipment'!$G:$G,MATCH(E142,'07_Equipment'!$A:$A,0)),"NO RATE"))</x:f>
      </x:c>
      <x:c r="M142" s="70" t="str">
        <x:f>IF(OR(I142="",NOT(ISNUMBER(L142))),"",I142*L142)</x:f>
      </x:c>
      <x:c r="N142" s="15"/>
      <x:c r="O142" s="15" t="str">
        <x:f>IF(COUNTA(B142:H142,J142:K142,N142:N142)=0,"",TEXTJOIN("; ",TRUE,IF(B142="","Missing work date",""),IF(C142="","Missing project",""),IF(E142="","Missing equipment",""),IF(H142&lt;G142,"End meter before start",""),IF(L142="NO RATE","Missing equipment rate","")))</x:f>
      </x:c>
    </x:row>
    <x:row r="143" ht="20" customHeight="1">
      <x:c r="A143" s="15"/>
      <x:c r="B143" s="28"/>
      <x:c r="C143" s="15"/>
      <x:c r="D143" s="15"/>
      <x:c r="E143" s="15"/>
      <x:c r="F143" s="15"/>
      <x:c r="G143" s="138"/>
      <x:c r="H143" s="138"/>
      <x:c r="I143" s="138" t="str">
        <x:f>IF(OR(G143="",H143=""),"",MAX(0,H143-G143))</x:f>
      </x:c>
      <x:c r="J143" s="138"/>
      <x:c r="K143" s="138"/>
      <x:c r="L143" s="70" t="str">
        <x:f>IF(E143="","",IFERROR(INDEX('07_Equipment'!$G:$G,MATCH(E143,'07_Equipment'!$A:$A,0)),"NO RATE"))</x:f>
      </x:c>
      <x:c r="M143" s="70" t="str">
        <x:f>IF(OR(I143="",NOT(ISNUMBER(L143))),"",I143*L143)</x:f>
      </x:c>
      <x:c r="N143" s="15"/>
      <x:c r="O143" s="15" t="str">
        <x:f>IF(COUNTA(B143:H143,J143:K143,N143:N143)=0,"",TEXTJOIN("; ",TRUE,IF(B143="","Missing work date",""),IF(C143="","Missing project",""),IF(E143="","Missing equipment",""),IF(H143&lt;G143,"End meter before start",""),IF(L143="NO RATE","Missing equipment rate","")))</x:f>
      </x:c>
    </x:row>
    <x:row r="144" ht="20" customHeight="1">
      <x:c r="A144" s="15"/>
      <x:c r="B144" s="28"/>
      <x:c r="C144" s="15"/>
      <x:c r="D144" s="15"/>
      <x:c r="E144" s="15"/>
      <x:c r="F144" s="15"/>
      <x:c r="G144" s="138"/>
      <x:c r="H144" s="138"/>
      <x:c r="I144" s="138" t="str">
        <x:f>IF(OR(G144="",H144=""),"",MAX(0,H144-G144))</x:f>
      </x:c>
      <x:c r="J144" s="138"/>
      <x:c r="K144" s="138"/>
      <x:c r="L144" s="70" t="str">
        <x:f>IF(E144="","",IFERROR(INDEX('07_Equipment'!$G:$G,MATCH(E144,'07_Equipment'!$A:$A,0)),"NO RATE"))</x:f>
      </x:c>
      <x:c r="M144" s="70" t="str">
        <x:f>IF(OR(I144="",NOT(ISNUMBER(L144))),"",I144*L144)</x:f>
      </x:c>
      <x:c r="N144" s="15"/>
      <x:c r="O144" s="15" t="str">
        <x:f>IF(COUNTA(B144:H144,J144:K144,N144:N144)=0,"",TEXTJOIN("; ",TRUE,IF(B144="","Missing work date",""),IF(C144="","Missing project",""),IF(E144="","Missing equipment",""),IF(H144&lt;G144,"End meter before start",""),IF(L144="NO RATE","Missing equipment rate","")))</x:f>
      </x:c>
    </x:row>
    <x:row r="145" ht="20" customHeight="1">
      <x:c r="A145" s="15"/>
      <x:c r="B145" s="28"/>
      <x:c r="C145" s="15"/>
      <x:c r="D145" s="15"/>
      <x:c r="E145" s="15"/>
      <x:c r="F145" s="15"/>
      <x:c r="G145" s="138"/>
      <x:c r="H145" s="138"/>
      <x:c r="I145" s="138" t="str">
        <x:f>IF(OR(G145="",H145=""),"",MAX(0,H145-G145))</x:f>
      </x:c>
      <x:c r="J145" s="138"/>
      <x:c r="K145" s="138"/>
      <x:c r="L145" s="70" t="str">
        <x:f>IF(E145="","",IFERROR(INDEX('07_Equipment'!$G:$G,MATCH(E145,'07_Equipment'!$A:$A,0)),"NO RATE"))</x:f>
      </x:c>
      <x:c r="M145" s="70" t="str">
        <x:f>IF(OR(I145="",NOT(ISNUMBER(L145))),"",I145*L145)</x:f>
      </x:c>
      <x:c r="N145" s="15"/>
      <x:c r="O145" s="15" t="str">
        <x:f>IF(COUNTA(B145:H145,J145:K145,N145:N145)=0,"",TEXTJOIN("; ",TRUE,IF(B145="","Missing work date",""),IF(C145="","Missing project",""),IF(E145="","Missing equipment",""),IF(H145&lt;G145,"End meter before start",""),IF(L145="NO RATE","Missing equipment rate","")))</x:f>
      </x:c>
    </x:row>
    <x:row r="146" ht="20" customHeight="1">
      <x:c r="A146" s="15"/>
      <x:c r="B146" s="28"/>
      <x:c r="C146" s="15"/>
      <x:c r="D146" s="15"/>
      <x:c r="E146" s="15"/>
      <x:c r="F146" s="15"/>
      <x:c r="G146" s="138"/>
      <x:c r="H146" s="138"/>
      <x:c r="I146" s="138" t="str">
        <x:f>IF(OR(G146="",H146=""),"",MAX(0,H146-G146))</x:f>
      </x:c>
      <x:c r="J146" s="138"/>
      <x:c r="K146" s="138"/>
      <x:c r="L146" s="70" t="str">
        <x:f>IF(E146="","",IFERROR(INDEX('07_Equipment'!$G:$G,MATCH(E146,'07_Equipment'!$A:$A,0)),"NO RATE"))</x:f>
      </x:c>
      <x:c r="M146" s="70" t="str">
        <x:f>IF(OR(I146="",NOT(ISNUMBER(L146))),"",I146*L146)</x:f>
      </x:c>
      <x:c r="N146" s="15"/>
      <x:c r="O146" s="15" t="str">
        <x:f>IF(COUNTA(B146:H146,J146:K146,N146:N146)=0,"",TEXTJOIN("; ",TRUE,IF(B146="","Missing work date",""),IF(C146="","Missing project",""),IF(E146="","Missing equipment",""),IF(H146&lt;G146,"End meter before start",""),IF(L146="NO RATE","Missing equipment rate","")))</x:f>
      </x:c>
    </x:row>
    <x:row r="147" ht="20" customHeight="1">
      <x:c r="A147" s="15"/>
      <x:c r="B147" s="28"/>
      <x:c r="C147" s="15"/>
      <x:c r="D147" s="15"/>
      <x:c r="E147" s="15"/>
      <x:c r="F147" s="15"/>
      <x:c r="G147" s="138"/>
      <x:c r="H147" s="138"/>
      <x:c r="I147" s="138" t="str">
        <x:f>IF(OR(G147="",H147=""),"",MAX(0,H147-G147))</x:f>
      </x:c>
      <x:c r="J147" s="138"/>
      <x:c r="K147" s="138"/>
      <x:c r="L147" s="70" t="str">
        <x:f>IF(E147="","",IFERROR(INDEX('07_Equipment'!$G:$G,MATCH(E147,'07_Equipment'!$A:$A,0)),"NO RATE"))</x:f>
      </x:c>
      <x:c r="M147" s="70" t="str">
        <x:f>IF(OR(I147="",NOT(ISNUMBER(L147))),"",I147*L147)</x:f>
      </x:c>
      <x:c r="N147" s="15"/>
      <x:c r="O147" s="15" t="str">
        <x:f>IF(COUNTA(B147:H147,J147:K147,N147:N147)=0,"",TEXTJOIN("; ",TRUE,IF(B147="","Missing work date",""),IF(C147="","Missing project",""),IF(E147="","Missing equipment",""),IF(H147&lt;G147,"End meter before start",""),IF(L147="NO RATE","Missing equipment rate","")))</x:f>
      </x:c>
    </x:row>
    <x:row r="148" ht="20" customHeight="1">
      <x:c r="A148" s="15"/>
      <x:c r="B148" s="28"/>
      <x:c r="C148" s="15"/>
      <x:c r="D148" s="15"/>
      <x:c r="E148" s="15"/>
      <x:c r="F148" s="15"/>
      <x:c r="G148" s="138"/>
      <x:c r="H148" s="138"/>
      <x:c r="I148" s="138" t="str">
        <x:f>IF(OR(G148="",H148=""),"",MAX(0,H148-G148))</x:f>
      </x:c>
      <x:c r="J148" s="138"/>
      <x:c r="K148" s="138"/>
      <x:c r="L148" s="70" t="str">
        <x:f>IF(E148="","",IFERROR(INDEX('07_Equipment'!$G:$G,MATCH(E148,'07_Equipment'!$A:$A,0)),"NO RATE"))</x:f>
      </x:c>
      <x:c r="M148" s="70" t="str">
        <x:f>IF(OR(I148="",NOT(ISNUMBER(L148))),"",I148*L148)</x:f>
      </x:c>
      <x:c r="N148" s="15"/>
      <x:c r="O148" s="15" t="str">
        <x:f>IF(COUNTA(B148:H148,J148:K148,N148:N148)=0,"",TEXTJOIN("; ",TRUE,IF(B148="","Missing work date",""),IF(C148="","Missing project",""),IF(E148="","Missing equipment",""),IF(H148&lt;G148,"End meter before start",""),IF(L148="NO RATE","Missing equipment rate","")))</x:f>
      </x:c>
    </x:row>
    <x:row r="149" ht="20" customHeight="1">
      <x:c r="A149" s="15"/>
      <x:c r="B149" s="28"/>
      <x:c r="C149" s="15"/>
      <x:c r="D149" s="15"/>
      <x:c r="E149" s="15"/>
      <x:c r="F149" s="15"/>
      <x:c r="G149" s="138"/>
      <x:c r="H149" s="138"/>
      <x:c r="I149" s="138" t="str">
        <x:f>IF(OR(G149="",H149=""),"",MAX(0,H149-G149))</x:f>
      </x:c>
      <x:c r="J149" s="138"/>
      <x:c r="K149" s="138"/>
      <x:c r="L149" s="70" t="str">
        <x:f>IF(E149="","",IFERROR(INDEX('07_Equipment'!$G:$G,MATCH(E149,'07_Equipment'!$A:$A,0)),"NO RATE"))</x:f>
      </x:c>
      <x:c r="M149" s="70" t="str">
        <x:f>IF(OR(I149="",NOT(ISNUMBER(L149))),"",I149*L149)</x:f>
      </x:c>
      <x:c r="N149" s="15"/>
      <x:c r="O149" s="15" t="str">
        <x:f>IF(COUNTA(B149:H149,J149:K149,N149:N149)=0,"",TEXTJOIN("; ",TRUE,IF(B149="","Missing work date",""),IF(C149="","Missing project",""),IF(E149="","Missing equipment",""),IF(H149&lt;G149,"End meter before start",""),IF(L149="NO RATE","Missing equipment rate","")))</x:f>
      </x:c>
    </x:row>
    <x:row r="150" ht="20" customHeight="1">
      <x:c r="A150" s="15"/>
      <x:c r="B150" s="28"/>
      <x:c r="C150" s="15"/>
      <x:c r="D150" s="15"/>
      <x:c r="E150" s="15"/>
      <x:c r="F150" s="15"/>
      <x:c r="G150" s="138"/>
      <x:c r="H150" s="138"/>
      <x:c r="I150" s="138" t="str">
        <x:f>IF(OR(G150="",H150=""),"",MAX(0,H150-G150))</x:f>
      </x:c>
      <x:c r="J150" s="138"/>
      <x:c r="K150" s="138"/>
      <x:c r="L150" s="70" t="str">
        <x:f>IF(E150="","",IFERROR(INDEX('07_Equipment'!$G:$G,MATCH(E150,'07_Equipment'!$A:$A,0)),"NO RATE"))</x:f>
      </x:c>
      <x:c r="M150" s="70" t="str">
        <x:f>IF(OR(I150="",NOT(ISNUMBER(L150))),"",I150*L150)</x:f>
      </x:c>
      <x:c r="N150" s="15"/>
      <x:c r="O150" s="15" t="str">
        <x:f>IF(COUNTA(B150:H150,J150:K150,N150:N150)=0,"",TEXTJOIN("; ",TRUE,IF(B150="","Missing work date",""),IF(C150="","Missing project",""),IF(E150="","Missing equipment",""),IF(H150&lt;G150,"End meter before start",""),IF(L150="NO RATE","Missing equipment rate","")))</x:f>
      </x:c>
    </x:row>
    <x:row r="151" ht="20" customHeight="1">
      <x:c r="A151" s="15"/>
      <x:c r="B151" s="28"/>
      <x:c r="C151" s="15"/>
      <x:c r="D151" s="15"/>
      <x:c r="E151" s="15"/>
      <x:c r="F151" s="15"/>
      <x:c r="G151" s="138"/>
      <x:c r="H151" s="138"/>
      <x:c r="I151" s="138" t="str">
        <x:f>IF(OR(G151="",H151=""),"",MAX(0,H151-G151))</x:f>
      </x:c>
      <x:c r="J151" s="138"/>
      <x:c r="K151" s="138"/>
      <x:c r="L151" s="70" t="str">
        <x:f>IF(E151="","",IFERROR(INDEX('07_Equipment'!$G:$G,MATCH(E151,'07_Equipment'!$A:$A,0)),"NO RATE"))</x:f>
      </x:c>
      <x:c r="M151" s="70" t="str">
        <x:f>IF(OR(I151="",NOT(ISNUMBER(L151))),"",I151*L151)</x:f>
      </x:c>
      <x:c r="N151" s="15"/>
      <x:c r="O151" s="15" t="str">
        <x:f>IF(COUNTA(B151:H151,J151:K151,N151:N151)=0,"",TEXTJOIN("; ",TRUE,IF(B151="","Missing work date",""),IF(C151="","Missing project",""),IF(E151="","Missing equipment",""),IF(H151&lt;G151,"End meter before start",""),IF(L151="NO RATE","Missing equipment rate","")))</x:f>
      </x:c>
    </x:row>
    <x:row r="152" ht="20" customHeight="1">
      <x:c r="A152" s="15"/>
      <x:c r="B152" s="28"/>
      <x:c r="C152" s="15"/>
      <x:c r="D152" s="15"/>
      <x:c r="E152" s="15"/>
      <x:c r="F152" s="15"/>
      <x:c r="G152" s="138"/>
      <x:c r="H152" s="138"/>
      <x:c r="I152" s="138" t="str">
        <x:f>IF(OR(G152="",H152=""),"",MAX(0,H152-G152))</x:f>
      </x:c>
      <x:c r="J152" s="138"/>
      <x:c r="K152" s="138"/>
      <x:c r="L152" s="70" t="str">
        <x:f>IF(E152="","",IFERROR(INDEX('07_Equipment'!$G:$G,MATCH(E152,'07_Equipment'!$A:$A,0)),"NO RATE"))</x:f>
      </x:c>
      <x:c r="M152" s="70" t="str">
        <x:f>IF(OR(I152="",NOT(ISNUMBER(L152))),"",I152*L152)</x:f>
      </x:c>
      <x:c r="N152" s="15"/>
      <x:c r="O152" s="15" t="str">
        <x:f>IF(COUNTA(B152:H152,J152:K152,N152:N152)=0,"",TEXTJOIN("; ",TRUE,IF(B152="","Missing work date",""),IF(C152="","Missing project",""),IF(E152="","Missing equipment",""),IF(H152&lt;G152,"End meter before start",""),IF(L152="NO RATE","Missing equipment rate","")))</x:f>
      </x:c>
    </x:row>
    <x:row r="153" ht="20" customHeight="1">
      <x:c r="A153" s="15"/>
      <x:c r="B153" s="28"/>
      <x:c r="C153" s="15"/>
      <x:c r="D153" s="15"/>
      <x:c r="E153" s="15"/>
      <x:c r="F153" s="15"/>
      <x:c r="G153" s="138"/>
      <x:c r="H153" s="138"/>
      <x:c r="I153" s="138" t="str">
        <x:f>IF(OR(G153="",H153=""),"",MAX(0,H153-G153))</x:f>
      </x:c>
      <x:c r="J153" s="138"/>
      <x:c r="K153" s="138"/>
      <x:c r="L153" s="70" t="str">
        <x:f>IF(E153="","",IFERROR(INDEX('07_Equipment'!$G:$G,MATCH(E153,'07_Equipment'!$A:$A,0)),"NO RATE"))</x:f>
      </x:c>
      <x:c r="M153" s="70" t="str">
        <x:f>IF(OR(I153="",NOT(ISNUMBER(L153))),"",I153*L153)</x:f>
      </x:c>
      <x:c r="N153" s="15"/>
      <x:c r="O153" s="15" t="str">
        <x:f>IF(COUNTA(B153:H153,J153:K153,N153:N153)=0,"",TEXTJOIN("; ",TRUE,IF(B153="","Missing work date",""),IF(C153="","Missing project",""),IF(E153="","Missing equipment",""),IF(H153&lt;G153,"End meter before start",""),IF(L153="NO RATE","Missing equipment rate","")))</x:f>
      </x:c>
    </x:row>
    <x:row r="154" ht="20" customHeight="1">
      <x:c r="A154" s="15"/>
      <x:c r="B154" s="28"/>
      <x:c r="C154" s="15"/>
      <x:c r="D154" s="15"/>
      <x:c r="E154" s="15"/>
      <x:c r="F154" s="15"/>
      <x:c r="G154" s="138"/>
      <x:c r="H154" s="138"/>
      <x:c r="I154" s="138" t="str">
        <x:f>IF(OR(G154="",H154=""),"",MAX(0,H154-G154))</x:f>
      </x:c>
      <x:c r="J154" s="138"/>
      <x:c r="K154" s="138"/>
      <x:c r="L154" s="70" t="str">
        <x:f>IF(E154="","",IFERROR(INDEX('07_Equipment'!$G:$G,MATCH(E154,'07_Equipment'!$A:$A,0)),"NO RATE"))</x:f>
      </x:c>
      <x:c r="M154" s="70" t="str">
        <x:f>IF(OR(I154="",NOT(ISNUMBER(L154))),"",I154*L154)</x:f>
      </x:c>
      <x:c r="N154" s="15"/>
      <x:c r="O154" s="15" t="str">
        <x:f>IF(COUNTA(B154:H154,J154:K154,N154:N154)=0,"",TEXTJOIN("; ",TRUE,IF(B154="","Missing work date",""),IF(C154="","Missing project",""),IF(E154="","Missing equipment",""),IF(H154&lt;G154,"End meter before start",""),IF(L154="NO RATE","Missing equipment rate","")))</x:f>
      </x:c>
    </x:row>
    <x:row r="155" ht="20" customHeight="1">
      <x:c r="A155" s="15"/>
      <x:c r="B155" s="28"/>
      <x:c r="C155" s="15"/>
      <x:c r="D155" s="15"/>
      <x:c r="E155" s="15"/>
      <x:c r="F155" s="15"/>
      <x:c r="G155" s="138"/>
      <x:c r="H155" s="138"/>
      <x:c r="I155" s="138" t="str">
        <x:f>IF(OR(G155="",H155=""),"",MAX(0,H155-G155))</x:f>
      </x:c>
      <x:c r="J155" s="138"/>
      <x:c r="K155" s="138"/>
      <x:c r="L155" s="70" t="str">
        <x:f>IF(E155="","",IFERROR(INDEX('07_Equipment'!$G:$G,MATCH(E155,'07_Equipment'!$A:$A,0)),"NO RATE"))</x:f>
      </x:c>
      <x:c r="M155" s="70" t="str">
        <x:f>IF(OR(I155="",NOT(ISNUMBER(L155))),"",I155*L155)</x:f>
      </x:c>
      <x:c r="N155" s="15"/>
      <x:c r="O155" s="15" t="str">
        <x:f>IF(COUNTA(B155:H155,J155:K155,N155:N155)=0,"",TEXTJOIN("; ",TRUE,IF(B155="","Missing work date",""),IF(C155="","Missing project",""),IF(E155="","Missing equipment",""),IF(H155&lt;G155,"End meter before start",""),IF(L155="NO RATE","Missing equipment rate","")))</x:f>
      </x:c>
    </x:row>
    <x:row r="156" ht="20" customHeight="1">
      <x:c r="A156" s="15"/>
      <x:c r="B156" s="28"/>
      <x:c r="C156" s="15"/>
      <x:c r="D156" s="15"/>
      <x:c r="E156" s="15"/>
      <x:c r="F156" s="15"/>
      <x:c r="G156" s="138"/>
      <x:c r="H156" s="138"/>
      <x:c r="I156" s="138" t="str">
        <x:f>IF(OR(G156="",H156=""),"",MAX(0,H156-G156))</x:f>
      </x:c>
      <x:c r="J156" s="138"/>
      <x:c r="K156" s="138"/>
      <x:c r="L156" s="70" t="str">
        <x:f>IF(E156="","",IFERROR(INDEX('07_Equipment'!$G:$G,MATCH(E156,'07_Equipment'!$A:$A,0)),"NO RATE"))</x:f>
      </x:c>
      <x:c r="M156" s="70" t="str">
        <x:f>IF(OR(I156="",NOT(ISNUMBER(L156))),"",I156*L156)</x:f>
      </x:c>
      <x:c r="N156" s="15"/>
      <x:c r="O156" s="15" t="str">
        <x:f>IF(COUNTA(B156:H156,J156:K156,N156:N156)=0,"",TEXTJOIN("; ",TRUE,IF(B156="","Missing work date",""),IF(C156="","Missing project",""),IF(E156="","Missing equipment",""),IF(H156&lt;G156,"End meter before start",""),IF(L156="NO RATE","Missing equipment rate","")))</x:f>
      </x:c>
    </x:row>
    <x:row r="157" ht="20" customHeight="1">
      <x:c r="A157" s="15"/>
      <x:c r="B157" s="28"/>
      <x:c r="C157" s="15"/>
      <x:c r="D157" s="15"/>
      <x:c r="E157" s="15"/>
      <x:c r="F157" s="15"/>
      <x:c r="G157" s="138"/>
      <x:c r="H157" s="138"/>
      <x:c r="I157" s="138" t="str">
        <x:f>IF(OR(G157="",H157=""),"",MAX(0,H157-G157))</x:f>
      </x:c>
      <x:c r="J157" s="138"/>
      <x:c r="K157" s="138"/>
      <x:c r="L157" s="70" t="str">
        <x:f>IF(E157="","",IFERROR(INDEX('07_Equipment'!$G:$G,MATCH(E157,'07_Equipment'!$A:$A,0)),"NO RATE"))</x:f>
      </x:c>
      <x:c r="M157" s="70" t="str">
        <x:f>IF(OR(I157="",NOT(ISNUMBER(L157))),"",I157*L157)</x:f>
      </x:c>
      <x:c r="N157" s="15"/>
      <x:c r="O157" s="15" t="str">
        <x:f>IF(COUNTA(B157:H157,J157:K157,N157:N157)=0,"",TEXTJOIN("; ",TRUE,IF(B157="","Missing work date",""),IF(C157="","Missing project",""),IF(E157="","Missing equipment",""),IF(H157&lt;G157,"End meter before start",""),IF(L157="NO RATE","Missing equipment rate","")))</x:f>
      </x:c>
    </x:row>
    <x:row r="158" ht="20" customHeight="1">
      <x:c r="A158" s="15"/>
      <x:c r="B158" s="28"/>
      <x:c r="C158" s="15"/>
      <x:c r="D158" s="15"/>
      <x:c r="E158" s="15"/>
      <x:c r="F158" s="15"/>
      <x:c r="G158" s="138"/>
      <x:c r="H158" s="138"/>
      <x:c r="I158" s="138" t="str">
        <x:f>IF(OR(G158="",H158=""),"",MAX(0,H158-G158))</x:f>
      </x:c>
      <x:c r="J158" s="138"/>
      <x:c r="K158" s="138"/>
      <x:c r="L158" s="70" t="str">
        <x:f>IF(E158="","",IFERROR(INDEX('07_Equipment'!$G:$G,MATCH(E158,'07_Equipment'!$A:$A,0)),"NO RATE"))</x:f>
      </x:c>
      <x:c r="M158" s="70" t="str">
        <x:f>IF(OR(I158="",NOT(ISNUMBER(L158))),"",I158*L158)</x:f>
      </x:c>
      <x:c r="N158" s="15"/>
      <x:c r="O158" s="15" t="str">
        <x:f>IF(COUNTA(B158:H158,J158:K158,N158:N158)=0,"",TEXTJOIN("; ",TRUE,IF(B158="","Missing work date",""),IF(C158="","Missing project",""),IF(E158="","Missing equipment",""),IF(H158&lt;G158,"End meter before start",""),IF(L158="NO RATE","Missing equipment rate","")))</x:f>
      </x:c>
    </x:row>
    <x:row r="159" ht="20" customHeight="1">
      <x:c r="A159" s="15"/>
      <x:c r="B159" s="28"/>
      <x:c r="C159" s="15"/>
      <x:c r="D159" s="15"/>
      <x:c r="E159" s="15"/>
      <x:c r="F159" s="15"/>
      <x:c r="G159" s="138"/>
      <x:c r="H159" s="138"/>
      <x:c r="I159" s="138" t="str">
        <x:f>IF(OR(G159="",H159=""),"",MAX(0,H159-G159))</x:f>
      </x:c>
      <x:c r="J159" s="138"/>
      <x:c r="K159" s="138"/>
      <x:c r="L159" s="70" t="str">
        <x:f>IF(E159="","",IFERROR(INDEX('07_Equipment'!$G:$G,MATCH(E159,'07_Equipment'!$A:$A,0)),"NO RATE"))</x:f>
      </x:c>
      <x:c r="M159" s="70" t="str">
        <x:f>IF(OR(I159="",NOT(ISNUMBER(L159))),"",I159*L159)</x:f>
      </x:c>
      <x:c r="N159" s="15"/>
      <x:c r="O159" s="15" t="str">
        <x:f>IF(COUNTA(B159:H159,J159:K159,N159:N159)=0,"",TEXTJOIN("; ",TRUE,IF(B159="","Missing work date",""),IF(C159="","Missing project",""),IF(E159="","Missing equipment",""),IF(H159&lt;G159,"End meter before start",""),IF(L159="NO RATE","Missing equipment rate","")))</x:f>
      </x:c>
    </x:row>
    <x:row r="160" ht="20" customHeight="1">
      <x:c r="A160" s="15"/>
      <x:c r="B160" s="28"/>
      <x:c r="C160" s="15"/>
      <x:c r="D160" s="15"/>
      <x:c r="E160" s="15"/>
      <x:c r="F160" s="15"/>
      <x:c r="G160" s="138"/>
      <x:c r="H160" s="138"/>
      <x:c r="I160" s="138" t="str">
        <x:f>IF(OR(G160="",H160=""),"",MAX(0,H160-G160))</x:f>
      </x:c>
      <x:c r="J160" s="138"/>
      <x:c r="K160" s="138"/>
      <x:c r="L160" s="70" t="str">
        <x:f>IF(E160="","",IFERROR(INDEX('07_Equipment'!$G:$G,MATCH(E160,'07_Equipment'!$A:$A,0)),"NO RATE"))</x:f>
      </x:c>
      <x:c r="M160" s="70" t="str">
        <x:f>IF(OR(I160="",NOT(ISNUMBER(L160))),"",I160*L160)</x:f>
      </x:c>
      <x:c r="N160" s="15"/>
      <x:c r="O160" s="15" t="str">
        <x:f>IF(COUNTA(B160:H160,J160:K160,N160:N160)=0,"",TEXTJOIN("; ",TRUE,IF(B160="","Missing work date",""),IF(C160="","Missing project",""),IF(E160="","Missing equipment",""),IF(H160&lt;G160,"End meter before start",""),IF(L160="NO RATE","Missing equipment rate","")))</x:f>
      </x:c>
    </x:row>
    <x:row r="161" ht="20" customHeight="1">
      <x:c r="A161" s="15"/>
      <x:c r="B161" s="28"/>
      <x:c r="C161" s="15"/>
      <x:c r="D161" s="15"/>
      <x:c r="E161" s="15"/>
      <x:c r="F161" s="15"/>
      <x:c r="G161" s="138"/>
      <x:c r="H161" s="138"/>
      <x:c r="I161" s="138" t="str">
        <x:f>IF(OR(G161="",H161=""),"",MAX(0,H161-G161))</x:f>
      </x:c>
      <x:c r="J161" s="138"/>
      <x:c r="K161" s="138"/>
      <x:c r="L161" s="70" t="str">
        <x:f>IF(E161="","",IFERROR(INDEX('07_Equipment'!$G:$G,MATCH(E161,'07_Equipment'!$A:$A,0)),"NO RATE"))</x:f>
      </x:c>
      <x:c r="M161" s="70" t="str">
        <x:f>IF(OR(I161="",NOT(ISNUMBER(L161))),"",I161*L161)</x:f>
      </x:c>
      <x:c r="N161" s="15"/>
      <x:c r="O161" s="15" t="str">
        <x:f>IF(COUNTA(B161:H161,J161:K161,N161:N161)=0,"",TEXTJOIN("; ",TRUE,IF(B161="","Missing work date",""),IF(C161="","Missing project",""),IF(E161="","Missing equipment",""),IF(H161&lt;G161,"End meter before start",""),IF(L161="NO RATE","Missing equipment rate","")))</x:f>
      </x:c>
    </x:row>
    <x:row r="162" ht="20" customHeight="1">
      <x:c r="A162" s="15"/>
      <x:c r="B162" s="28"/>
      <x:c r="C162" s="15"/>
      <x:c r="D162" s="15"/>
      <x:c r="E162" s="15"/>
      <x:c r="F162" s="15"/>
      <x:c r="G162" s="138"/>
      <x:c r="H162" s="138"/>
      <x:c r="I162" s="138" t="str">
        <x:f>IF(OR(G162="",H162=""),"",MAX(0,H162-G162))</x:f>
      </x:c>
      <x:c r="J162" s="138"/>
      <x:c r="K162" s="138"/>
      <x:c r="L162" s="70" t="str">
        <x:f>IF(E162="","",IFERROR(INDEX('07_Equipment'!$G:$G,MATCH(E162,'07_Equipment'!$A:$A,0)),"NO RATE"))</x:f>
      </x:c>
      <x:c r="M162" s="70" t="str">
        <x:f>IF(OR(I162="",NOT(ISNUMBER(L162))),"",I162*L162)</x:f>
      </x:c>
      <x:c r="N162" s="15"/>
      <x:c r="O162" s="15" t="str">
        <x:f>IF(COUNTA(B162:H162,J162:K162,N162:N162)=0,"",TEXTJOIN("; ",TRUE,IF(B162="","Missing work date",""),IF(C162="","Missing project",""),IF(E162="","Missing equipment",""),IF(H162&lt;G162,"End meter before start",""),IF(L162="NO RATE","Missing equipment rate","")))</x:f>
      </x:c>
    </x:row>
    <x:row r="163" ht="20" customHeight="1">
      <x:c r="A163" s="15"/>
      <x:c r="B163" s="28"/>
      <x:c r="C163" s="15"/>
      <x:c r="D163" s="15"/>
      <x:c r="E163" s="15"/>
      <x:c r="F163" s="15"/>
      <x:c r="G163" s="138"/>
      <x:c r="H163" s="138"/>
      <x:c r="I163" s="138" t="str">
        <x:f>IF(OR(G163="",H163=""),"",MAX(0,H163-G163))</x:f>
      </x:c>
      <x:c r="J163" s="138"/>
      <x:c r="K163" s="138"/>
      <x:c r="L163" s="70" t="str">
        <x:f>IF(E163="","",IFERROR(INDEX('07_Equipment'!$G:$G,MATCH(E163,'07_Equipment'!$A:$A,0)),"NO RATE"))</x:f>
      </x:c>
      <x:c r="M163" s="70" t="str">
        <x:f>IF(OR(I163="",NOT(ISNUMBER(L163))),"",I163*L163)</x:f>
      </x:c>
      <x:c r="N163" s="15"/>
      <x:c r="O163" s="15" t="str">
        <x:f>IF(COUNTA(B163:H163,J163:K163,N163:N163)=0,"",TEXTJOIN("; ",TRUE,IF(B163="","Missing work date",""),IF(C163="","Missing project",""),IF(E163="","Missing equipment",""),IF(H163&lt;G163,"End meter before start",""),IF(L163="NO RATE","Missing equipment rate","")))</x:f>
      </x:c>
    </x:row>
    <x:row r="164" ht="20" customHeight="1">
      <x:c r="A164" s="15"/>
      <x:c r="B164" s="28"/>
      <x:c r="C164" s="15"/>
      <x:c r="D164" s="15"/>
      <x:c r="E164" s="15"/>
      <x:c r="F164" s="15"/>
      <x:c r="G164" s="138"/>
      <x:c r="H164" s="138"/>
      <x:c r="I164" s="138" t="str">
        <x:f>IF(OR(G164="",H164=""),"",MAX(0,H164-G164))</x:f>
      </x:c>
      <x:c r="J164" s="138"/>
      <x:c r="K164" s="138"/>
      <x:c r="L164" s="70" t="str">
        <x:f>IF(E164="","",IFERROR(INDEX('07_Equipment'!$G:$G,MATCH(E164,'07_Equipment'!$A:$A,0)),"NO RATE"))</x:f>
      </x:c>
      <x:c r="M164" s="70" t="str">
        <x:f>IF(OR(I164="",NOT(ISNUMBER(L164))),"",I164*L164)</x:f>
      </x:c>
      <x:c r="N164" s="15"/>
      <x:c r="O164" s="15" t="str">
        <x:f>IF(COUNTA(B164:H164,J164:K164,N164:N164)=0,"",TEXTJOIN("; ",TRUE,IF(B164="","Missing work date",""),IF(C164="","Missing project",""),IF(E164="","Missing equipment",""),IF(H164&lt;G164,"End meter before start",""),IF(L164="NO RATE","Missing equipment rate","")))</x:f>
      </x:c>
    </x:row>
    <x:row r="165" ht="20" customHeight="1">
      <x:c r="A165" s="15"/>
      <x:c r="B165" s="28"/>
      <x:c r="C165" s="15"/>
      <x:c r="D165" s="15"/>
      <x:c r="E165" s="15"/>
      <x:c r="F165" s="15"/>
      <x:c r="G165" s="138"/>
      <x:c r="H165" s="138"/>
      <x:c r="I165" s="138" t="str">
        <x:f>IF(OR(G165="",H165=""),"",MAX(0,H165-G165))</x:f>
      </x:c>
      <x:c r="J165" s="138"/>
      <x:c r="K165" s="138"/>
      <x:c r="L165" s="70" t="str">
        <x:f>IF(E165="","",IFERROR(INDEX('07_Equipment'!$G:$G,MATCH(E165,'07_Equipment'!$A:$A,0)),"NO RATE"))</x:f>
      </x:c>
      <x:c r="M165" s="70" t="str">
        <x:f>IF(OR(I165="",NOT(ISNUMBER(L165))),"",I165*L165)</x:f>
      </x:c>
      <x:c r="N165" s="15"/>
      <x:c r="O165" s="15" t="str">
        <x:f>IF(COUNTA(B165:H165,J165:K165,N165:N165)=0,"",TEXTJOIN("; ",TRUE,IF(B165="","Missing work date",""),IF(C165="","Missing project",""),IF(E165="","Missing equipment",""),IF(H165&lt;G165,"End meter before start",""),IF(L165="NO RATE","Missing equipment rate","")))</x:f>
      </x:c>
    </x:row>
    <x:row r="166" ht="20" customHeight="1">
      <x:c r="A166" s="15"/>
      <x:c r="B166" s="28"/>
      <x:c r="C166" s="15"/>
      <x:c r="D166" s="15"/>
      <x:c r="E166" s="15"/>
      <x:c r="F166" s="15"/>
      <x:c r="G166" s="138"/>
      <x:c r="H166" s="138"/>
      <x:c r="I166" s="138" t="str">
        <x:f>IF(OR(G166="",H166=""),"",MAX(0,H166-G166))</x:f>
      </x:c>
      <x:c r="J166" s="138"/>
      <x:c r="K166" s="138"/>
      <x:c r="L166" s="70" t="str">
        <x:f>IF(E166="","",IFERROR(INDEX('07_Equipment'!$G:$G,MATCH(E166,'07_Equipment'!$A:$A,0)),"NO RATE"))</x:f>
      </x:c>
      <x:c r="M166" s="70" t="str">
        <x:f>IF(OR(I166="",NOT(ISNUMBER(L166))),"",I166*L166)</x:f>
      </x:c>
      <x:c r="N166" s="15"/>
      <x:c r="O166" s="15" t="str">
        <x:f>IF(COUNTA(B166:H166,J166:K166,N166:N166)=0,"",TEXTJOIN("; ",TRUE,IF(B166="","Missing work date",""),IF(C166="","Missing project",""),IF(E166="","Missing equipment",""),IF(H166&lt;G166,"End meter before start",""),IF(L166="NO RATE","Missing equipment rate","")))</x:f>
      </x:c>
    </x:row>
    <x:row r="167" ht="20" customHeight="1">
      <x:c r="A167" s="15"/>
      <x:c r="B167" s="28"/>
      <x:c r="C167" s="15"/>
      <x:c r="D167" s="15"/>
      <x:c r="E167" s="15"/>
      <x:c r="F167" s="15"/>
      <x:c r="G167" s="138"/>
      <x:c r="H167" s="138"/>
      <x:c r="I167" s="138" t="str">
        <x:f>IF(OR(G167="",H167=""),"",MAX(0,H167-G167))</x:f>
      </x:c>
      <x:c r="J167" s="138"/>
      <x:c r="K167" s="138"/>
      <x:c r="L167" s="70" t="str">
        <x:f>IF(E167="","",IFERROR(INDEX('07_Equipment'!$G:$G,MATCH(E167,'07_Equipment'!$A:$A,0)),"NO RATE"))</x:f>
      </x:c>
      <x:c r="M167" s="70" t="str">
        <x:f>IF(OR(I167="",NOT(ISNUMBER(L167))),"",I167*L167)</x:f>
      </x:c>
      <x:c r="N167" s="15"/>
      <x:c r="O167" s="15" t="str">
        <x:f>IF(COUNTA(B167:H167,J167:K167,N167:N167)=0,"",TEXTJOIN("; ",TRUE,IF(B167="","Missing work date",""),IF(C167="","Missing project",""),IF(E167="","Missing equipment",""),IF(H167&lt;G167,"End meter before start",""),IF(L167="NO RATE","Missing equipment rate","")))</x:f>
      </x:c>
    </x:row>
    <x:row r="168" ht="20" customHeight="1">
      <x:c r="A168" s="15"/>
      <x:c r="B168" s="28"/>
      <x:c r="C168" s="15"/>
      <x:c r="D168" s="15"/>
      <x:c r="E168" s="15"/>
      <x:c r="F168" s="15"/>
      <x:c r="G168" s="138"/>
      <x:c r="H168" s="138"/>
      <x:c r="I168" s="138" t="str">
        <x:f>IF(OR(G168="",H168=""),"",MAX(0,H168-G168))</x:f>
      </x:c>
      <x:c r="J168" s="138"/>
      <x:c r="K168" s="138"/>
      <x:c r="L168" s="70" t="str">
        <x:f>IF(E168="","",IFERROR(INDEX('07_Equipment'!$G:$G,MATCH(E168,'07_Equipment'!$A:$A,0)),"NO RATE"))</x:f>
      </x:c>
      <x:c r="M168" s="70" t="str">
        <x:f>IF(OR(I168="",NOT(ISNUMBER(L168))),"",I168*L168)</x:f>
      </x:c>
      <x:c r="N168" s="15"/>
      <x:c r="O168" s="15" t="str">
        <x:f>IF(COUNTA(B168:H168,J168:K168,N168:N168)=0,"",TEXTJOIN("; ",TRUE,IF(B168="","Missing work date",""),IF(C168="","Missing project",""),IF(E168="","Missing equipment",""),IF(H168&lt;G168,"End meter before start",""),IF(L168="NO RATE","Missing equipment rate","")))</x:f>
      </x:c>
    </x:row>
    <x:row r="169" ht="20" customHeight="1">
      <x:c r="A169" s="15"/>
      <x:c r="B169" s="28"/>
      <x:c r="C169" s="15"/>
      <x:c r="D169" s="15"/>
      <x:c r="E169" s="15"/>
      <x:c r="F169" s="15"/>
      <x:c r="G169" s="138"/>
      <x:c r="H169" s="138"/>
      <x:c r="I169" s="138" t="str">
        <x:f>IF(OR(G169="",H169=""),"",MAX(0,H169-G169))</x:f>
      </x:c>
      <x:c r="J169" s="138"/>
      <x:c r="K169" s="138"/>
      <x:c r="L169" s="70" t="str">
        <x:f>IF(E169="","",IFERROR(INDEX('07_Equipment'!$G:$G,MATCH(E169,'07_Equipment'!$A:$A,0)),"NO RATE"))</x:f>
      </x:c>
      <x:c r="M169" s="70" t="str">
        <x:f>IF(OR(I169="",NOT(ISNUMBER(L169))),"",I169*L169)</x:f>
      </x:c>
      <x:c r="N169" s="15"/>
      <x:c r="O169" s="15" t="str">
        <x:f>IF(COUNTA(B169:H169,J169:K169,N169:N169)=0,"",TEXTJOIN("; ",TRUE,IF(B169="","Missing work date",""),IF(C169="","Missing project",""),IF(E169="","Missing equipment",""),IF(H169&lt;G169,"End meter before start",""),IF(L169="NO RATE","Missing equipment rate","")))</x:f>
      </x:c>
    </x:row>
    <x:row r="170" ht="20" customHeight="1">
      <x:c r="A170" s="15"/>
      <x:c r="B170" s="28"/>
      <x:c r="C170" s="15"/>
      <x:c r="D170" s="15"/>
      <x:c r="E170" s="15"/>
      <x:c r="F170" s="15"/>
      <x:c r="G170" s="138"/>
      <x:c r="H170" s="138"/>
      <x:c r="I170" s="138" t="str">
        <x:f>IF(OR(G170="",H170=""),"",MAX(0,H170-G170))</x:f>
      </x:c>
      <x:c r="J170" s="138"/>
      <x:c r="K170" s="138"/>
      <x:c r="L170" s="70" t="str">
        <x:f>IF(E170="","",IFERROR(INDEX('07_Equipment'!$G:$G,MATCH(E170,'07_Equipment'!$A:$A,0)),"NO RATE"))</x:f>
      </x:c>
      <x:c r="M170" s="70" t="str">
        <x:f>IF(OR(I170="",NOT(ISNUMBER(L170))),"",I170*L170)</x:f>
      </x:c>
      <x:c r="N170" s="15"/>
      <x:c r="O170" s="15" t="str">
        <x:f>IF(COUNTA(B170:H170,J170:K170,N170:N170)=0,"",TEXTJOIN("; ",TRUE,IF(B170="","Missing work date",""),IF(C170="","Missing project",""),IF(E170="","Missing equipment",""),IF(H170&lt;G170,"End meter before start",""),IF(L170="NO RATE","Missing equipment rate","")))</x:f>
      </x:c>
    </x:row>
    <x:row r="171" ht="20" customHeight="1">
      <x:c r="A171" s="15"/>
      <x:c r="B171" s="28"/>
      <x:c r="C171" s="15"/>
      <x:c r="D171" s="15"/>
      <x:c r="E171" s="15"/>
      <x:c r="F171" s="15"/>
      <x:c r="G171" s="138"/>
      <x:c r="H171" s="138"/>
      <x:c r="I171" s="138" t="str">
        <x:f>IF(OR(G171="",H171=""),"",MAX(0,H171-G171))</x:f>
      </x:c>
      <x:c r="J171" s="138"/>
      <x:c r="K171" s="138"/>
      <x:c r="L171" s="70" t="str">
        <x:f>IF(E171="","",IFERROR(INDEX('07_Equipment'!$G:$G,MATCH(E171,'07_Equipment'!$A:$A,0)),"NO RATE"))</x:f>
      </x:c>
      <x:c r="M171" s="70" t="str">
        <x:f>IF(OR(I171="",NOT(ISNUMBER(L171))),"",I171*L171)</x:f>
      </x:c>
      <x:c r="N171" s="15"/>
      <x:c r="O171" s="15" t="str">
        <x:f>IF(COUNTA(B171:H171,J171:K171,N171:N171)=0,"",TEXTJOIN("; ",TRUE,IF(B171="","Missing work date",""),IF(C171="","Missing project",""),IF(E171="","Missing equipment",""),IF(H171&lt;G171,"End meter before start",""),IF(L171="NO RATE","Missing equipment rate","")))</x:f>
      </x:c>
    </x:row>
    <x:row r="172" ht="20" customHeight="1">
      <x:c r="A172" s="15"/>
      <x:c r="B172" s="28"/>
      <x:c r="C172" s="15"/>
      <x:c r="D172" s="15"/>
      <x:c r="E172" s="15"/>
      <x:c r="F172" s="15"/>
      <x:c r="G172" s="138"/>
      <x:c r="H172" s="138"/>
      <x:c r="I172" s="138" t="str">
        <x:f>IF(OR(G172="",H172=""),"",MAX(0,H172-G172))</x:f>
      </x:c>
      <x:c r="J172" s="138"/>
      <x:c r="K172" s="138"/>
      <x:c r="L172" s="70" t="str">
        <x:f>IF(E172="","",IFERROR(INDEX('07_Equipment'!$G:$G,MATCH(E172,'07_Equipment'!$A:$A,0)),"NO RATE"))</x:f>
      </x:c>
      <x:c r="M172" s="70" t="str">
        <x:f>IF(OR(I172="",NOT(ISNUMBER(L172))),"",I172*L172)</x:f>
      </x:c>
      <x:c r="N172" s="15"/>
      <x:c r="O172" s="15" t="str">
        <x:f>IF(COUNTA(B172:H172,J172:K172,N172:N172)=0,"",TEXTJOIN("; ",TRUE,IF(B172="","Missing work date",""),IF(C172="","Missing project",""),IF(E172="","Missing equipment",""),IF(H172&lt;G172,"End meter before start",""),IF(L172="NO RATE","Missing equipment rate","")))</x:f>
      </x:c>
    </x:row>
    <x:row r="173" ht="20" customHeight="1">
      <x:c r="A173" s="15"/>
      <x:c r="B173" s="28"/>
      <x:c r="C173" s="15"/>
      <x:c r="D173" s="15"/>
      <x:c r="E173" s="15"/>
      <x:c r="F173" s="15"/>
      <x:c r="G173" s="138"/>
      <x:c r="H173" s="138"/>
      <x:c r="I173" s="138" t="str">
        <x:f>IF(OR(G173="",H173=""),"",MAX(0,H173-G173))</x:f>
      </x:c>
      <x:c r="J173" s="138"/>
      <x:c r="K173" s="138"/>
      <x:c r="L173" s="70" t="str">
        <x:f>IF(E173="","",IFERROR(INDEX('07_Equipment'!$G:$G,MATCH(E173,'07_Equipment'!$A:$A,0)),"NO RATE"))</x:f>
      </x:c>
      <x:c r="M173" s="70" t="str">
        <x:f>IF(OR(I173="",NOT(ISNUMBER(L173))),"",I173*L173)</x:f>
      </x:c>
      <x:c r="N173" s="15"/>
      <x:c r="O173" s="15" t="str">
        <x:f>IF(COUNTA(B173:H173,J173:K173,N173:N173)=0,"",TEXTJOIN("; ",TRUE,IF(B173="","Missing work date",""),IF(C173="","Missing project",""),IF(E173="","Missing equipment",""),IF(H173&lt;G173,"End meter before start",""),IF(L173="NO RATE","Missing equipment rate","")))</x:f>
      </x:c>
    </x:row>
    <x:row r="174" ht="20" customHeight="1">
      <x:c r="A174" s="15"/>
      <x:c r="B174" s="28"/>
      <x:c r="C174" s="15"/>
      <x:c r="D174" s="15"/>
      <x:c r="E174" s="15"/>
      <x:c r="F174" s="15"/>
      <x:c r="G174" s="138"/>
      <x:c r="H174" s="138"/>
      <x:c r="I174" s="138" t="str">
        <x:f>IF(OR(G174="",H174=""),"",MAX(0,H174-G174))</x:f>
      </x:c>
      <x:c r="J174" s="138"/>
      <x:c r="K174" s="138"/>
      <x:c r="L174" s="70" t="str">
        <x:f>IF(E174="","",IFERROR(INDEX('07_Equipment'!$G:$G,MATCH(E174,'07_Equipment'!$A:$A,0)),"NO RATE"))</x:f>
      </x:c>
      <x:c r="M174" s="70" t="str">
        <x:f>IF(OR(I174="",NOT(ISNUMBER(L174))),"",I174*L174)</x:f>
      </x:c>
      <x:c r="N174" s="15"/>
      <x:c r="O174" s="15" t="str">
        <x:f>IF(COUNTA(B174:H174,J174:K174,N174:N174)=0,"",TEXTJOIN("; ",TRUE,IF(B174="","Missing work date",""),IF(C174="","Missing project",""),IF(E174="","Missing equipment",""),IF(H174&lt;G174,"End meter before start",""),IF(L174="NO RATE","Missing equipment rate","")))</x:f>
      </x:c>
    </x:row>
    <x:row r="175" ht="20" customHeight="1">
      <x:c r="A175" s="15"/>
      <x:c r="B175" s="28"/>
      <x:c r="C175" s="15"/>
      <x:c r="D175" s="15"/>
      <x:c r="E175" s="15"/>
      <x:c r="F175" s="15"/>
      <x:c r="G175" s="138"/>
      <x:c r="H175" s="138"/>
      <x:c r="I175" s="138" t="str">
        <x:f>IF(OR(G175="",H175=""),"",MAX(0,H175-G175))</x:f>
      </x:c>
      <x:c r="J175" s="138"/>
      <x:c r="K175" s="138"/>
      <x:c r="L175" s="70" t="str">
        <x:f>IF(E175="","",IFERROR(INDEX('07_Equipment'!$G:$G,MATCH(E175,'07_Equipment'!$A:$A,0)),"NO RATE"))</x:f>
      </x:c>
      <x:c r="M175" s="70" t="str">
        <x:f>IF(OR(I175="",NOT(ISNUMBER(L175))),"",I175*L175)</x:f>
      </x:c>
      <x:c r="N175" s="15"/>
      <x:c r="O175" s="15" t="str">
        <x:f>IF(COUNTA(B175:H175,J175:K175,N175:N175)=0,"",TEXTJOIN("; ",TRUE,IF(B175="","Missing work date",""),IF(C175="","Missing project",""),IF(E175="","Missing equipment",""),IF(H175&lt;G175,"End meter before start",""),IF(L175="NO RATE","Missing equipment rate","")))</x:f>
      </x:c>
    </x:row>
    <x:row r="176" ht="20" customHeight="1">
      <x:c r="A176" s="15"/>
      <x:c r="B176" s="28"/>
      <x:c r="C176" s="15"/>
      <x:c r="D176" s="15"/>
      <x:c r="E176" s="15"/>
      <x:c r="F176" s="15"/>
      <x:c r="G176" s="138"/>
      <x:c r="H176" s="138"/>
      <x:c r="I176" s="138" t="str">
        <x:f>IF(OR(G176="",H176=""),"",MAX(0,H176-G176))</x:f>
      </x:c>
      <x:c r="J176" s="138"/>
      <x:c r="K176" s="138"/>
      <x:c r="L176" s="70" t="str">
        <x:f>IF(E176="","",IFERROR(INDEX('07_Equipment'!$G:$G,MATCH(E176,'07_Equipment'!$A:$A,0)),"NO RATE"))</x:f>
      </x:c>
      <x:c r="M176" s="70" t="str">
        <x:f>IF(OR(I176="",NOT(ISNUMBER(L176))),"",I176*L176)</x:f>
      </x:c>
      <x:c r="N176" s="15"/>
      <x:c r="O176" s="15" t="str">
        <x:f>IF(COUNTA(B176:H176,J176:K176,N176:N176)=0,"",TEXTJOIN("; ",TRUE,IF(B176="","Missing work date",""),IF(C176="","Missing project",""),IF(E176="","Missing equipment",""),IF(H176&lt;G176,"End meter before start",""),IF(L176="NO RATE","Missing equipment rate","")))</x:f>
      </x:c>
    </x:row>
    <x:row r="177" ht="20" customHeight="1">
      <x:c r="A177" s="15"/>
      <x:c r="B177" s="28"/>
      <x:c r="C177" s="15"/>
      <x:c r="D177" s="15"/>
      <x:c r="E177" s="15"/>
      <x:c r="F177" s="15"/>
      <x:c r="G177" s="138"/>
      <x:c r="H177" s="138"/>
      <x:c r="I177" s="138" t="str">
        <x:f>IF(OR(G177="",H177=""),"",MAX(0,H177-G177))</x:f>
      </x:c>
      <x:c r="J177" s="138"/>
      <x:c r="K177" s="138"/>
      <x:c r="L177" s="70" t="str">
        <x:f>IF(E177="","",IFERROR(INDEX('07_Equipment'!$G:$G,MATCH(E177,'07_Equipment'!$A:$A,0)),"NO RATE"))</x:f>
      </x:c>
      <x:c r="M177" s="70" t="str">
        <x:f>IF(OR(I177="",NOT(ISNUMBER(L177))),"",I177*L177)</x:f>
      </x:c>
      <x:c r="N177" s="15"/>
      <x:c r="O177" s="15" t="str">
        <x:f>IF(COUNTA(B177:H177,J177:K177,N177:N177)=0,"",TEXTJOIN("; ",TRUE,IF(B177="","Missing work date",""),IF(C177="","Missing project",""),IF(E177="","Missing equipment",""),IF(H177&lt;G177,"End meter before start",""),IF(L177="NO RATE","Missing equipment rate","")))</x:f>
      </x:c>
    </x:row>
    <x:row r="178" ht="20" customHeight="1">
      <x:c r="A178" s="15"/>
      <x:c r="B178" s="28"/>
      <x:c r="C178" s="15"/>
      <x:c r="D178" s="15"/>
      <x:c r="E178" s="15"/>
      <x:c r="F178" s="15"/>
      <x:c r="G178" s="138"/>
      <x:c r="H178" s="138"/>
      <x:c r="I178" s="138" t="str">
        <x:f>IF(OR(G178="",H178=""),"",MAX(0,H178-G178))</x:f>
      </x:c>
      <x:c r="J178" s="138"/>
      <x:c r="K178" s="138"/>
      <x:c r="L178" s="70" t="str">
        <x:f>IF(E178="","",IFERROR(INDEX('07_Equipment'!$G:$G,MATCH(E178,'07_Equipment'!$A:$A,0)),"NO RATE"))</x:f>
      </x:c>
      <x:c r="M178" s="70" t="str">
        <x:f>IF(OR(I178="",NOT(ISNUMBER(L178))),"",I178*L178)</x:f>
      </x:c>
      <x:c r="N178" s="15"/>
      <x:c r="O178" s="15" t="str">
        <x:f>IF(COUNTA(B178:H178,J178:K178,N178:N178)=0,"",TEXTJOIN("; ",TRUE,IF(B178="","Missing work date",""),IF(C178="","Missing project",""),IF(E178="","Missing equipment",""),IF(H178&lt;G178,"End meter before start",""),IF(L178="NO RATE","Missing equipment rate","")))</x:f>
      </x:c>
    </x:row>
    <x:row r="179" ht="20" customHeight="1">
      <x:c r="A179" s="15"/>
      <x:c r="B179" s="28"/>
      <x:c r="C179" s="15"/>
      <x:c r="D179" s="15"/>
      <x:c r="E179" s="15"/>
      <x:c r="F179" s="15"/>
      <x:c r="G179" s="138"/>
      <x:c r="H179" s="138"/>
      <x:c r="I179" s="138" t="str">
        <x:f>IF(OR(G179="",H179=""),"",MAX(0,H179-G179))</x:f>
      </x:c>
      <x:c r="J179" s="138"/>
      <x:c r="K179" s="138"/>
      <x:c r="L179" s="70" t="str">
        <x:f>IF(E179="","",IFERROR(INDEX('07_Equipment'!$G:$G,MATCH(E179,'07_Equipment'!$A:$A,0)),"NO RATE"))</x:f>
      </x:c>
      <x:c r="M179" s="70" t="str">
        <x:f>IF(OR(I179="",NOT(ISNUMBER(L179))),"",I179*L179)</x:f>
      </x:c>
      <x:c r="N179" s="15"/>
      <x:c r="O179" s="15" t="str">
        <x:f>IF(COUNTA(B179:H179,J179:K179,N179:N179)=0,"",TEXTJOIN("; ",TRUE,IF(B179="","Missing work date",""),IF(C179="","Missing project",""),IF(E179="","Missing equipment",""),IF(H179&lt;G179,"End meter before start",""),IF(L179="NO RATE","Missing equipment rate","")))</x:f>
      </x:c>
    </x:row>
    <x:row r="180" ht="20" customHeight="1">
      <x:c r="A180" s="15"/>
      <x:c r="B180" s="28"/>
      <x:c r="C180" s="15"/>
      <x:c r="D180" s="15"/>
      <x:c r="E180" s="15"/>
      <x:c r="F180" s="15"/>
      <x:c r="G180" s="138"/>
      <x:c r="H180" s="138"/>
      <x:c r="I180" s="138" t="str">
        <x:f>IF(OR(G180="",H180=""),"",MAX(0,H180-G180))</x:f>
      </x:c>
      <x:c r="J180" s="138"/>
      <x:c r="K180" s="138"/>
      <x:c r="L180" s="70" t="str">
        <x:f>IF(E180="","",IFERROR(INDEX('07_Equipment'!$G:$G,MATCH(E180,'07_Equipment'!$A:$A,0)),"NO RATE"))</x:f>
      </x:c>
      <x:c r="M180" s="70" t="str">
        <x:f>IF(OR(I180="",NOT(ISNUMBER(L180))),"",I180*L180)</x:f>
      </x:c>
      <x:c r="N180" s="15"/>
      <x:c r="O180" s="15" t="str">
        <x:f>IF(COUNTA(B180:H180,J180:K180,N180:N180)=0,"",TEXTJOIN("; ",TRUE,IF(B180="","Missing work date",""),IF(C180="","Missing project",""),IF(E180="","Missing equipment",""),IF(H180&lt;G180,"End meter before start",""),IF(L180="NO RATE","Missing equipment rate","")))</x:f>
      </x:c>
    </x:row>
    <x:row r="181" ht="20" customHeight="1">
      <x:c r="A181" s="15"/>
      <x:c r="B181" s="28"/>
      <x:c r="C181" s="15"/>
      <x:c r="D181" s="15"/>
      <x:c r="E181" s="15"/>
      <x:c r="F181" s="15"/>
      <x:c r="G181" s="138"/>
      <x:c r="H181" s="138"/>
      <x:c r="I181" s="138" t="str">
        <x:f>IF(OR(G181="",H181=""),"",MAX(0,H181-G181))</x:f>
      </x:c>
      <x:c r="J181" s="138"/>
      <x:c r="K181" s="138"/>
      <x:c r="L181" s="70" t="str">
        <x:f>IF(E181="","",IFERROR(INDEX('07_Equipment'!$G:$G,MATCH(E181,'07_Equipment'!$A:$A,0)),"NO RATE"))</x:f>
      </x:c>
      <x:c r="M181" s="70" t="str">
        <x:f>IF(OR(I181="",NOT(ISNUMBER(L181))),"",I181*L181)</x:f>
      </x:c>
      <x:c r="N181" s="15"/>
      <x:c r="O181" s="15" t="str">
        <x:f>IF(COUNTA(B181:H181,J181:K181,N181:N181)=0,"",TEXTJOIN("; ",TRUE,IF(B181="","Missing work date",""),IF(C181="","Missing project",""),IF(E181="","Missing equipment",""),IF(H181&lt;G181,"End meter before start",""),IF(L181="NO RATE","Missing equipment rate","")))</x:f>
      </x:c>
    </x:row>
    <x:row r="182" ht="20" customHeight="1">
      <x:c r="A182" s="15"/>
      <x:c r="B182" s="28"/>
      <x:c r="C182" s="15"/>
      <x:c r="D182" s="15"/>
      <x:c r="E182" s="15"/>
      <x:c r="F182" s="15"/>
      <x:c r="G182" s="138"/>
      <x:c r="H182" s="138"/>
      <x:c r="I182" s="138" t="str">
        <x:f>IF(OR(G182="",H182=""),"",MAX(0,H182-G182))</x:f>
      </x:c>
      <x:c r="J182" s="138"/>
      <x:c r="K182" s="138"/>
      <x:c r="L182" s="70" t="str">
        <x:f>IF(E182="","",IFERROR(INDEX('07_Equipment'!$G:$G,MATCH(E182,'07_Equipment'!$A:$A,0)),"NO RATE"))</x:f>
      </x:c>
      <x:c r="M182" s="70" t="str">
        <x:f>IF(OR(I182="",NOT(ISNUMBER(L182))),"",I182*L182)</x:f>
      </x:c>
      <x:c r="N182" s="15"/>
      <x:c r="O182" s="15" t="str">
        <x:f>IF(COUNTA(B182:H182,J182:K182,N182:N182)=0,"",TEXTJOIN("; ",TRUE,IF(B182="","Missing work date",""),IF(C182="","Missing project",""),IF(E182="","Missing equipment",""),IF(H182&lt;G182,"End meter before start",""),IF(L182="NO RATE","Missing equipment rate","")))</x:f>
      </x:c>
    </x:row>
    <x:row r="183" ht="20" customHeight="1">
      <x:c r="A183" s="15"/>
      <x:c r="B183" s="28"/>
      <x:c r="C183" s="15"/>
      <x:c r="D183" s="15"/>
      <x:c r="E183" s="15"/>
      <x:c r="F183" s="15"/>
      <x:c r="G183" s="138"/>
      <x:c r="H183" s="138"/>
      <x:c r="I183" s="138" t="str">
        <x:f>IF(OR(G183="",H183=""),"",MAX(0,H183-G183))</x:f>
      </x:c>
      <x:c r="J183" s="138"/>
      <x:c r="K183" s="138"/>
      <x:c r="L183" s="70" t="str">
        <x:f>IF(E183="","",IFERROR(INDEX('07_Equipment'!$G:$G,MATCH(E183,'07_Equipment'!$A:$A,0)),"NO RATE"))</x:f>
      </x:c>
      <x:c r="M183" s="70" t="str">
        <x:f>IF(OR(I183="",NOT(ISNUMBER(L183))),"",I183*L183)</x:f>
      </x:c>
      <x:c r="N183" s="15"/>
      <x:c r="O183" s="15" t="str">
        <x:f>IF(COUNTA(B183:H183,J183:K183,N183:N183)=0,"",TEXTJOIN("; ",TRUE,IF(B183="","Missing work date",""),IF(C183="","Missing project",""),IF(E183="","Missing equipment",""),IF(H183&lt;G183,"End meter before start",""),IF(L183="NO RATE","Missing equipment rate","")))</x:f>
      </x:c>
    </x:row>
    <x:row r="184" ht="20" customHeight="1">
      <x:c r="A184" s="15"/>
      <x:c r="B184" s="28"/>
      <x:c r="C184" s="15"/>
      <x:c r="D184" s="15"/>
      <x:c r="E184" s="15"/>
      <x:c r="F184" s="15"/>
      <x:c r="G184" s="138"/>
      <x:c r="H184" s="138"/>
      <x:c r="I184" s="138" t="str">
        <x:f>IF(OR(G184="",H184=""),"",MAX(0,H184-G184))</x:f>
      </x:c>
      <x:c r="J184" s="138"/>
      <x:c r="K184" s="138"/>
      <x:c r="L184" s="70" t="str">
        <x:f>IF(E184="","",IFERROR(INDEX('07_Equipment'!$G:$G,MATCH(E184,'07_Equipment'!$A:$A,0)),"NO RATE"))</x:f>
      </x:c>
      <x:c r="M184" s="70" t="str">
        <x:f>IF(OR(I184="",NOT(ISNUMBER(L184))),"",I184*L184)</x:f>
      </x:c>
      <x:c r="N184" s="15"/>
      <x:c r="O184" s="15" t="str">
        <x:f>IF(COUNTA(B184:H184,J184:K184,N184:N184)=0,"",TEXTJOIN("; ",TRUE,IF(B184="","Missing work date",""),IF(C184="","Missing project",""),IF(E184="","Missing equipment",""),IF(H184&lt;G184,"End meter before start",""),IF(L184="NO RATE","Missing equipment rate","")))</x:f>
      </x:c>
    </x:row>
    <x:row r="185" ht="20" customHeight="1">
      <x:c r="A185" s="15"/>
      <x:c r="B185" s="28"/>
      <x:c r="C185" s="15"/>
      <x:c r="D185" s="15"/>
      <x:c r="E185" s="15"/>
      <x:c r="F185" s="15"/>
      <x:c r="G185" s="138"/>
      <x:c r="H185" s="138"/>
      <x:c r="I185" s="138" t="str">
        <x:f>IF(OR(G185="",H185=""),"",MAX(0,H185-G185))</x:f>
      </x:c>
      <x:c r="J185" s="138"/>
      <x:c r="K185" s="138"/>
      <x:c r="L185" s="70" t="str">
        <x:f>IF(E185="","",IFERROR(INDEX('07_Equipment'!$G:$G,MATCH(E185,'07_Equipment'!$A:$A,0)),"NO RATE"))</x:f>
      </x:c>
      <x:c r="M185" s="70" t="str">
        <x:f>IF(OR(I185="",NOT(ISNUMBER(L185))),"",I185*L185)</x:f>
      </x:c>
      <x:c r="N185" s="15"/>
      <x:c r="O185" s="15" t="str">
        <x:f>IF(COUNTA(B185:H185,J185:K185,N185:N185)=0,"",TEXTJOIN("; ",TRUE,IF(B185="","Missing work date",""),IF(C185="","Missing project",""),IF(E185="","Missing equipment",""),IF(H185&lt;G185,"End meter before start",""),IF(L185="NO RATE","Missing equipment rate","")))</x:f>
      </x:c>
    </x:row>
    <x:row r="186" ht="20" customHeight="1">
      <x:c r="A186" s="15"/>
      <x:c r="B186" s="28"/>
      <x:c r="C186" s="15"/>
      <x:c r="D186" s="15"/>
      <x:c r="E186" s="15"/>
      <x:c r="F186" s="15"/>
      <x:c r="G186" s="138"/>
      <x:c r="H186" s="138"/>
      <x:c r="I186" s="138" t="str">
        <x:f>IF(OR(G186="",H186=""),"",MAX(0,H186-G186))</x:f>
      </x:c>
      <x:c r="J186" s="138"/>
      <x:c r="K186" s="138"/>
      <x:c r="L186" s="70" t="str">
        <x:f>IF(E186="","",IFERROR(INDEX('07_Equipment'!$G:$G,MATCH(E186,'07_Equipment'!$A:$A,0)),"NO RATE"))</x:f>
      </x:c>
      <x:c r="M186" s="70" t="str">
        <x:f>IF(OR(I186="",NOT(ISNUMBER(L186))),"",I186*L186)</x:f>
      </x:c>
      <x:c r="N186" s="15"/>
      <x:c r="O186" s="15" t="str">
        <x:f>IF(COUNTA(B186:H186,J186:K186,N186:N186)=0,"",TEXTJOIN("; ",TRUE,IF(B186="","Missing work date",""),IF(C186="","Missing project",""),IF(E186="","Missing equipment",""),IF(H186&lt;G186,"End meter before start",""),IF(L186="NO RATE","Missing equipment rate","")))</x:f>
      </x:c>
    </x:row>
    <x:row r="187" ht="20" customHeight="1">
      <x:c r="A187" s="15"/>
      <x:c r="B187" s="28"/>
      <x:c r="C187" s="15"/>
      <x:c r="D187" s="15"/>
      <x:c r="E187" s="15"/>
      <x:c r="F187" s="15"/>
      <x:c r="G187" s="138"/>
      <x:c r="H187" s="138"/>
      <x:c r="I187" s="138" t="str">
        <x:f>IF(OR(G187="",H187=""),"",MAX(0,H187-G187))</x:f>
      </x:c>
      <x:c r="J187" s="138"/>
      <x:c r="K187" s="138"/>
      <x:c r="L187" s="70" t="str">
        <x:f>IF(E187="","",IFERROR(INDEX('07_Equipment'!$G:$G,MATCH(E187,'07_Equipment'!$A:$A,0)),"NO RATE"))</x:f>
      </x:c>
      <x:c r="M187" s="70" t="str">
        <x:f>IF(OR(I187="",NOT(ISNUMBER(L187))),"",I187*L187)</x:f>
      </x:c>
      <x:c r="N187" s="15"/>
      <x:c r="O187" s="15" t="str">
        <x:f>IF(COUNTA(B187:H187,J187:K187,N187:N187)=0,"",TEXTJOIN("; ",TRUE,IF(B187="","Missing work date",""),IF(C187="","Missing project",""),IF(E187="","Missing equipment",""),IF(H187&lt;G187,"End meter before start",""),IF(L187="NO RATE","Missing equipment rate","")))</x:f>
      </x:c>
    </x:row>
    <x:row r="188" ht="20" customHeight="1">
      <x:c r="A188" s="15"/>
      <x:c r="B188" s="28"/>
      <x:c r="C188" s="15"/>
      <x:c r="D188" s="15"/>
      <x:c r="E188" s="15"/>
      <x:c r="F188" s="15"/>
      <x:c r="G188" s="138"/>
      <x:c r="H188" s="138"/>
      <x:c r="I188" s="138" t="str">
        <x:f>IF(OR(G188="",H188=""),"",MAX(0,H188-G188))</x:f>
      </x:c>
      <x:c r="J188" s="138"/>
      <x:c r="K188" s="138"/>
      <x:c r="L188" s="70" t="str">
        <x:f>IF(E188="","",IFERROR(INDEX('07_Equipment'!$G:$G,MATCH(E188,'07_Equipment'!$A:$A,0)),"NO RATE"))</x:f>
      </x:c>
      <x:c r="M188" s="70" t="str">
        <x:f>IF(OR(I188="",NOT(ISNUMBER(L188))),"",I188*L188)</x:f>
      </x:c>
      <x:c r="N188" s="15"/>
      <x:c r="O188" s="15" t="str">
        <x:f>IF(COUNTA(B188:H188,J188:K188,N188:N188)=0,"",TEXTJOIN("; ",TRUE,IF(B188="","Missing work date",""),IF(C188="","Missing project",""),IF(E188="","Missing equipment",""),IF(H188&lt;G188,"End meter before start",""),IF(L188="NO RATE","Missing equipment rate","")))</x:f>
      </x:c>
    </x:row>
    <x:row r="189" ht="20" customHeight="1">
      <x:c r="A189" s="15"/>
      <x:c r="B189" s="28"/>
      <x:c r="C189" s="15"/>
      <x:c r="D189" s="15"/>
      <x:c r="E189" s="15"/>
      <x:c r="F189" s="15"/>
      <x:c r="G189" s="138"/>
      <x:c r="H189" s="138"/>
      <x:c r="I189" s="138" t="str">
        <x:f>IF(OR(G189="",H189=""),"",MAX(0,H189-G189))</x:f>
      </x:c>
      <x:c r="J189" s="138"/>
      <x:c r="K189" s="138"/>
      <x:c r="L189" s="70" t="str">
        <x:f>IF(E189="","",IFERROR(INDEX('07_Equipment'!$G:$G,MATCH(E189,'07_Equipment'!$A:$A,0)),"NO RATE"))</x:f>
      </x:c>
      <x:c r="M189" s="70" t="str">
        <x:f>IF(OR(I189="",NOT(ISNUMBER(L189))),"",I189*L189)</x:f>
      </x:c>
      <x:c r="N189" s="15"/>
      <x:c r="O189" s="15" t="str">
        <x:f>IF(COUNTA(B189:H189,J189:K189,N189:N189)=0,"",TEXTJOIN("; ",TRUE,IF(B189="","Missing work date",""),IF(C189="","Missing project",""),IF(E189="","Missing equipment",""),IF(H189&lt;G189,"End meter before start",""),IF(L189="NO RATE","Missing equipment rate","")))</x:f>
      </x:c>
    </x:row>
    <x:row r="190" ht="20" customHeight="1">
      <x:c r="A190" s="15"/>
      <x:c r="B190" s="28"/>
      <x:c r="C190" s="15"/>
      <x:c r="D190" s="15"/>
      <x:c r="E190" s="15"/>
      <x:c r="F190" s="15"/>
      <x:c r="G190" s="138"/>
      <x:c r="H190" s="138"/>
      <x:c r="I190" s="138" t="str">
        <x:f>IF(OR(G190="",H190=""),"",MAX(0,H190-G190))</x:f>
      </x:c>
      <x:c r="J190" s="138"/>
      <x:c r="K190" s="138"/>
      <x:c r="L190" s="70" t="str">
        <x:f>IF(E190="","",IFERROR(INDEX('07_Equipment'!$G:$G,MATCH(E190,'07_Equipment'!$A:$A,0)),"NO RATE"))</x:f>
      </x:c>
      <x:c r="M190" s="70" t="str">
        <x:f>IF(OR(I190="",NOT(ISNUMBER(L190))),"",I190*L190)</x:f>
      </x:c>
      <x:c r="N190" s="15"/>
      <x:c r="O190" s="15" t="str">
        <x:f>IF(COUNTA(B190:H190,J190:K190,N190:N190)=0,"",TEXTJOIN("; ",TRUE,IF(B190="","Missing work date",""),IF(C190="","Missing project",""),IF(E190="","Missing equipment",""),IF(H190&lt;G190,"End meter before start",""),IF(L190="NO RATE","Missing equipment rate","")))</x:f>
      </x:c>
    </x:row>
    <x:row r="191" ht="20" customHeight="1">
      <x:c r="A191" s="15"/>
      <x:c r="B191" s="28"/>
      <x:c r="C191" s="15"/>
      <x:c r="D191" s="15"/>
      <x:c r="E191" s="15"/>
      <x:c r="F191" s="15"/>
      <x:c r="G191" s="138"/>
      <x:c r="H191" s="138"/>
      <x:c r="I191" s="138" t="str">
        <x:f>IF(OR(G191="",H191=""),"",MAX(0,H191-G191))</x:f>
      </x:c>
      <x:c r="J191" s="138"/>
      <x:c r="K191" s="138"/>
      <x:c r="L191" s="70" t="str">
        <x:f>IF(E191="","",IFERROR(INDEX('07_Equipment'!$G:$G,MATCH(E191,'07_Equipment'!$A:$A,0)),"NO RATE"))</x:f>
      </x:c>
      <x:c r="M191" s="70" t="str">
        <x:f>IF(OR(I191="",NOT(ISNUMBER(L191))),"",I191*L191)</x:f>
      </x:c>
      <x:c r="N191" s="15"/>
      <x:c r="O191" s="15" t="str">
        <x:f>IF(COUNTA(B191:H191,J191:K191,N191:N191)=0,"",TEXTJOIN("; ",TRUE,IF(B191="","Missing work date",""),IF(C191="","Missing project",""),IF(E191="","Missing equipment",""),IF(H191&lt;G191,"End meter before start",""),IF(L191="NO RATE","Missing equipment rate","")))</x:f>
      </x:c>
    </x:row>
    <x:row r="192" ht="20" customHeight="1">
      <x:c r="A192" s="15"/>
      <x:c r="B192" s="28"/>
      <x:c r="C192" s="15"/>
      <x:c r="D192" s="15"/>
      <x:c r="E192" s="15"/>
      <x:c r="F192" s="15"/>
      <x:c r="G192" s="138"/>
      <x:c r="H192" s="138"/>
      <x:c r="I192" s="138" t="str">
        <x:f>IF(OR(G192="",H192=""),"",MAX(0,H192-G192))</x:f>
      </x:c>
      <x:c r="J192" s="138"/>
      <x:c r="K192" s="138"/>
      <x:c r="L192" s="70" t="str">
        <x:f>IF(E192="","",IFERROR(INDEX('07_Equipment'!$G:$G,MATCH(E192,'07_Equipment'!$A:$A,0)),"NO RATE"))</x:f>
      </x:c>
      <x:c r="M192" s="70" t="str">
        <x:f>IF(OR(I192="",NOT(ISNUMBER(L192))),"",I192*L192)</x:f>
      </x:c>
      <x:c r="N192" s="15"/>
      <x:c r="O192" s="15" t="str">
        <x:f>IF(COUNTA(B192:H192,J192:K192,N192:N192)=0,"",TEXTJOIN("; ",TRUE,IF(B192="","Missing work date",""),IF(C192="","Missing project",""),IF(E192="","Missing equipment",""),IF(H192&lt;G192,"End meter before start",""),IF(L192="NO RATE","Missing equipment rate","")))</x:f>
      </x:c>
    </x:row>
    <x:row r="193" ht="20" customHeight="1">
      <x:c r="A193" s="15"/>
      <x:c r="B193" s="28"/>
      <x:c r="C193" s="15"/>
      <x:c r="D193" s="15"/>
      <x:c r="E193" s="15"/>
      <x:c r="F193" s="15"/>
      <x:c r="G193" s="138"/>
      <x:c r="H193" s="138"/>
      <x:c r="I193" s="138" t="str">
        <x:f>IF(OR(G193="",H193=""),"",MAX(0,H193-G193))</x:f>
      </x:c>
      <x:c r="J193" s="138"/>
      <x:c r="K193" s="138"/>
      <x:c r="L193" s="70" t="str">
        <x:f>IF(E193="","",IFERROR(INDEX('07_Equipment'!$G:$G,MATCH(E193,'07_Equipment'!$A:$A,0)),"NO RATE"))</x:f>
      </x:c>
      <x:c r="M193" s="70" t="str">
        <x:f>IF(OR(I193="",NOT(ISNUMBER(L193))),"",I193*L193)</x:f>
      </x:c>
      <x:c r="N193" s="15"/>
      <x:c r="O193" s="15" t="str">
        <x:f>IF(COUNTA(B193:H193,J193:K193,N193:N193)=0,"",TEXTJOIN("; ",TRUE,IF(B193="","Missing work date",""),IF(C193="","Missing project",""),IF(E193="","Missing equipment",""),IF(H193&lt;G193,"End meter before start",""),IF(L193="NO RATE","Missing equipment rate","")))</x:f>
      </x:c>
    </x:row>
    <x:row r="194" ht="20" customHeight="1">
      <x:c r="A194" s="15"/>
      <x:c r="B194" s="28"/>
      <x:c r="C194" s="15"/>
      <x:c r="D194" s="15"/>
      <x:c r="E194" s="15"/>
      <x:c r="F194" s="15"/>
      <x:c r="G194" s="138"/>
      <x:c r="H194" s="138"/>
      <x:c r="I194" s="138" t="str">
        <x:f>IF(OR(G194="",H194=""),"",MAX(0,H194-G194))</x:f>
      </x:c>
      <x:c r="J194" s="138"/>
      <x:c r="K194" s="138"/>
      <x:c r="L194" s="70" t="str">
        <x:f>IF(E194="","",IFERROR(INDEX('07_Equipment'!$G:$G,MATCH(E194,'07_Equipment'!$A:$A,0)),"NO RATE"))</x:f>
      </x:c>
      <x:c r="M194" s="70" t="str">
        <x:f>IF(OR(I194="",NOT(ISNUMBER(L194))),"",I194*L194)</x:f>
      </x:c>
      <x:c r="N194" s="15"/>
      <x:c r="O194" s="15" t="str">
        <x:f>IF(COUNTA(B194:H194,J194:K194,N194:N194)=0,"",TEXTJOIN("; ",TRUE,IF(B194="","Missing work date",""),IF(C194="","Missing project",""),IF(E194="","Missing equipment",""),IF(H194&lt;G194,"End meter before start",""),IF(L194="NO RATE","Missing equipment rate","")))</x:f>
      </x:c>
    </x:row>
    <x:row r="195" ht="20" customHeight="1">
      <x:c r="A195" s="15"/>
      <x:c r="B195" s="28"/>
      <x:c r="C195" s="15"/>
      <x:c r="D195" s="15"/>
      <x:c r="E195" s="15"/>
      <x:c r="F195" s="15"/>
      <x:c r="G195" s="138"/>
      <x:c r="H195" s="138"/>
      <x:c r="I195" s="138" t="str">
        <x:f>IF(OR(G195="",H195=""),"",MAX(0,H195-G195))</x:f>
      </x:c>
      <x:c r="J195" s="138"/>
      <x:c r="K195" s="138"/>
      <x:c r="L195" s="70" t="str">
        <x:f>IF(E195="","",IFERROR(INDEX('07_Equipment'!$G:$G,MATCH(E195,'07_Equipment'!$A:$A,0)),"NO RATE"))</x:f>
      </x:c>
      <x:c r="M195" s="70" t="str">
        <x:f>IF(OR(I195="",NOT(ISNUMBER(L195))),"",I195*L195)</x:f>
      </x:c>
      <x:c r="N195" s="15"/>
      <x:c r="O195" s="15" t="str">
        <x:f>IF(COUNTA(B195:H195,J195:K195,N195:N195)=0,"",TEXTJOIN("; ",TRUE,IF(B195="","Missing work date",""),IF(C195="","Missing project",""),IF(E195="","Missing equipment",""),IF(H195&lt;G195,"End meter before start",""),IF(L195="NO RATE","Missing equipment rate","")))</x:f>
      </x:c>
    </x:row>
    <x:row r="196" ht="20" customHeight="1">
      <x:c r="A196" s="15"/>
      <x:c r="B196" s="28"/>
      <x:c r="C196" s="15"/>
      <x:c r="D196" s="15"/>
      <x:c r="E196" s="15"/>
      <x:c r="F196" s="15"/>
      <x:c r="G196" s="138"/>
      <x:c r="H196" s="138"/>
      <x:c r="I196" s="138" t="str">
        <x:f>IF(OR(G196="",H196=""),"",MAX(0,H196-G196))</x:f>
      </x:c>
      <x:c r="J196" s="138"/>
      <x:c r="K196" s="138"/>
      <x:c r="L196" s="70" t="str">
        <x:f>IF(E196="","",IFERROR(INDEX('07_Equipment'!$G:$G,MATCH(E196,'07_Equipment'!$A:$A,0)),"NO RATE"))</x:f>
      </x:c>
      <x:c r="M196" s="70" t="str">
        <x:f>IF(OR(I196="",NOT(ISNUMBER(L196))),"",I196*L196)</x:f>
      </x:c>
      <x:c r="N196" s="15"/>
      <x:c r="O196" s="15" t="str">
        <x:f>IF(COUNTA(B196:H196,J196:K196,N196:N196)=0,"",TEXTJOIN("; ",TRUE,IF(B196="","Missing work date",""),IF(C196="","Missing project",""),IF(E196="","Missing equipment",""),IF(H196&lt;G196,"End meter before start",""),IF(L196="NO RATE","Missing equipment rate","")))</x:f>
      </x:c>
    </x:row>
    <x:row r="197" ht="20" customHeight="1">
      <x:c r="A197" s="15"/>
      <x:c r="B197" s="28"/>
      <x:c r="C197" s="15"/>
      <x:c r="D197" s="15"/>
      <x:c r="E197" s="15"/>
      <x:c r="F197" s="15"/>
      <x:c r="G197" s="138"/>
      <x:c r="H197" s="138"/>
      <x:c r="I197" s="138" t="str">
        <x:f>IF(OR(G197="",H197=""),"",MAX(0,H197-G197))</x:f>
      </x:c>
      <x:c r="J197" s="138"/>
      <x:c r="K197" s="138"/>
      <x:c r="L197" s="70" t="str">
        <x:f>IF(E197="","",IFERROR(INDEX('07_Equipment'!$G:$G,MATCH(E197,'07_Equipment'!$A:$A,0)),"NO RATE"))</x:f>
      </x:c>
      <x:c r="M197" s="70" t="str">
        <x:f>IF(OR(I197="",NOT(ISNUMBER(L197))),"",I197*L197)</x:f>
      </x:c>
      <x:c r="N197" s="15"/>
      <x:c r="O197" s="15" t="str">
        <x:f>IF(COUNTA(B197:H197,J197:K197,N197:N197)=0,"",TEXTJOIN("; ",TRUE,IF(B197="","Missing work date",""),IF(C197="","Missing project",""),IF(E197="","Missing equipment",""),IF(H197&lt;G197,"End meter before start",""),IF(L197="NO RATE","Missing equipment rate","")))</x:f>
      </x:c>
    </x:row>
    <x:row r="198" ht="20" customHeight="1">
      <x:c r="A198" s="15"/>
      <x:c r="B198" s="28"/>
      <x:c r="C198" s="15"/>
      <x:c r="D198" s="15"/>
      <x:c r="E198" s="15"/>
      <x:c r="F198" s="15"/>
      <x:c r="G198" s="138"/>
      <x:c r="H198" s="138"/>
      <x:c r="I198" s="138" t="str">
        <x:f>IF(OR(G198="",H198=""),"",MAX(0,H198-G198))</x:f>
      </x:c>
      <x:c r="J198" s="138"/>
      <x:c r="K198" s="138"/>
      <x:c r="L198" s="70" t="str">
        <x:f>IF(E198="","",IFERROR(INDEX('07_Equipment'!$G:$G,MATCH(E198,'07_Equipment'!$A:$A,0)),"NO RATE"))</x:f>
      </x:c>
      <x:c r="M198" s="70" t="str">
        <x:f>IF(OR(I198="",NOT(ISNUMBER(L198))),"",I198*L198)</x:f>
      </x:c>
      <x:c r="N198" s="15"/>
      <x:c r="O198" s="15" t="str">
        <x:f>IF(COUNTA(B198:H198,J198:K198,N198:N198)=0,"",TEXTJOIN("; ",TRUE,IF(B198="","Missing work date",""),IF(C198="","Missing project",""),IF(E198="","Missing equipment",""),IF(H198&lt;G198,"End meter before start",""),IF(L198="NO RATE","Missing equipment rate","")))</x:f>
      </x:c>
    </x:row>
    <x:row r="199" ht="20" customHeight="1">
      <x:c r="A199" s="15"/>
      <x:c r="B199" s="28"/>
      <x:c r="C199" s="15"/>
      <x:c r="D199" s="15"/>
      <x:c r="E199" s="15"/>
      <x:c r="F199" s="15"/>
      <x:c r="G199" s="138"/>
      <x:c r="H199" s="138"/>
      <x:c r="I199" s="138" t="str">
        <x:f>IF(OR(G199="",H199=""),"",MAX(0,H199-G199))</x:f>
      </x:c>
      <x:c r="J199" s="138"/>
      <x:c r="K199" s="138"/>
      <x:c r="L199" s="70" t="str">
        <x:f>IF(E199="","",IFERROR(INDEX('07_Equipment'!$G:$G,MATCH(E199,'07_Equipment'!$A:$A,0)),"NO RATE"))</x:f>
      </x:c>
      <x:c r="M199" s="70" t="str">
        <x:f>IF(OR(I199="",NOT(ISNUMBER(L199))),"",I199*L199)</x:f>
      </x:c>
      <x:c r="N199" s="15"/>
      <x:c r="O199" s="15" t="str">
        <x:f>IF(COUNTA(B199:H199,J199:K199,N199:N199)=0,"",TEXTJOIN("; ",TRUE,IF(B199="","Missing work date",""),IF(C199="","Missing project",""),IF(E199="","Missing equipment",""),IF(H199&lt;G199,"End meter before start",""),IF(L199="NO RATE","Missing equipment rate","")))</x:f>
      </x:c>
    </x:row>
    <x:row r="200" ht="20" customHeight="1">
      <x:c r="A200" s="15"/>
      <x:c r="B200" s="28"/>
      <x:c r="C200" s="15"/>
      <x:c r="D200" s="15"/>
      <x:c r="E200" s="15"/>
      <x:c r="F200" s="15"/>
      <x:c r="G200" s="138"/>
      <x:c r="H200" s="138"/>
      <x:c r="I200" s="138" t="str">
        <x:f>IF(OR(G200="",H200=""),"",MAX(0,H200-G200))</x:f>
      </x:c>
      <x:c r="J200" s="138"/>
      <x:c r="K200" s="138"/>
      <x:c r="L200" s="70" t="str">
        <x:f>IF(E200="","",IFERROR(INDEX('07_Equipment'!$G:$G,MATCH(E200,'07_Equipment'!$A:$A,0)),"NO RATE"))</x:f>
      </x:c>
      <x:c r="M200" s="70" t="str">
        <x:f>IF(OR(I200="",NOT(ISNUMBER(L200))),"",I200*L200)</x:f>
      </x:c>
      <x:c r="N200" s="15"/>
      <x:c r="O200" s="15" t="str">
        <x:f>IF(COUNTA(B200:H200,J200:K200,N200:N200)=0,"",TEXTJOIN("; ",TRUE,IF(B200="","Missing work date",""),IF(C200="","Missing project",""),IF(E200="","Missing equipment",""),IF(H200&lt;G200,"End meter before start",""),IF(L200="NO RATE","Missing equipment rate","")))</x:f>
      </x:c>
    </x:row>
    <x:row r="201" ht="20" customHeight="1">
      <x:c r="A201" s="15"/>
      <x:c r="B201" s="28"/>
      <x:c r="C201" s="15"/>
      <x:c r="D201" s="15"/>
      <x:c r="E201" s="15"/>
      <x:c r="F201" s="15"/>
      <x:c r="G201" s="138"/>
      <x:c r="H201" s="138"/>
      <x:c r="I201" s="138" t="str">
        <x:f>IF(OR(G201="",H201=""),"",MAX(0,H201-G201))</x:f>
      </x:c>
      <x:c r="J201" s="138"/>
      <x:c r="K201" s="138"/>
      <x:c r="L201" s="70" t="str">
        <x:f>IF(E201="","",IFERROR(INDEX('07_Equipment'!$G:$G,MATCH(E201,'07_Equipment'!$A:$A,0)),"NO RATE"))</x:f>
      </x:c>
      <x:c r="M201" s="70" t="str">
        <x:f>IF(OR(I201="",NOT(ISNUMBER(L201))),"",I201*L201)</x:f>
      </x:c>
      <x:c r="N201" s="15"/>
      <x:c r="O201" s="15" t="str">
        <x:f>IF(COUNTA(B201:H201,J201:K201,N201:N201)=0,"",TEXTJOIN("; ",TRUE,IF(B201="","Missing work date",""),IF(C201="","Missing project",""),IF(E201="","Missing equipment",""),IF(H201&lt;G201,"End meter before start",""),IF(L201="NO RATE","Missing equipment rate","")))</x:f>
      </x:c>
    </x:row>
    <x:row r="202" ht="20" customHeight="1">
      <x:c r="A202" s="15"/>
      <x:c r="B202" s="28"/>
      <x:c r="C202" s="15"/>
      <x:c r="D202" s="15"/>
      <x:c r="E202" s="15"/>
      <x:c r="F202" s="15"/>
      <x:c r="G202" s="138"/>
      <x:c r="H202" s="138"/>
      <x:c r="I202" s="138" t="str">
        <x:f>IF(OR(G202="",H202=""),"",MAX(0,H202-G202))</x:f>
      </x:c>
      <x:c r="J202" s="138"/>
      <x:c r="K202" s="138"/>
      <x:c r="L202" s="70" t="str">
        <x:f>IF(E202="","",IFERROR(INDEX('07_Equipment'!$G:$G,MATCH(E202,'07_Equipment'!$A:$A,0)),"NO RATE"))</x:f>
      </x:c>
      <x:c r="M202" s="70" t="str">
        <x:f>IF(OR(I202="",NOT(ISNUMBER(L202))),"",I202*L202)</x:f>
      </x:c>
      <x:c r="N202" s="15"/>
      <x:c r="O202" s="15" t="str">
        <x:f>IF(COUNTA(B202:H202,J202:K202,N202:N202)=0,"",TEXTJOIN("; ",TRUE,IF(B202="","Missing work date",""),IF(C202="","Missing project",""),IF(E202="","Missing equipment",""),IF(H202&lt;G202,"End meter before start",""),IF(L202="NO RATE","Missing equipment rate","")))</x:f>
      </x:c>
    </x:row>
    <x:row r="203" ht="20" customHeight="1">
      <x:c r="A203" s="15"/>
      <x:c r="B203" s="28"/>
      <x:c r="C203" s="15"/>
      <x:c r="D203" s="15"/>
      <x:c r="E203" s="15"/>
      <x:c r="F203" s="15"/>
      <x:c r="G203" s="138"/>
      <x:c r="H203" s="138"/>
      <x:c r="I203" s="138" t="str">
        <x:f>IF(OR(G203="",H203=""),"",MAX(0,H203-G203))</x:f>
      </x:c>
      <x:c r="J203" s="138"/>
      <x:c r="K203" s="138"/>
      <x:c r="L203" s="70" t="str">
        <x:f>IF(E203="","",IFERROR(INDEX('07_Equipment'!$G:$G,MATCH(E203,'07_Equipment'!$A:$A,0)),"NO RATE"))</x:f>
      </x:c>
      <x:c r="M203" s="70" t="str">
        <x:f>IF(OR(I203="",NOT(ISNUMBER(L203))),"",I203*L203)</x:f>
      </x:c>
      <x:c r="N203" s="15"/>
      <x:c r="O203" s="15" t="str">
        <x:f>IF(COUNTA(B203:H203,J203:K203,N203:N203)=0,"",TEXTJOIN("; ",TRUE,IF(B203="","Missing work date",""),IF(C203="","Missing project",""),IF(E203="","Missing equipment",""),IF(H203&lt;G203,"End meter before start",""),IF(L203="NO RATE","Missing equipment rate","")))</x:f>
      </x:c>
    </x:row>
    <x:row r="204" ht="20" customHeight="1">
      <x:c r="A204" s="15"/>
      <x:c r="B204" s="28"/>
      <x:c r="C204" s="15"/>
      <x:c r="D204" s="15"/>
      <x:c r="E204" s="15"/>
      <x:c r="F204" s="15"/>
      <x:c r="G204" s="138"/>
      <x:c r="H204" s="138"/>
      <x:c r="I204" s="138" t="str">
        <x:f>IF(OR(G204="",H204=""),"",MAX(0,H204-G204))</x:f>
      </x:c>
      <x:c r="J204" s="138"/>
      <x:c r="K204" s="138"/>
      <x:c r="L204" s="70" t="str">
        <x:f>IF(E204="","",IFERROR(INDEX('07_Equipment'!$G:$G,MATCH(E204,'07_Equipment'!$A:$A,0)),"NO RATE"))</x:f>
      </x:c>
      <x:c r="M204" s="70" t="str">
        <x:f>IF(OR(I204="",NOT(ISNUMBER(L204))),"",I204*L204)</x:f>
      </x:c>
      <x:c r="N204" s="15"/>
      <x:c r="O204" s="15" t="str">
        <x:f>IF(COUNTA(B204:H204,J204:K204,N204:N204)=0,"",TEXTJOIN("; ",TRUE,IF(B204="","Missing work date",""),IF(C204="","Missing project",""),IF(E204="","Missing equipment",""),IF(H204&lt;G204,"End meter before start",""),IF(L204="NO RATE","Missing equipment rate","")))</x:f>
      </x:c>
    </x:row>
    <x:row r="205" ht="20" customHeight="1">
      <x:c r="A205" s="15"/>
      <x:c r="B205" s="28"/>
      <x:c r="C205" s="15"/>
      <x:c r="D205" s="15"/>
      <x:c r="E205" s="15"/>
      <x:c r="F205" s="15"/>
      <x:c r="G205" s="138"/>
      <x:c r="H205" s="138"/>
      <x:c r="I205" s="138" t="str">
        <x:f>IF(OR(G205="",H205=""),"",MAX(0,H205-G205))</x:f>
      </x:c>
      <x:c r="J205" s="138"/>
      <x:c r="K205" s="138"/>
      <x:c r="L205" s="70" t="str">
        <x:f>IF(E205="","",IFERROR(INDEX('07_Equipment'!$G:$G,MATCH(E205,'07_Equipment'!$A:$A,0)),"NO RATE"))</x:f>
      </x:c>
      <x:c r="M205" s="70" t="str">
        <x:f>IF(OR(I205="",NOT(ISNUMBER(L205))),"",I205*L205)</x:f>
      </x:c>
      <x:c r="N205" s="15"/>
      <x:c r="O205" s="15" t="str">
        <x:f>IF(COUNTA(B205:H205,J205:K205,N205:N205)=0,"",TEXTJOIN("; ",TRUE,IF(B205="","Missing work date",""),IF(C205="","Missing project",""),IF(E205="","Missing equipment",""),IF(H205&lt;G205,"End meter before start",""),IF(L205="NO RATE","Missing equipment rate","")))</x:f>
      </x:c>
    </x:row>
    <x:row r="206" ht="20" customHeight="1">
      <x:c r="A206" s="15"/>
      <x:c r="B206" s="28"/>
      <x:c r="C206" s="15"/>
      <x:c r="D206" s="15"/>
      <x:c r="E206" s="15"/>
      <x:c r="F206" s="15"/>
      <x:c r="G206" s="138"/>
      <x:c r="H206" s="138"/>
      <x:c r="I206" s="138" t="str">
        <x:f>IF(OR(G206="",H206=""),"",MAX(0,H206-G206))</x:f>
      </x:c>
      <x:c r="J206" s="138"/>
      <x:c r="K206" s="138"/>
      <x:c r="L206" s="70" t="str">
        <x:f>IF(E206="","",IFERROR(INDEX('07_Equipment'!$G:$G,MATCH(E206,'07_Equipment'!$A:$A,0)),"NO RATE"))</x:f>
      </x:c>
      <x:c r="M206" s="70" t="str">
        <x:f>IF(OR(I206="",NOT(ISNUMBER(L206))),"",I206*L206)</x:f>
      </x:c>
      <x:c r="N206" s="15"/>
      <x:c r="O206" s="15" t="str">
        <x:f>IF(COUNTA(B206:H206,J206:K206,N206:N206)=0,"",TEXTJOIN("; ",TRUE,IF(B206="","Missing work date",""),IF(C206="","Missing project",""),IF(E206="","Missing equipment",""),IF(H206&lt;G206,"End meter before start",""),IF(L206="NO RATE","Missing equipment rate","")))</x:f>
      </x:c>
    </x:row>
    <x:row r="207" ht="20" customHeight="1">
      <x:c r="A207" s="15"/>
      <x:c r="B207" s="28"/>
      <x:c r="C207" s="15"/>
      <x:c r="D207" s="15"/>
      <x:c r="E207" s="15"/>
      <x:c r="F207" s="15"/>
      <x:c r="G207" s="138"/>
      <x:c r="H207" s="138"/>
      <x:c r="I207" s="138" t="str">
        <x:f>IF(OR(G207="",H207=""),"",MAX(0,H207-G207))</x:f>
      </x:c>
      <x:c r="J207" s="138"/>
      <x:c r="K207" s="138"/>
      <x:c r="L207" s="70" t="str">
        <x:f>IF(E207="","",IFERROR(INDEX('07_Equipment'!$G:$G,MATCH(E207,'07_Equipment'!$A:$A,0)),"NO RATE"))</x:f>
      </x:c>
      <x:c r="M207" s="70" t="str">
        <x:f>IF(OR(I207="",NOT(ISNUMBER(L207))),"",I207*L207)</x:f>
      </x:c>
      <x:c r="N207" s="15"/>
      <x:c r="O207" s="15" t="str">
        <x:f>IF(COUNTA(B207:H207,J207:K207,N207:N207)=0,"",TEXTJOIN("; ",TRUE,IF(B207="","Missing work date",""),IF(C207="","Missing project",""),IF(E207="","Missing equipment",""),IF(H207&lt;G207,"End meter before start",""),IF(L207="NO RATE","Missing equipment rate","")))</x:f>
      </x:c>
    </x:row>
    <x:row r="208" ht="20" customHeight="1">
      <x:c r="A208" s="15"/>
      <x:c r="B208" s="28"/>
      <x:c r="C208" s="15"/>
      <x:c r="D208" s="15"/>
      <x:c r="E208" s="15"/>
      <x:c r="F208" s="15"/>
      <x:c r="G208" s="138"/>
      <x:c r="H208" s="138"/>
      <x:c r="I208" s="138" t="str">
        <x:f>IF(OR(G208="",H208=""),"",MAX(0,H208-G208))</x:f>
      </x:c>
      <x:c r="J208" s="138"/>
      <x:c r="K208" s="138"/>
      <x:c r="L208" s="70" t="str">
        <x:f>IF(E208="","",IFERROR(INDEX('07_Equipment'!$G:$G,MATCH(E208,'07_Equipment'!$A:$A,0)),"NO RATE"))</x:f>
      </x:c>
      <x:c r="M208" s="70" t="str">
        <x:f>IF(OR(I208="",NOT(ISNUMBER(L208))),"",I208*L208)</x:f>
      </x:c>
      <x:c r="N208" s="15"/>
      <x:c r="O208" s="15" t="str">
        <x:f>IF(COUNTA(B208:H208,J208:K208,N208:N208)=0,"",TEXTJOIN("; ",TRUE,IF(B208="","Missing work date",""),IF(C208="","Missing project",""),IF(E208="","Missing equipment",""),IF(H208&lt;G208,"End meter before start",""),IF(L208="NO RATE","Missing equipment rate","")))</x:f>
      </x:c>
    </x:row>
    <x:row r="209" ht="20" customHeight="1">
      <x:c r="A209" s="15"/>
      <x:c r="B209" s="28"/>
      <x:c r="C209" s="15"/>
      <x:c r="D209" s="15"/>
      <x:c r="E209" s="15"/>
      <x:c r="F209" s="15"/>
      <x:c r="G209" s="138"/>
      <x:c r="H209" s="138"/>
      <x:c r="I209" s="138" t="str">
        <x:f>IF(OR(G209="",H209=""),"",MAX(0,H209-G209))</x:f>
      </x:c>
      <x:c r="J209" s="138"/>
      <x:c r="K209" s="138"/>
      <x:c r="L209" s="70" t="str">
        <x:f>IF(E209="","",IFERROR(INDEX('07_Equipment'!$G:$G,MATCH(E209,'07_Equipment'!$A:$A,0)),"NO RATE"))</x:f>
      </x:c>
      <x:c r="M209" s="70" t="str">
        <x:f>IF(OR(I209="",NOT(ISNUMBER(L209))),"",I209*L209)</x:f>
      </x:c>
      <x:c r="N209" s="15"/>
      <x:c r="O209" s="15" t="str">
        <x:f>IF(COUNTA(B209:H209,J209:K209,N209:N209)=0,"",TEXTJOIN("; ",TRUE,IF(B209="","Missing work date",""),IF(C209="","Missing project",""),IF(E209="","Missing equipment",""),IF(H209&lt;G209,"End meter before start",""),IF(L209="NO RATE","Missing equipment rate","")))</x:f>
      </x:c>
    </x:row>
    <x:row r="210" ht="20" customHeight="1">
      <x:c r="A210" s="15"/>
      <x:c r="B210" s="28"/>
      <x:c r="C210" s="15"/>
      <x:c r="D210" s="15"/>
      <x:c r="E210" s="15"/>
      <x:c r="F210" s="15"/>
      <x:c r="G210" s="138"/>
      <x:c r="H210" s="138"/>
      <x:c r="I210" s="138" t="str">
        <x:f>IF(OR(G210="",H210=""),"",MAX(0,H210-G210))</x:f>
      </x:c>
      <x:c r="J210" s="138"/>
      <x:c r="K210" s="138"/>
      <x:c r="L210" s="70" t="str">
        <x:f>IF(E210="","",IFERROR(INDEX('07_Equipment'!$G:$G,MATCH(E210,'07_Equipment'!$A:$A,0)),"NO RATE"))</x:f>
      </x:c>
      <x:c r="M210" s="70" t="str">
        <x:f>IF(OR(I210="",NOT(ISNUMBER(L210))),"",I210*L210)</x:f>
      </x:c>
      <x:c r="N210" s="15"/>
      <x:c r="O210" s="15" t="str">
        <x:f>IF(COUNTA(B210:H210,J210:K210,N210:N210)=0,"",TEXTJOIN("; ",TRUE,IF(B210="","Missing work date",""),IF(C210="","Missing project",""),IF(E210="","Missing equipment",""),IF(H210&lt;G210,"End meter before start",""),IF(L210="NO RATE","Missing equipment rate","")))</x:f>
      </x:c>
    </x:row>
    <x:row r="211" ht="20" customHeight="1">
      <x:c r="A211" s="15"/>
      <x:c r="B211" s="28"/>
      <x:c r="C211" s="15"/>
      <x:c r="D211" s="15"/>
      <x:c r="E211" s="15"/>
      <x:c r="F211" s="15"/>
      <x:c r="G211" s="138"/>
      <x:c r="H211" s="138"/>
      <x:c r="I211" s="138" t="str">
        <x:f>IF(OR(G211="",H211=""),"",MAX(0,H211-G211))</x:f>
      </x:c>
      <x:c r="J211" s="138"/>
      <x:c r="K211" s="138"/>
      <x:c r="L211" s="70" t="str">
        <x:f>IF(E211="","",IFERROR(INDEX('07_Equipment'!$G:$G,MATCH(E211,'07_Equipment'!$A:$A,0)),"NO RATE"))</x:f>
      </x:c>
      <x:c r="M211" s="70" t="str">
        <x:f>IF(OR(I211="",NOT(ISNUMBER(L211))),"",I211*L211)</x:f>
      </x:c>
      <x:c r="N211" s="15"/>
      <x:c r="O211" s="15" t="str">
        <x:f>IF(COUNTA(B211:H211,J211:K211,N211:N211)=0,"",TEXTJOIN("; ",TRUE,IF(B211="","Missing work date",""),IF(C211="","Missing project",""),IF(E211="","Missing equipment",""),IF(H211&lt;G211,"End meter before start",""),IF(L211="NO RATE","Missing equipment rate","")))</x:f>
      </x:c>
    </x:row>
    <x:row r="212" ht="20" customHeight="1">
      <x:c r="A212" s="15"/>
      <x:c r="B212" s="28"/>
      <x:c r="C212" s="15"/>
      <x:c r="D212" s="15"/>
      <x:c r="E212" s="15"/>
      <x:c r="F212" s="15"/>
      <x:c r="G212" s="138"/>
      <x:c r="H212" s="138"/>
      <x:c r="I212" s="138" t="str">
        <x:f>IF(OR(G212="",H212=""),"",MAX(0,H212-G212))</x:f>
      </x:c>
      <x:c r="J212" s="138"/>
      <x:c r="K212" s="138"/>
      <x:c r="L212" s="70" t="str">
        <x:f>IF(E212="","",IFERROR(INDEX('07_Equipment'!$G:$G,MATCH(E212,'07_Equipment'!$A:$A,0)),"NO RATE"))</x:f>
      </x:c>
      <x:c r="M212" s="70" t="str">
        <x:f>IF(OR(I212="",NOT(ISNUMBER(L212))),"",I212*L212)</x:f>
      </x:c>
      <x:c r="N212" s="15"/>
      <x:c r="O212" s="15" t="str">
        <x:f>IF(COUNTA(B212:H212,J212:K212,N212:N212)=0,"",TEXTJOIN("; ",TRUE,IF(B212="","Missing work date",""),IF(C212="","Missing project",""),IF(E212="","Missing equipment",""),IF(H212&lt;G212,"End meter before start",""),IF(L212="NO RATE","Missing equipment rate","")))</x:f>
      </x:c>
    </x:row>
    <x:row r="213" ht="20" customHeight="1">
      <x:c r="A213" s="15"/>
      <x:c r="B213" s="28"/>
      <x:c r="C213" s="15"/>
      <x:c r="D213" s="15"/>
      <x:c r="E213" s="15"/>
      <x:c r="F213" s="15"/>
      <x:c r="G213" s="138"/>
      <x:c r="H213" s="138"/>
      <x:c r="I213" s="138" t="str">
        <x:f>IF(OR(G213="",H213=""),"",MAX(0,H213-G213))</x:f>
      </x:c>
      <x:c r="J213" s="138"/>
      <x:c r="K213" s="138"/>
      <x:c r="L213" s="70" t="str">
        <x:f>IF(E213="","",IFERROR(INDEX('07_Equipment'!$G:$G,MATCH(E213,'07_Equipment'!$A:$A,0)),"NO RATE"))</x:f>
      </x:c>
      <x:c r="M213" s="70" t="str">
        <x:f>IF(OR(I213="",NOT(ISNUMBER(L213))),"",I213*L213)</x:f>
      </x:c>
      <x:c r="N213" s="15"/>
      <x:c r="O213" s="15" t="str">
        <x:f>IF(COUNTA(B213:H213,J213:K213,N213:N213)=0,"",TEXTJOIN("; ",TRUE,IF(B213="","Missing work date",""),IF(C213="","Missing project",""),IF(E213="","Missing equipment",""),IF(H213&lt;G213,"End meter before start",""),IF(L213="NO RATE","Missing equipment rate","")))</x:f>
      </x:c>
    </x:row>
    <x:row r="214" ht="20" customHeight="1">
      <x:c r="A214" s="15"/>
      <x:c r="B214" s="28"/>
      <x:c r="C214" s="15"/>
      <x:c r="D214" s="15"/>
      <x:c r="E214" s="15"/>
      <x:c r="F214" s="15"/>
      <x:c r="G214" s="138"/>
      <x:c r="H214" s="138"/>
      <x:c r="I214" s="138" t="str">
        <x:f>IF(OR(G214="",H214=""),"",MAX(0,H214-G214))</x:f>
      </x:c>
      <x:c r="J214" s="138"/>
      <x:c r="K214" s="138"/>
      <x:c r="L214" s="70" t="str">
        <x:f>IF(E214="","",IFERROR(INDEX('07_Equipment'!$G:$G,MATCH(E214,'07_Equipment'!$A:$A,0)),"NO RATE"))</x:f>
      </x:c>
      <x:c r="M214" s="70" t="str">
        <x:f>IF(OR(I214="",NOT(ISNUMBER(L214))),"",I214*L214)</x:f>
      </x:c>
      <x:c r="N214" s="15"/>
      <x:c r="O214" s="15" t="str">
        <x:f>IF(COUNTA(B214:H214,J214:K214,N214:N214)=0,"",TEXTJOIN("; ",TRUE,IF(B214="","Missing work date",""),IF(C214="","Missing project",""),IF(E214="","Missing equipment",""),IF(H214&lt;G214,"End meter before start",""),IF(L214="NO RATE","Missing equipment rate","")))</x:f>
      </x:c>
    </x:row>
    <x:row r="215" ht="20" customHeight="1">
      <x:c r="A215" s="15"/>
      <x:c r="B215" s="28"/>
      <x:c r="C215" s="15"/>
      <x:c r="D215" s="15"/>
      <x:c r="E215" s="15"/>
      <x:c r="F215" s="15"/>
      <x:c r="G215" s="138"/>
      <x:c r="H215" s="138"/>
      <x:c r="I215" s="138" t="str">
        <x:f>IF(OR(G215="",H215=""),"",MAX(0,H215-G215))</x:f>
      </x:c>
      <x:c r="J215" s="138"/>
      <x:c r="K215" s="138"/>
      <x:c r="L215" s="70" t="str">
        <x:f>IF(E215="","",IFERROR(INDEX('07_Equipment'!$G:$G,MATCH(E215,'07_Equipment'!$A:$A,0)),"NO RATE"))</x:f>
      </x:c>
      <x:c r="M215" s="70" t="str">
        <x:f>IF(OR(I215="",NOT(ISNUMBER(L215))),"",I215*L215)</x:f>
      </x:c>
      <x:c r="N215" s="15"/>
      <x:c r="O215" s="15" t="str">
        <x:f>IF(COUNTA(B215:H215,J215:K215,N215:N215)=0,"",TEXTJOIN("; ",TRUE,IF(B215="","Missing work date",""),IF(C215="","Missing project",""),IF(E215="","Missing equipment",""),IF(H215&lt;G215,"End meter before start",""),IF(L215="NO RATE","Missing equipment rate","")))</x:f>
      </x:c>
    </x:row>
    <x:row r="216" ht="20" customHeight="1">
      <x:c r="A216" s="15"/>
      <x:c r="B216" s="28"/>
      <x:c r="C216" s="15"/>
      <x:c r="D216" s="15"/>
      <x:c r="E216" s="15"/>
      <x:c r="F216" s="15"/>
      <x:c r="G216" s="138"/>
      <x:c r="H216" s="138"/>
      <x:c r="I216" s="138" t="str">
        <x:f>IF(OR(G216="",H216=""),"",MAX(0,H216-G216))</x:f>
      </x:c>
      <x:c r="J216" s="138"/>
      <x:c r="K216" s="138"/>
      <x:c r="L216" s="70" t="str">
        <x:f>IF(E216="","",IFERROR(INDEX('07_Equipment'!$G:$G,MATCH(E216,'07_Equipment'!$A:$A,0)),"NO RATE"))</x:f>
      </x:c>
      <x:c r="M216" s="70" t="str">
        <x:f>IF(OR(I216="",NOT(ISNUMBER(L216))),"",I216*L216)</x:f>
      </x:c>
      <x:c r="N216" s="15"/>
      <x:c r="O216" s="15" t="str">
        <x:f>IF(COUNTA(B216:H216,J216:K216,N216:N216)=0,"",TEXTJOIN("; ",TRUE,IF(B216="","Missing work date",""),IF(C216="","Missing project",""),IF(E216="","Missing equipment",""),IF(H216&lt;G216,"End meter before start",""),IF(L216="NO RATE","Missing equipment rate","")))</x:f>
      </x:c>
    </x:row>
    <x:row r="217" ht="20" customHeight="1">
      <x:c r="A217" s="15"/>
      <x:c r="B217" s="28"/>
      <x:c r="C217" s="15"/>
      <x:c r="D217" s="15"/>
      <x:c r="E217" s="15"/>
      <x:c r="F217" s="15"/>
      <x:c r="G217" s="138"/>
      <x:c r="H217" s="138"/>
      <x:c r="I217" s="138" t="str">
        <x:f>IF(OR(G217="",H217=""),"",MAX(0,H217-G217))</x:f>
      </x:c>
      <x:c r="J217" s="138"/>
      <x:c r="K217" s="138"/>
      <x:c r="L217" s="70" t="str">
        <x:f>IF(E217="","",IFERROR(INDEX('07_Equipment'!$G:$G,MATCH(E217,'07_Equipment'!$A:$A,0)),"NO RATE"))</x:f>
      </x:c>
      <x:c r="M217" s="70" t="str">
        <x:f>IF(OR(I217="",NOT(ISNUMBER(L217))),"",I217*L217)</x:f>
      </x:c>
      <x:c r="N217" s="15"/>
      <x:c r="O217" s="15" t="str">
        <x:f>IF(COUNTA(B217:H217,J217:K217,N217:N217)=0,"",TEXTJOIN("; ",TRUE,IF(B217="","Missing work date",""),IF(C217="","Missing project",""),IF(E217="","Missing equipment",""),IF(H217&lt;G217,"End meter before start",""),IF(L217="NO RATE","Missing equipment rate","")))</x:f>
      </x:c>
    </x:row>
    <x:row r="218" ht="20" customHeight="1">
      <x:c r="A218" s="15"/>
      <x:c r="B218" s="28"/>
      <x:c r="C218" s="15"/>
      <x:c r="D218" s="15"/>
      <x:c r="E218" s="15"/>
      <x:c r="F218" s="15"/>
      <x:c r="G218" s="138"/>
      <x:c r="H218" s="138"/>
      <x:c r="I218" s="138" t="str">
        <x:f>IF(OR(G218="",H218=""),"",MAX(0,H218-G218))</x:f>
      </x:c>
      <x:c r="J218" s="138"/>
      <x:c r="K218" s="138"/>
      <x:c r="L218" s="70" t="str">
        <x:f>IF(E218="","",IFERROR(INDEX('07_Equipment'!$G:$G,MATCH(E218,'07_Equipment'!$A:$A,0)),"NO RATE"))</x:f>
      </x:c>
      <x:c r="M218" s="70" t="str">
        <x:f>IF(OR(I218="",NOT(ISNUMBER(L218))),"",I218*L218)</x:f>
      </x:c>
      <x:c r="N218" s="15"/>
      <x:c r="O218" s="15" t="str">
        <x:f>IF(COUNTA(B218:H218,J218:K218,N218:N218)=0,"",TEXTJOIN("; ",TRUE,IF(B218="","Missing work date",""),IF(C218="","Missing project",""),IF(E218="","Missing equipment",""),IF(H218&lt;G218,"End meter before start",""),IF(L218="NO RATE","Missing equipment rate","")))</x:f>
      </x:c>
    </x:row>
    <x:row r="219" ht="20" customHeight="1">
      <x:c r="A219" s="15"/>
      <x:c r="B219" s="28"/>
      <x:c r="C219" s="15"/>
      <x:c r="D219" s="15"/>
      <x:c r="E219" s="15"/>
      <x:c r="F219" s="15"/>
      <x:c r="G219" s="138"/>
      <x:c r="H219" s="138"/>
      <x:c r="I219" s="138" t="str">
        <x:f>IF(OR(G219="",H219=""),"",MAX(0,H219-G219))</x:f>
      </x:c>
      <x:c r="J219" s="138"/>
      <x:c r="K219" s="138"/>
      <x:c r="L219" s="70" t="str">
        <x:f>IF(E219="","",IFERROR(INDEX('07_Equipment'!$G:$G,MATCH(E219,'07_Equipment'!$A:$A,0)),"NO RATE"))</x:f>
      </x:c>
      <x:c r="M219" s="70" t="str">
        <x:f>IF(OR(I219="",NOT(ISNUMBER(L219))),"",I219*L219)</x:f>
      </x:c>
      <x:c r="N219" s="15"/>
      <x:c r="O219" s="15" t="str">
        <x:f>IF(COUNTA(B219:H219,J219:K219,N219:N219)=0,"",TEXTJOIN("; ",TRUE,IF(B219="","Missing work date",""),IF(C219="","Missing project",""),IF(E219="","Missing equipment",""),IF(H219&lt;G219,"End meter before start",""),IF(L219="NO RATE","Missing equipment rate","")))</x:f>
      </x:c>
    </x:row>
    <x:row r="220" ht="20" customHeight="1">
      <x:c r="A220" s="15"/>
      <x:c r="B220" s="28"/>
      <x:c r="C220" s="15"/>
      <x:c r="D220" s="15"/>
      <x:c r="E220" s="15"/>
      <x:c r="F220" s="15"/>
      <x:c r="G220" s="138"/>
      <x:c r="H220" s="138"/>
      <x:c r="I220" s="138" t="str">
        <x:f>IF(OR(G220="",H220=""),"",MAX(0,H220-G220))</x:f>
      </x:c>
      <x:c r="J220" s="138"/>
      <x:c r="K220" s="138"/>
      <x:c r="L220" s="70" t="str">
        <x:f>IF(E220="","",IFERROR(INDEX('07_Equipment'!$G:$G,MATCH(E220,'07_Equipment'!$A:$A,0)),"NO RATE"))</x:f>
      </x:c>
      <x:c r="M220" s="70" t="str">
        <x:f>IF(OR(I220="",NOT(ISNUMBER(L220))),"",I220*L220)</x:f>
      </x:c>
      <x:c r="N220" s="15"/>
      <x:c r="O220" s="15" t="str">
        <x:f>IF(COUNTA(B220:H220,J220:K220,N220:N220)=0,"",TEXTJOIN("; ",TRUE,IF(B220="","Missing work date",""),IF(C220="","Missing project",""),IF(E220="","Missing equipment",""),IF(H220&lt;G220,"End meter before start",""),IF(L220="NO RATE","Missing equipment rate","")))</x:f>
      </x:c>
    </x:row>
    <x:row r="221" ht="20" customHeight="1">
      <x:c r="A221" s="15"/>
      <x:c r="B221" s="28"/>
      <x:c r="C221" s="15"/>
      <x:c r="D221" s="15"/>
      <x:c r="E221" s="15"/>
      <x:c r="F221" s="15"/>
      <x:c r="G221" s="138"/>
      <x:c r="H221" s="138"/>
      <x:c r="I221" s="138" t="str">
        <x:f>IF(OR(G221="",H221=""),"",MAX(0,H221-G221))</x:f>
      </x:c>
      <x:c r="J221" s="138"/>
      <x:c r="K221" s="138"/>
      <x:c r="L221" s="70" t="str">
        <x:f>IF(E221="","",IFERROR(INDEX('07_Equipment'!$G:$G,MATCH(E221,'07_Equipment'!$A:$A,0)),"NO RATE"))</x:f>
      </x:c>
      <x:c r="M221" s="70" t="str">
        <x:f>IF(OR(I221="",NOT(ISNUMBER(L221))),"",I221*L221)</x:f>
      </x:c>
      <x:c r="N221" s="15"/>
      <x:c r="O221" s="15" t="str">
        <x:f>IF(COUNTA(B221:H221,J221:K221,N221:N221)=0,"",TEXTJOIN("; ",TRUE,IF(B221="","Missing work date",""),IF(C221="","Missing project",""),IF(E221="","Missing equipment",""),IF(H221&lt;G221,"End meter before start",""),IF(L221="NO RATE","Missing equipment rate","")))</x:f>
      </x:c>
    </x:row>
    <x:row r="222" ht="20" customHeight="1">
      <x:c r="A222" s="15"/>
      <x:c r="B222" s="28"/>
      <x:c r="C222" s="15"/>
      <x:c r="D222" s="15"/>
      <x:c r="E222" s="15"/>
      <x:c r="F222" s="15"/>
      <x:c r="G222" s="138"/>
      <x:c r="H222" s="138"/>
      <x:c r="I222" s="138" t="str">
        <x:f>IF(OR(G222="",H222=""),"",MAX(0,H222-G222))</x:f>
      </x:c>
      <x:c r="J222" s="138"/>
      <x:c r="K222" s="138"/>
      <x:c r="L222" s="70" t="str">
        <x:f>IF(E222="","",IFERROR(INDEX('07_Equipment'!$G:$G,MATCH(E222,'07_Equipment'!$A:$A,0)),"NO RATE"))</x:f>
      </x:c>
      <x:c r="M222" s="70" t="str">
        <x:f>IF(OR(I222="",NOT(ISNUMBER(L222))),"",I222*L222)</x:f>
      </x:c>
      <x:c r="N222" s="15"/>
      <x:c r="O222" s="15" t="str">
        <x:f>IF(COUNTA(B222:H222,J222:K222,N222:N222)=0,"",TEXTJOIN("; ",TRUE,IF(B222="","Missing work date",""),IF(C222="","Missing project",""),IF(E222="","Missing equipment",""),IF(H222&lt;G222,"End meter before start",""),IF(L222="NO RATE","Missing equipment rate","")))</x:f>
      </x:c>
    </x:row>
    <x:row r="223" ht="20" customHeight="1">
      <x:c r="A223" s="15"/>
      <x:c r="B223" s="28"/>
      <x:c r="C223" s="15"/>
      <x:c r="D223" s="15"/>
      <x:c r="E223" s="15"/>
      <x:c r="F223" s="15"/>
      <x:c r="G223" s="138"/>
      <x:c r="H223" s="138"/>
      <x:c r="I223" s="138" t="str">
        <x:f>IF(OR(G223="",H223=""),"",MAX(0,H223-G223))</x:f>
      </x:c>
      <x:c r="J223" s="138"/>
      <x:c r="K223" s="138"/>
      <x:c r="L223" s="70" t="str">
        <x:f>IF(E223="","",IFERROR(INDEX('07_Equipment'!$G:$G,MATCH(E223,'07_Equipment'!$A:$A,0)),"NO RATE"))</x:f>
      </x:c>
      <x:c r="M223" s="70" t="str">
        <x:f>IF(OR(I223="",NOT(ISNUMBER(L223))),"",I223*L223)</x:f>
      </x:c>
      <x:c r="N223" s="15"/>
      <x:c r="O223" s="15" t="str">
        <x:f>IF(COUNTA(B223:H223,J223:K223,N223:N223)=0,"",TEXTJOIN("; ",TRUE,IF(B223="","Missing work date",""),IF(C223="","Missing project",""),IF(E223="","Missing equipment",""),IF(H223&lt;G223,"End meter before start",""),IF(L223="NO RATE","Missing equipment rate","")))</x:f>
      </x:c>
    </x:row>
    <x:row r="224" ht="20" customHeight="1">
      <x:c r="A224" s="15"/>
      <x:c r="B224" s="28"/>
      <x:c r="C224" s="15"/>
      <x:c r="D224" s="15"/>
      <x:c r="E224" s="15"/>
      <x:c r="F224" s="15"/>
      <x:c r="G224" s="138"/>
      <x:c r="H224" s="138"/>
      <x:c r="I224" s="138" t="str">
        <x:f>IF(OR(G224="",H224=""),"",MAX(0,H224-G224))</x:f>
      </x:c>
      <x:c r="J224" s="138"/>
      <x:c r="K224" s="138"/>
      <x:c r="L224" s="70" t="str">
        <x:f>IF(E224="","",IFERROR(INDEX('07_Equipment'!$G:$G,MATCH(E224,'07_Equipment'!$A:$A,0)),"NO RATE"))</x:f>
      </x:c>
      <x:c r="M224" s="70" t="str">
        <x:f>IF(OR(I224="",NOT(ISNUMBER(L224))),"",I224*L224)</x:f>
      </x:c>
      <x:c r="N224" s="15"/>
      <x:c r="O224" s="15" t="str">
        <x:f>IF(COUNTA(B224:H224,J224:K224,N224:N224)=0,"",TEXTJOIN("; ",TRUE,IF(B224="","Missing work date",""),IF(C224="","Missing project",""),IF(E224="","Missing equipment",""),IF(H224&lt;G224,"End meter before start",""),IF(L224="NO RATE","Missing equipment rate","")))</x:f>
      </x:c>
    </x:row>
    <x:row r="225" ht="20" customHeight="1">
      <x:c r="A225" s="15"/>
      <x:c r="B225" s="28"/>
      <x:c r="C225" s="15"/>
      <x:c r="D225" s="15"/>
      <x:c r="E225" s="15"/>
      <x:c r="F225" s="15"/>
      <x:c r="G225" s="138"/>
      <x:c r="H225" s="138"/>
      <x:c r="I225" s="138" t="str">
        <x:f>IF(OR(G225="",H225=""),"",MAX(0,H225-G225))</x:f>
      </x:c>
      <x:c r="J225" s="138"/>
      <x:c r="K225" s="138"/>
      <x:c r="L225" s="70" t="str">
        <x:f>IF(E225="","",IFERROR(INDEX('07_Equipment'!$G:$G,MATCH(E225,'07_Equipment'!$A:$A,0)),"NO RATE"))</x:f>
      </x:c>
      <x:c r="M225" s="70" t="str">
        <x:f>IF(OR(I225="",NOT(ISNUMBER(L225))),"",I225*L225)</x:f>
      </x:c>
      <x:c r="N225" s="15"/>
      <x:c r="O225" s="15" t="str">
        <x:f>IF(COUNTA(B225:H225,J225:K225,N225:N225)=0,"",TEXTJOIN("; ",TRUE,IF(B225="","Missing work date",""),IF(C225="","Missing project",""),IF(E225="","Missing equipment",""),IF(H225&lt;G225,"End meter before start",""),IF(L225="NO RATE","Missing equipment rate","")))</x:f>
      </x:c>
    </x:row>
    <x:row r="226" ht="20" customHeight="1">
      <x:c r="A226" s="15"/>
      <x:c r="B226" s="28"/>
      <x:c r="C226" s="15"/>
      <x:c r="D226" s="15"/>
      <x:c r="E226" s="15"/>
      <x:c r="F226" s="15"/>
      <x:c r="G226" s="138"/>
      <x:c r="H226" s="138"/>
      <x:c r="I226" s="138" t="str">
        <x:f>IF(OR(G226="",H226=""),"",MAX(0,H226-G226))</x:f>
      </x:c>
      <x:c r="J226" s="138"/>
      <x:c r="K226" s="138"/>
      <x:c r="L226" s="70" t="str">
        <x:f>IF(E226="","",IFERROR(INDEX('07_Equipment'!$G:$G,MATCH(E226,'07_Equipment'!$A:$A,0)),"NO RATE"))</x:f>
      </x:c>
      <x:c r="M226" s="70" t="str">
        <x:f>IF(OR(I226="",NOT(ISNUMBER(L226))),"",I226*L226)</x:f>
      </x:c>
      <x:c r="N226" s="15"/>
      <x:c r="O226" s="15" t="str">
        <x:f>IF(COUNTA(B226:H226,J226:K226,N226:N226)=0,"",TEXTJOIN("; ",TRUE,IF(B226="","Missing work date",""),IF(C226="","Missing project",""),IF(E226="","Missing equipment",""),IF(H226&lt;G226,"End meter before start",""),IF(L226="NO RATE","Missing equipment rate","")))</x:f>
      </x:c>
    </x:row>
    <x:row r="227" ht="20" customHeight="1">
      <x:c r="A227" s="15"/>
      <x:c r="B227" s="28"/>
      <x:c r="C227" s="15"/>
      <x:c r="D227" s="15"/>
      <x:c r="E227" s="15"/>
      <x:c r="F227" s="15"/>
      <x:c r="G227" s="138"/>
      <x:c r="H227" s="138"/>
      <x:c r="I227" s="138" t="str">
        <x:f>IF(OR(G227="",H227=""),"",MAX(0,H227-G227))</x:f>
      </x:c>
      <x:c r="J227" s="138"/>
      <x:c r="K227" s="138"/>
      <x:c r="L227" s="70" t="str">
        <x:f>IF(E227="","",IFERROR(INDEX('07_Equipment'!$G:$G,MATCH(E227,'07_Equipment'!$A:$A,0)),"NO RATE"))</x:f>
      </x:c>
      <x:c r="M227" s="70" t="str">
        <x:f>IF(OR(I227="",NOT(ISNUMBER(L227))),"",I227*L227)</x:f>
      </x:c>
      <x:c r="N227" s="15"/>
      <x:c r="O227" s="15" t="str">
        <x:f>IF(COUNTA(B227:H227,J227:K227,N227:N227)=0,"",TEXTJOIN("; ",TRUE,IF(B227="","Missing work date",""),IF(C227="","Missing project",""),IF(E227="","Missing equipment",""),IF(H227&lt;G227,"End meter before start",""),IF(L227="NO RATE","Missing equipment rate","")))</x:f>
      </x:c>
    </x:row>
    <x:row r="228" ht="20" customHeight="1">
      <x:c r="A228" s="15"/>
      <x:c r="B228" s="28"/>
      <x:c r="C228" s="15"/>
      <x:c r="D228" s="15"/>
      <x:c r="E228" s="15"/>
      <x:c r="F228" s="15"/>
      <x:c r="G228" s="138"/>
      <x:c r="H228" s="138"/>
      <x:c r="I228" s="138" t="str">
        <x:f>IF(OR(G228="",H228=""),"",MAX(0,H228-G228))</x:f>
      </x:c>
      <x:c r="J228" s="138"/>
      <x:c r="K228" s="138"/>
      <x:c r="L228" s="70" t="str">
        <x:f>IF(E228="","",IFERROR(INDEX('07_Equipment'!$G:$G,MATCH(E228,'07_Equipment'!$A:$A,0)),"NO RATE"))</x:f>
      </x:c>
      <x:c r="M228" s="70" t="str">
        <x:f>IF(OR(I228="",NOT(ISNUMBER(L228))),"",I228*L228)</x:f>
      </x:c>
      <x:c r="N228" s="15"/>
      <x:c r="O228" s="15" t="str">
        <x:f>IF(COUNTA(B228:H228,J228:K228,N228:N228)=0,"",TEXTJOIN("; ",TRUE,IF(B228="","Missing work date",""),IF(C228="","Missing project",""),IF(E228="","Missing equipment",""),IF(H228&lt;G228,"End meter before start",""),IF(L228="NO RATE","Missing equipment rate","")))</x:f>
      </x:c>
    </x:row>
    <x:row r="229" ht="20" customHeight="1">
      <x:c r="A229" s="15"/>
      <x:c r="B229" s="28"/>
      <x:c r="C229" s="15"/>
      <x:c r="D229" s="15"/>
      <x:c r="E229" s="15"/>
      <x:c r="F229" s="15"/>
      <x:c r="G229" s="138"/>
      <x:c r="H229" s="138"/>
      <x:c r="I229" s="138" t="str">
        <x:f>IF(OR(G229="",H229=""),"",MAX(0,H229-G229))</x:f>
      </x:c>
      <x:c r="J229" s="138"/>
      <x:c r="K229" s="138"/>
      <x:c r="L229" s="70" t="str">
        <x:f>IF(E229="","",IFERROR(INDEX('07_Equipment'!$G:$G,MATCH(E229,'07_Equipment'!$A:$A,0)),"NO RATE"))</x:f>
      </x:c>
      <x:c r="M229" s="70" t="str">
        <x:f>IF(OR(I229="",NOT(ISNUMBER(L229))),"",I229*L229)</x:f>
      </x:c>
      <x:c r="N229" s="15"/>
      <x:c r="O229" s="15" t="str">
        <x:f>IF(COUNTA(B229:H229,J229:K229,N229:N229)=0,"",TEXTJOIN("; ",TRUE,IF(B229="","Missing work date",""),IF(C229="","Missing project",""),IF(E229="","Missing equipment",""),IF(H229&lt;G229,"End meter before start",""),IF(L229="NO RATE","Missing equipment rate","")))</x:f>
      </x:c>
    </x:row>
    <x:row r="230" ht="20" customHeight="1">
      <x:c r="A230" s="15"/>
      <x:c r="B230" s="28"/>
      <x:c r="C230" s="15"/>
      <x:c r="D230" s="15"/>
      <x:c r="E230" s="15"/>
      <x:c r="F230" s="15"/>
      <x:c r="G230" s="138"/>
      <x:c r="H230" s="138"/>
      <x:c r="I230" s="138" t="str">
        <x:f>IF(OR(G230="",H230=""),"",MAX(0,H230-G230))</x:f>
      </x:c>
      <x:c r="J230" s="138"/>
      <x:c r="K230" s="138"/>
      <x:c r="L230" s="70" t="str">
        <x:f>IF(E230="","",IFERROR(INDEX('07_Equipment'!$G:$G,MATCH(E230,'07_Equipment'!$A:$A,0)),"NO RATE"))</x:f>
      </x:c>
      <x:c r="M230" s="70" t="str">
        <x:f>IF(OR(I230="",NOT(ISNUMBER(L230))),"",I230*L230)</x:f>
      </x:c>
      <x:c r="N230" s="15"/>
      <x:c r="O230" s="15" t="str">
        <x:f>IF(COUNTA(B230:H230,J230:K230,N230:N230)=0,"",TEXTJOIN("; ",TRUE,IF(B230="","Missing work date",""),IF(C230="","Missing project",""),IF(E230="","Missing equipment",""),IF(H230&lt;G230,"End meter before start",""),IF(L230="NO RATE","Missing equipment rate","")))</x:f>
      </x:c>
    </x:row>
    <x:row r="231" ht="20" customHeight="1">
      <x:c r="A231" s="15"/>
      <x:c r="B231" s="28"/>
      <x:c r="C231" s="15"/>
      <x:c r="D231" s="15"/>
      <x:c r="E231" s="15"/>
      <x:c r="F231" s="15"/>
      <x:c r="G231" s="138"/>
      <x:c r="H231" s="138"/>
      <x:c r="I231" s="138" t="str">
        <x:f>IF(OR(G231="",H231=""),"",MAX(0,H231-G231))</x:f>
      </x:c>
      <x:c r="J231" s="138"/>
      <x:c r="K231" s="138"/>
      <x:c r="L231" s="70" t="str">
        <x:f>IF(E231="","",IFERROR(INDEX('07_Equipment'!$G:$G,MATCH(E231,'07_Equipment'!$A:$A,0)),"NO RATE"))</x:f>
      </x:c>
      <x:c r="M231" s="70" t="str">
        <x:f>IF(OR(I231="",NOT(ISNUMBER(L231))),"",I231*L231)</x:f>
      </x:c>
      <x:c r="N231" s="15"/>
      <x:c r="O231" s="15" t="str">
        <x:f>IF(COUNTA(B231:H231,J231:K231,N231:N231)=0,"",TEXTJOIN("; ",TRUE,IF(B231="","Missing work date",""),IF(C231="","Missing project",""),IF(E231="","Missing equipment",""),IF(H231&lt;G231,"End meter before start",""),IF(L231="NO RATE","Missing equipment rate","")))</x:f>
      </x:c>
    </x:row>
    <x:row r="232" ht="20" customHeight="1">
      <x:c r="A232" s="15"/>
      <x:c r="B232" s="28"/>
      <x:c r="C232" s="15"/>
      <x:c r="D232" s="15"/>
      <x:c r="E232" s="15"/>
      <x:c r="F232" s="15"/>
      <x:c r="G232" s="138"/>
      <x:c r="H232" s="138"/>
      <x:c r="I232" s="138" t="str">
        <x:f>IF(OR(G232="",H232=""),"",MAX(0,H232-G232))</x:f>
      </x:c>
      <x:c r="J232" s="138"/>
      <x:c r="K232" s="138"/>
      <x:c r="L232" s="70" t="str">
        <x:f>IF(E232="","",IFERROR(INDEX('07_Equipment'!$G:$G,MATCH(E232,'07_Equipment'!$A:$A,0)),"NO RATE"))</x:f>
      </x:c>
      <x:c r="M232" s="70" t="str">
        <x:f>IF(OR(I232="",NOT(ISNUMBER(L232))),"",I232*L232)</x:f>
      </x:c>
      <x:c r="N232" s="15"/>
      <x:c r="O232" s="15" t="str">
        <x:f>IF(COUNTA(B232:H232,J232:K232,N232:N232)=0,"",TEXTJOIN("; ",TRUE,IF(B232="","Missing work date",""),IF(C232="","Missing project",""),IF(E232="","Missing equipment",""),IF(H232&lt;G232,"End meter before start",""),IF(L232="NO RATE","Missing equipment rate","")))</x:f>
      </x:c>
    </x:row>
    <x:row r="233" ht="20" customHeight="1">
      <x:c r="A233" s="15"/>
      <x:c r="B233" s="28"/>
      <x:c r="C233" s="15"/>
      <x:c r="D233" s="15"/>
      <x:c r="E233" s="15"/>
      <x:c r="F233" s="15"/>
      <x:c r="G233" s="138"/>
      <x:c r="H233" s="138"/>
      <x:c r="I233" s="138" t="str">
        <x:f>IF(OR(G233="",H233=""),"",MAX(0,H233-G233))</x:f>
      </x:c>
      <x:c r="J233" s="138"/>
      <x:c r="K233" s="138"/>
      <x:c r="L233" s="70" t="str">
        <x:f>IF(E233="","",IFERROR(INDEX('07_Equipment'!$G:$G,MATCH(E233,'07_Equipment'!$A:$A,0)),"NO RATE"))</x:f>
      </x:c>
      <x:c r="M233" s="70" t="str">
        <x:f>IF(OR(I233="",NOT(ISNUMBER(L233))),"",I233*L233)</x:f>
      </x:c>
      <x:c r="N233" s="15"/>
      <x:c r="O233" s="15" t="str">
        <x:f>IF(COUNTA(B233:H233,J233:K233,N233:N233)=0,"",TEXTJOIN("; ",TRUE,IF(B233="","Missing work date",""),IF(C233="","Missing project",""),IF(E233="","Missing equipment",""),IF(H233&lt;G233,"End meter before start",""),IF(L233="NO RATE","Missing equipment rate","")))</x:f>
      </x:c>
    </x:row>
    <x:row r="234" ht="20" customHeight="1">
      <x:c r="A234" s="15"/>
      <x:c r="B234" s="28"/>
      <x:c r="C234" s="15"/>
      <x:c r="D234" s="15"/>
      <x:c r="E234" s="15"/>
      <x:c r="F234" s="15"/>
      <x:c r="G234" s="138"/>
      <x:c r="H234" s="138"/>
      <x:c r="I234" s="138" t="str">
        <x:f>IF(OR(G234="",H234=""),"",MAX(0,H234-G234))</x:f>
      </x:c>
      <x:c r="J234" s="138"/>
      <x:c r="K234" s="138"/>
      <x:c r="L234" s="70" t="str">
        <x:f>IF(E234="","",IFERROR(INDEX('07_Equipment'!$G:$G,MATCH(E234,'07_Equipment'!$A:$A,0)),"NO RATE"))</x:f>
      </x:c>
      <x:c r="M234" s="70" t="str">
        <x:f>IF(OR(I234="",NOT(ISNUMBER(L234))),"",I234*L234)</x:f>
      </x:c>
      <x:c r="N234" s="15"/>
      <x:c r="O234" s="15" t="str">
        <x:f>IF(COUNTA(B234:H234,J234:K234,N234:N234)=0,"",TEXTJOIN("; ",TRUE,IF(B234="","Missing work date",""),IF(C234="","Missing project",""),IF(E234="","Missing equipment",""),IF(H234&lt;G234,"End meter before start",""),IF(L234="NO RATE","Missing equipment rate","")))</x:f>
      </x:c>
    </x:row>
    <x:row r="235" ht="20" customHeight="1">
      <x:c r="A235" s="15"/>
      <x:c r="B235" s="28"/>
      <x:c r="C235" s="15"/>
      <x:c r="D235" s="15"/>
      <x:c r="E235" s="15"/>
      <x:c r="F235" s="15"/>
      <x:c r="G235" s="138"/>
      <x:c r="H235" s="138"/>
      <x:c r="I235" s="138" t="str">
        <x:f>IF(OR(G235="",H235=""),"",MAX(0,H235-G235))</x:f>
      </x:c>
      <x:c r="J235" s="138"/>
      <x:c r="K235" s="138"/>
      <x:c r="L235" s="70" t="str">
        <x:f>IF(E235="","",IFERROR(INDEX('07_Equipment'!$G:$G,MATCH(E235,'07_Equipment'!$A:$A,0)),"NO RATE"))</x:f>
      </x:c>
      <x:c r="M235" s="70" t="str">
        <x:f>IF(OR(I235="",NOT(ISNUMBER(L235))),"",I235*L235)</x:f>
      </x:c>
      <x:c r="N235" s="15"/>
      <x:c r="O235" s="15" t="str">
        <x:f>IF(COUNTA(B235:H235,J235:K235,N235:N235)=0,"",TEXTJOIN("; ",TRUE,IF(B235="","Missing work date",""),IF(C235="","Missing project",""),IF(E235="","Missing equipment",""),IF(H235&lt;G235,"End meter before start",""),IF(L235="NO RATE","Missing equipment rate","")))</x:f>
      </x:c>
    </x:row>
    <x:row r="236" ht="20" customHeight="1">
      <x:c r="A236" s="15"/>
      <x:c r="B236" s="28"/>
      <x:c r="C236" s="15"/>
      <x:c r="D236" s="15"/>
      <x:c r="E236" s="15"/>
      <x:c r="F236" s="15"/>
      <x:c r="G236" s="138"/>
      <x:c r="H236" s="138"/>
      <x:c r="I236" s="138" t="str">
        <x:f>IF(OR(G236="",H236=""),"",MAX(0,H236-G236))</x:f>
      </x:c>
      <x:c r="J236" s="138"/>
      <x:c r="K236" s="138"/>
      <x:c r="L236" s="70" t="str">
        <x:f>IF(E236="","",IFERROR(INDEX('07_Equipment'!$G:$G,MATCH(E236,'07_Equipment'!$A:$A,0)),"NO RATE"))</x:f>
      </x:c>
      <x:c r="M236" s="70" t="str">
        <x:f>IF(OR(I236="",NOT(ISNUMBER(L236))),"",I236*L236)</x:f>
      </x:c>
      <x:c r="N236" s="15"/>
      <x:c r="O236" s="15" t="str">
        <x:f>IF(COUNTA(B236:H236,J236:K236,N236:N236)=0,"",TEXTJOIN("; ",TRUE,IF(B236="","Missing work date",""),IF(C236="","Missing project",""),IF(E236="","Missing equipment",""),IF(H236&lt;G236,"End meter before start",""),IF(L236="NO RATE","Missing equipment rate","")))</x:f>
      </x:c>
    </x:row>
    <x:row r="237" ht="20" customHeight="1">
      <x:c r="A237" s="15"/>
      <x:c r="B237" s="28"/>
      <x:c r="C237" s="15"/>
      <x:c r="D237" s="15"/>
      <x:c r="E237" s="15"/>
      <x:c r="F237" s="15"/>
      <x:c r="G237" s="138"/>
      <x:c r="H237" s="138"/>
      <x:c r="I237" s="138" t="str">
        <x:f>IF(OR(G237="",H237=""),"",MAX(0,H237-G237))</x:f>
      </x:c>
      <x:c r="J237" s="138"/>
      <x:c r="K237" s="138"/>
      <x:c r="L237" s="70" t="str">
        <x:f>IF(E237="","",IFERROR(INDEX('07_Equipment'!$G:$G,MATCH(E237,'07_Equipment'!$A:$A,0)),"NO RATE"))</x:f>
      </x:c>
      <x:c r="M237" s="70" t="str">
        <x:f>IF(OR(I237="",NOT(ISNUMBER(L237))),"",I237*L237)</x:f>
      </x:c>
      <x:c r="N237" s="15"/>
      <x:c r="O237" s="15" t="str">
        <x:f>IF(COUNTA(B237:H237,J237:K237,N237:N237)=0,"",TEXTJOIN("; ",TRUE,IF(B237="","Missing work date",""),IF(C237="","Missing project",""),IF(E237="","Missing equipment",""),IF(H237&lt;G237,"End meter before start",""),IF(L237="NO RATE","Missing equipment rate","")))</x:f>
      </x:c>
    </x:row>
    <x:row r="238" ht="20" customHeight="1">
      <x:c r="A238" s="15"/>
      <x:c r="B238" s="28"/>
      <x:c r="C238" s="15"/>
      <x:c r="D238" s="15"/>
      <x:c r="E238" s="15"/>
      <x:c r="F238" s="15"/>
      <x:c r="G238" s="138"/>
      <x:c r="H238" s="138"/>
      <x:c r="I238" s="138" t="str">
        <x:f>IF(OR(G238="",H238=""),"",MAX(0,H238-G238))</x:f>
      </x:c>
      <x:c r="J238" s="138"/>
      <x:c r="K238" s="138"/>
      <x:c r="L238" s="70" t="str">
        <x:f>IF(E238="","",IFERROR(INDEX('07_Equipment'!$G:$G,MATCH(E238,'07_Equipment'!$A:$A,0)),"NO RATE"))</x:f>
      </x:c>
      <x:c r="M238" s="70" t="str">
        <x:f>IF(OR(I238="",NOT(ISNUMBER(L238))),"",I238*L238)</x:f>
      </x:c>
      <x:c r="N238" s="15"/>
      <x:c r="O238" s="15" t="str">
        <x:f>IF(COUNTA(B238:H238,J238:K238,N238:N238)=0,"",TEXTJOIN("; ",TRUE,IF(B238="","Missing work date",""),IF(C238="","Missing project",""),IF(E238="","Missing equipment",""),IF(H238&lt;G238,"End meter before start",""),IF(L238="NO RATE","Missing equipment rate","")))</x:f>
      </x:c>
    </x:row>
    <x:row r="239" ht="20" customHeight="1">
      <x:c r="A239" s="15"/>
      <x:c r="B239" s="28"/>
      <x:c r="C239" s="15"/>
      <x:c r="D239" s="15"/>
      <x:c r="E239" s="15"/>
      <x:c r="F239" s="15"/>
      <x:c r="G239" s="138"/>
      <x:c r="H239" s="138"/>
      <x:c r="I239" s="138" t="str">
        <x:f>IF(OR(G239="",H239=""),"",MAX(0,H239-G239))</x:f>
      </x:c>
      <x:c r="J239" s="138"/>
      <x:c r="K239" s="138"/>
      <x:c r="L239" s="70" t="str">
        <x:f>IF(E239="","",IFERROR(INDEX('07_Equipment'!$G:$G,MATCH(E239,'07_Equipment'!$A:$A,0)),"NO RATE"))</x:f>
      </x:c>
      <x:c r="M239" s="70" t="str">
        <x:f>IF(OR(I239="",NOT(ISNUMBER(L239))),"",I239*L239)</x:f>
      </x:c>
      <x:c r="N239" s="15"/>
      <x:c r="O239" s="15" t="str">
        <x:f>IF(COUNTA(B239:H239,J239:K239,N239:N239)=0,"",TEXTJOIN("; ",TRUE,IF(B239="","Missing work date",""),IF(C239="","Missing project",""),IF(E239="","Missing equipment",""),IF(H239&lt;G239,"End meter before start",""),IF(L239="NO RATE","Missing equipment rate","")))</x:f>
      </x:c>
    </x:row>
    <x:row r="240" ht="20" customHeight="1">
      <x:c r="A240" s="15"/>
      <x:c r="B240" s="28"/>
      <x:c r="C240" s="15"/>
      <x:c r="D240" s="15"/>
      <x:c r="E240" s="15"/>
      <x:c r="F240" s="15"/>
      <x:c r="G240" s="138"/>
      <x:c r="H240" s="138"/>
      <x:c r="I240" s="138" t="str">
        <x:f>IF(OR(G240="",H240=""),"",MAX(0,H240-G240))</x:f>
      </x:c>
      <x:c r="J240" s="138"/>
      <x:c r="K240" s="138"/>
      <x:c r="L240" s="70" t="str">
        <x:f>IF(E240="","",IFERROR(INDEX('07_Equipment'!$G:$G,MATCH(E240,'07_Equipment'!$A:$A,0)),"NO RATE"))</x:f>
      </x:c>
      <x:c r="M240" s="70" t="str">
        <x:f>IF(OR(I240="",NOT(ISNUMBER(L240))),"",I240*L240)</x:f>
      </x:c>
      <x:c r="N240" s="15"/>
      <x:c r="O240" s="15" t="str">
        <x:f>IF(COUNTA(B240:H240,J240:K240,N240:N240)=0,"",TEXTJOIN("; ",TRUE,IF(B240="","Missing work date",""),IF(C240="","Missing project",""),IF(E240="","Missing equipment",""),IF(H240&lt;G240,"End meter before start",""),IF(L240="NO RATE","Missing equipment rate","")))</x:f>
      </x:c>
    </x:row>
    <x:row r="241" ht="20" customHeight="1">
      <x:c r="A241" s="15"/>
      <x:c r="B241" s="28"/>
      <x:c r="C241" s="15"/>
      <x:c r="D241" s="15"/>
      <x:c r="E241" s="15"/>
      <x:c r="F241" s="15"/>
      <x:c r="G241" s="138"/>
      <x:c r="H241" s="138"/>
      <x:c r="I241" s="138" t="str">
        <x:f>IF(OR(G241="",H241=""),"",MAX(0,H241-G241))</x:f>
      </x:c>
      <x:c r="J241" s="138"/>
      <x:c r="K241" s="138"/>
      <x:c r="L241" s="70" t="str">
        <x:f>IF(E241="","",IFERROR(INDEX('07_Equipment'!$G:$G,MATCH(E241,'07_Equipment'!$A:$A,0)),"NO RATE"))</x:f>
      </x:c>
      <x:c r="M241" s="70" t="str">
        <x:f>IF(OR(I241="",NOT(ISNUMBER(L241))),"",I241*L241)</x:f>
      </x:c>
      <x:c r="N241" s="15"/>
      <x:c r="O241" s="15" t="str">
        <x:f>IF(COUNTA(B241:H241,J241:K241,N241:N241)=0,"",TEXTJOIN("; ",TRUE,IF(B241="","Missing work date",""),IF(C241="","Missing project",""),IF(E241="","Missing equipment",""),IF(H241&lt;G241,"End meter before start",""),IF(L241="NO RATE","Missing equipment rate","")))</x:f>
      </x:c>
    </x:row>
    <x:row r="242" ht="20" customHeight="1">
      <x:c r="A242" s="15"/>
      <x:c r="B242" s="28"/>
      <x:c r="C242" s="15"/>
      <x:c r="D242" s="15"/>
      <x:c r="E242" s="15"/>
      <x:c r="F242" s="15"/>
      <x:c r="G242" s="138"/>
      <x:c r="H242" s="138"/>
      <x:c r="I242" s="138" t="str">
        <x:f>IF(OR(G242="",H242=""),"",MAX(0,H242-G242))</x:f>
      </x:c>
      <x:c r="J242" s="138"/>
      <x:c r="K242" s="138"/>
      <x:c r="L242" s="70" t="str">
        <x:f>IF(E242="","",IFERROR(INDEX('07_Equipment'!$G:$G,MATCH(E242,'07_Equipment'!$A:$A,0)),"NO RATE"))</x:f>
      </x:c>
      <x:c r="M242" s="70" t="str">
        <x:f>IF(OR(I242="",NOT(ISNUMBER(L242))),"",I242*L242)</x:f>
      </x:c>
      <x:c r="N242" s="15"/>
      <x:c r="O242" s="15" t="str">
        <x:f>IF(COUNTA(B242:H242,J242:K242,N242:N242)=0,"",TEXTJOIN("; ",TRUE,IF(B242="","Missing work date",""),IF(C242="","Missing project",""),IF(E242="","Missing equipment",""),IF(H242&lt;G242,"End meter before start",""),IF(L242="NO RATE","Missing equipment rate","")))</x:f>
      </x:c>
    </x:row>
    <x:row r="243" ht="20" customHeight="1">
      <x:c r="A243" s="15"/>
      <x:c r="B243" s="28"/>
      <x:c r="C243" s="15"/>
      <x:c r="D243" s="15"/>
      <x:c r="E243" s="15"/>
      <x:c r="F243" s="15"/>
      <x:c r="G243" s="138"/>
      <x:c r="H243" s="138"/>
      <x:c r="I243" s="138" t="str">
        <x:f>IF(OR(G243="",H243=""),"",MAX(0,H243-G243))</x:f>
      </x:c>
      <x:c r="J243" s="138"/>
      <x:c r="K243" s="138"/>
      <x:c r="L243" s="70" t="str">
        <x:f>IF(E243="","",IFERROR(INDEX('07_Equipment'!$G:$G,MATCH(E243,'07_Equipment'!$A:$A,0)),"NO RATE"))</x:f>
      </x:c>
      <x:c r="M243" s="70" t="str">
        <x:f>IF(OR(I243="",NOT(ISNUMBER(L243))),"",I243*L243)</x:f>
      </x:c>
      <x:c r="N243" s="15"/>
      <x:c r="O243" s="15" t="str">
        <x:f>IF(COUNTA(B243:H243,J243:K243,N243:N243)=0,"",TEXTJOIN("; ",TRUE,IF(B243="","Missing work date",""),IF(C243="","Missing project",""),IF(E243="","Missing equipment",""),IF(H243&lt;G243,"End meter before start",""),IF(L243="NO RATE","Missing equipment rate","")))</x:f>
      </x:c>
    </x:row>
    <x:row r="244" ht="20" customHeight="1">
      <x:c r="A244" s="15"/>
      <x:c r="B244" s="28"/>
      <x:c r="C244" s="15"/>
      <x:c r="D244" s="15"/>
      <x:c r="E244" s="15"/>
      <x:c r="F244" s="15"/>
      <x:c r="G244" s="138"/>
      <x:c r="H244" s="138"/>
      <x:c r="I244" s="138" t="str">
        <x:f>IF(OR(G244="",H244=""),"",MAX(0,H244-G244))</x:f>
      </x:c>
      <x:c r="J244" s="138"/>
      <x:c r="K244" s="138"/>
      <x:c r="L244" s="70" t="str">
        <x:f>IF(E244="","",IFERROR(INDEX('07_Equipment'!$G:$G,MATCH(E244,'07_Equipment'!$A:$A,0)),"NO RATE"))</x:f>
      </x:c>
      <x:c r="M244" s="70" t="str">
        <x:f>IF(OR(I244="",NOT(ISNUMBER(L244))),"",I244*L244)</x:f>
      </x:c>
      <x:c r="N244" s="15"/>
      <x:c r="O244" s="15" t="str">
        <x:f>IF(COUNTA(B244:H244,J244:K244,N244:N244)=0,"",TEXTJOIN("; ",TRUE,IF(B244="","Missing work date",""),IF(C244="","Missing project",""),IF(E244="","Missing equipment",""),IF(H244&lt;G244,"End meter before start",""),IF(L244="NO RATE","Missing equipment rate","")))</x:f>
      </x:c>
    </x:row>
    <x:row r="245" ht="20" customHeight="1">
      <x:c r="A245" s="15"/>
      <x:c r="B245" s="28"/>
      <x:c r="C245" s="15"/>
      <x:c r="D245" s="15"/>
      <x:c r="E245" s="15"/>
      <x:c r="F245" s="15"/>
      <x:c r="G245" s="138"/>
      <x:c r="H245" s="138"/>
      <x:c r="I245" s="138" t="str">
        <x:f>IF(OR(G245="",H245=""),"",MAX(0,H245-G245))</x:f>
      </x:c>
      <x:c r="J245" s="138"/>
      <x:c r="K245" s="138"/>
      <x:c r="L245" s="70" t="str">
        <x:f>IF(E245="","",IFERROR(INDEX('07_Equipment'!$G:$G,MATCH(E245,'07_Equipment'!$A:$A,0)),"NO RATE"))</x:f>
      </x:c>
      <x:c r="M245" s="70" t="str">
        <x:f>IF(OR(I245="",NOT(ISNUMBER(L245))),"",I245*L245)</x:f>
      </x:c>
      <x:c r="N245" s="15"/>
      <x:c r="O245" s="15" t="str">
        <x:f>IF(COUNTA(B245:H245,J245:K245,N245:N245)=0,"",TEXTJOIN("; ",TRUE,IF(B245="","Missing work date",""),IF(C245="","Missing project",""),IF(E245="","Missing equipment",""),IF(H245&lt;G245,"End meter before start",""),IF(L245="NO RATE","Missing equipment rate","")))</x:f>
      </x:c>
    </x:row>
    <x:row r="246" ht="20" customHeight="1">
      <x:c r="A246" s="15"/>
      <x:c r="B246" s="28"/>
      <x:c r="C246" s="15"/>
      <x:c r="D246" s="15"/>
      <x:c r="E246" s="15"/>
      <x:c r="F246" s="15"/>
      <x:c r="G246" s="138"/>
      <x:c r="H246" s="138"/>
      <x:c r="I246" s="138" t="str">
        <x:f>IF(OR(G246="",H246=""),"",MAX(0,H246-G246))</x:f>
      </x:c>
      <x:c r="J246" s="138"/>
      <x:c r="K246" s="138"/>
      <x:c r="L246" s="70" t="str">
        <x:f>IF(E246="","",IFERROR(INDEX('07_Equipment'!$G:$G,MATCH(E246,'07_Equipment'!$A:$A,0)),"NO RATE"))</x:f>
      </x:c>
      <x:c r="M246" s="70" t="str">
        <x:f>IF(OR(I246="",NOT(ISNUMBER(L246))),"",I246*L246)</x:f>
      </x:c>
      <x:c r="N246" s="15"/>
      <x:c r="O246" s="15" t="str">
        <x:f>IF(COUNTA(B246:H246,J246:K246,N246:N246)=0,"",TEXTJOIN("; ",TRUE,IF(B246="","Missing work date",""),IF(C246="","Missing project",""),IF(E246="","Missing equipment",""),IF(H246&lt;G246,"End meter before start",""),IF(L246="NO RATE","Missing equipment rate","")))</x:f>
      </x:c>
    </x:row>
    <x:row r="247" ht="20" customHeight="1">
      <x:c r="A247" s="15"/>
      <x:c r="B247" s="28"/>
      <x:c r="C247" s="15"/>
      <x:c r="D247" s="15"/>
      <x:c r="E247" s="15"/>
      <x:c r="F247" s="15"/>
      <x:c r="G247" s="138"/>
      <x:c r="H247" s="138"/>
      <x:c r="I247" s="138" t="str">
        <x:f>IF(OR(G247="",H247=""),"",MAX(0,H247-G247))</x:f>
      </x:c>
      <x:c r="J247" s="138"/>
      <x:c r="K247" s="138"/>
      <x:c r="L247" s="70" t="str">
        <x:f>IF(E247="","",IFERROR(INDEX('07_Equipment'!$G:$G,MATCH(E247,'07_Equipment'!$A:$A,0)),"NO RATE"))</x:f>
      </x:c>
      <x:c r="M247" s="70" t="str">
        <x:f>IF(OR(I247="",NOT(ISNUMBER(L247))),"",I247*L247)</x:f>
      </x:c>
      <x:c r="N247" s="15"/>
      <x:c r="O247" s="15" t="str">
        <x:f>IF(COUNTA(B247:H247,J247:K247,N247:N247)=0,"",TEXTJOIN("; ",TRUE,IF(B247="","Missing work date",""),IF(C247="","Missing project",""),IF(E247="","Missing equipment",""),IF(H247&lt;G247,"End meter before start",""),IF(L247="NO RATE","Missing equipment rate","")))</x:f>
      </x:c>
    </x:row>
    <x:row r="248" ht="20" customHeight="1">
      <x:c r="A248" s="15"/>
      <x:c r="B248" s="28"/>
      <x:c r="C248" s="15"/>
      <x:c r="D248" s="15"/>
      <x:c r="E248" s="15"/>
      <x:c r="F248" s="15"/>
      <x:c r="G248" s="138"/>
      <x:c r="H248" s="138"/>
      <x:c r="I248" s="138" t="str">
        <x:f>IF(OR(G248="",H248=""),"",MAX(0,H248-G248))</x:f>
      </x:c>
      <x:c r="J248" s="138"/>
      <x:c r="K248" s="138"/>
      <x:c r="L248" s="70" t="str">
        <x:f>IF(E248="","",IFERROR(INDEX('07_Equipment'!$G:$G,MATCH(E248,'07_Equipment'!$A:$A,0)),"NO RATE"))</x:f>
      </x:c>
      <x:c r="M248" s="70" t="str">
        <x:f>IF(OR(I248="",NOT(ISNUMBER(L248))),"",I248*L248)</x:f>
      </x:c>
      <x:c r="N248" s="15"/>
      <x:c r="O248" s="15" t="str">
        <x:f>IF(COUNTA(B248:H248,J248:K248,N248:N248)=0,"",TEXTJOIN("; ",TRUE,IF(B248="","Missing work date",""),IF(C248="","Missing project",""),IF(E248="","Missing equipment",""),IF(H248&lt;G248,"End meter before start",""),IF(L248="NO RATE","Missing equipment rate","")))</x:f>
      </x:c>
    </x:row>
    <x:row r="249" ht="20" customHeight="1">
      <x:c r="A249" s="15"/>
      <x:c r="B249" s="28"/>
      <x:c r="C249" s="15"/>
      <x:c r="D249" s="15"/>
      <x:c r="E249" s="15"/>
      <x:c r="F249" s="15"/>
      <x:c r="G249" s="138"/>
      <x:c r="H249" s="138"/>
      <x:c r="I249" s="138" t="str">
        <x:f>IF(OR(G249="",H249=""),"",MAX(0,H249-G249))</x:f>
      </x:c>
      <x:c r="J249" s="138"/>
      <x:c r="K249" s="138"/>
      <x:c r="L249" s="70" t="str">
        <x:f>IF(E249="","",IFERROR(INDEX('07_Equipment'!$G:$G,MATCH(E249,'07_Equipment'!$A:$A,0)),"NO RATE"))</x:f>
      </x:c>
      <x:c r="M249" s="70" t="str">
        <x:f>IF(OR(I249="",NOT(ISNUMBER(L249))),"",I249*L249)</x:f>
      </x:c>
      <x:c r="N249" s="15"/>
      <x:c r="O249" s="15" t="str">
        <x:f>IF(COUNTA(B249:H249,J249:K249,N249:N249)=0,"",TEXTJOIN("; ",TRUE,IF(B249="","Missing work date",""),IF(C249="","Missing project",""),IF(E249="","Missing equipment",""),IF(H249&lt;G249,"End meter before start",""),IF(L249="NO RATE","Missing equipment rate","")))</x:f>
      </x:c>
    </x:row>
    <x:row r="250" ht="20" customHeight="1">
      <x:c r="A250" s="15"/>
      <x:c r="B250" s="28"/>
      <x:c r="C250" s="15"/>
      <x:c r="D250" s="15"/>
      <x:c r="E250" s="15"/>
      <x:c r="F250" s="15"/>
      <x:c r="G250" s="138"/>
      <x:c r="H250" s="138"/>
      <x:c r="I250" s="138" t="str">
        <x:f>IF(OR(G250="",H250=""),"",MAX(0,H250-G250))</x:f>
      </x:c>
      <x:c r="J250" s="138"/>
      <x:c r="K250" s="138"/>
      <x:c r="L250" s="70" t="str">
        <x:f>IF(E250="","",IFERROR(INDEX('07_Equipment'!$G:$G,MATCH(E250,'07_Equipment'!$A:$A,0)),"NO RATE"))</x:f>
      </x:c>
      <x:c r="M250" s="70" t="str">
        <x:f>IF(OR(I250="",NOT(ISNUMBER(L250))),"",I250*L250)</x:f>
      </x:c>
      <x:c r="N250" s="15"/>
      <x:c r="O250" s="15" t="str">
        <x:f>IF(COUNTA(B250:H250,J250:K250,N250:N250)=0,"",TEXTJOIN("; ",TRUE,IF(B250="","Missing work date",""),IF(C250="","Missing project",""),IF(E250="","Missing equipment",""),IF(H250&lt;G250,"End meter before start",""),IF(L250="NO RATE","Missing equipment rate","")))</x:f>
      </x:c>
    </x:row>
    <x:row r="251" ht="20" customHeight="1">
      <x:c r="A251" s="15"/>
      <x:c r="B251" s="28"/>
      <x:c r="C251" s="15"/>
      <x:c r="D251" s="15"/>
      <x:c r="E251" s="15"/>
      <x:c r="F251" s="15"/>
      <x:c r="G251" s="138"/>
      <x:c r="H251" s="138"/>
      <x:c r="I251" s="138" t="str">
        <x:f>IF(OR(G251="",H251=""),"",MAX(0,H251-G251))</x:f>
      </x:c>
      <x:c r="J251" s="138"/>
      <x:c r="K251" s="138"/>
      <x:c r="L251" s="70" t="str">
        <x:f>IF(E251="","",IFERROR(INDEX('07_Equipment'!$G:$G,MATCH(E251,'07_Equipment'!$A:$A,0)),"NO RATE"))</x:f>
      </x:c>
      <x:c r="M251" s="70" t="str">
        <x:f>IF(OR(I251="",NOT(ISNUMBER(L251))),"",I251*L251)</x:f>
      </x:c>
      <x:c r="N251" s="15"/>
      <x:c r="O251" s="15" t="str">
        <x:f>IF(COUNTA(B251:H251,J251:K251,N251:N251)=0,"",TEXTJOIN("; ",TRUE,IF(B251="","Missing work date",""),IF(C251="","Missing project",""),IF(E251="","Missing equipment",""),IF(H251&lt;G251,"End meter before start",""),IF(L251="NO RATE","Missing equipment rate","")))</x:f>
      </x:c>
    </x:row>
  </x:sheetData>
  <x:conditionalFormatting sqref="O2:O251">
    <x:cfRule type="expression" dxfId="5" priority="1">
      <x:formula>O2&lt;&gt;""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b1880d040ce44d5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18" hidden="0" customWidth="1"/>
    <x:col min="7" max="7" width="12" hidden="0" customWidth="1"/>
    <x:col min="8" max="8" width="42" hidden="0" customWidth="1"/>
    <x:col min="9" max="9" width="42" hidden="0" customWidth="1"/>
    <x:col min="10" max="10" width="14" hidden="0" customWidth="1"/>
    <x:col min="11" max="11" width="18" hidden="0" customWidth="1"/>
    <x:col min="12" max="12" width="18" hidden="0" customWidth="1"/>
    <x:col min="13" max="13" width="48" hidden="0" customWidth="1"/>
  </x:cols>
  <x:sheetData>
    <x:row r="1" ht="30" customHeight="1">
      <x:c r="A1" s="186" t="str">
        <x:v>SafetyID</x:v>
      </x:c>
      <x:c r="B1" s="186" t="str">
        <x:v>WorkDate</x:v>
      </x:c>
      <x:c r="C1" s="186" t="str">
        <x:v>ProjectID</x:v>
      </x:c>
      <x:c r="D1" s="186" t="str">
        <x:v>JobID</x:v>
      </x:c>
      <x:c r="E1" s="186" t="str">
        <x:v>CrewID</x:v>
      </x:c>
      <x:c r="F1" s="186" t="str">
        <x:v>Type</x:v>
      </x:c>
      <x:c r="G1" s="186" t="str">
        <x:v>Severity</x:v>
      </x:c>
      <x:c r="H1" s="186" t="str">
        <x:v>Description</x:v>
      </x:c>
      <x:c r="I1" s="186" t="str">
        <x:v>CorrectiveAction</x:v>
      </x:c>
      <x:c r="J1" s="186" t="str">
        <x:v>ReportedBy</x:v>
      </x:c>
      <x:c r="K1" s="186" t="str">
        <x:v>Status</x:v>
      </x:c>
      <x:c r="L1" s="186" t="str">
        <x:v>SourceSubmissionID</x:v>
      </x:c>
      <x:c r="M1" s="186" t="str">
        <x:v>ValidationIssues</x:v>
      </x:c>
    </x:row>
    <x:row r="2" ht="20" customHeight="1">
      <x:c r="A2" s="15" t="str">
        <x:v>SAFE-0001</x:v>
      </x:c>
      <x:c r="B2" s="28" t="n">
        <x:v>46204</x:v>
      </x:c>
      <x:c r="C2" s="15" t="str">
        <x:v>PRJ-1002</x:v>
      </x:c>
      <x:c r="D2" s="15" t="str">
        <x:v>JOB-2001</x:v>
      </x:c>
      <x:c r="E2" s="15" t="str">
        <x:v>CRW-C</x:v>
      </x:c>
      <x:c r="F2" s="15" t="str">
        <x:v>Damage</x:v>
      </x:c>
      <x:c r="G2" s="15" t="str">
        <x:v>High</x:v>
      </x:c>
      <x:c r="H2" s="15" t="str">
        <x:v>Customer sidewalk chip documented</x:v>
      </x:c>
      <x:c r="I2" s="15" t="str">
        <x:v>Photo uploaded and PM notified</x:v>
      </x:c>
      <x:c r="J2" s="15" t="str">
        <x:v>EMP-004</x:v>
      </x:c>
      <x:c r="K2" s="15" t="str">
        <x:v>Open</x:v>
      </x:c>
      <x:c r="L2" s="15" t="str">
        <x:v>SUB-0003</x:v>
      </x:c>
      <x:c r="M2" s="15" t="str">
        <x:f>IF(COUNTA(B2:L2)=0,"",TEXTJOIN("; ",TRUE,IF(B2="","Missing work date",""),IF(C2="","Missing project",""),IF(F2="","Missing type",""),IF(G2="","Missing severity",""),IF(H2="","Missing description",""),IF(K2&lt;&gt;"Closed","Open safety item","")))</x:f>
        <x:v>Open safety item</x:v>
      </x:c>
    </x:row>
    <x:row r="3" ht="20" customHeight="1">
      <x:c r="A3" s="15"/>
      <x:c r="B3" s="28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 t="str">
        <x:f>IF(COUNTA(B3:L3)=0,"",TEXTJOIN("; ",TRUE,IF(B3="","Missing work date",""),IF(C3="","Missing project",""),IF(F3="","Missing type",""),IF(G3="","Missing severity",""),IF(H3="","Missing description",""),IF(K3&lt;&gt;"Closed","Open safety item","")))</x:f>
      </x:c>
    </x:row>
    <x:row r="4" ht="20" customHeight="1">
      <x:c r="A4" s="15"/>
      <x:c r="B4" s="28"/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 t="str">
        <x:f>IF(COUNTA(B4:L4)=0,"",TEXTJOIN("; ",TRUE,IF(B4="","Missing work date",""),IF(C4="","Missing project",""),IF(F4="","Missing type",""),IF(G4="","Missing severity",""),IF(H4="","Missing description",""),IF(K4&lt;&gt;"Closed","Open safety item","")))</x:f>
      </x:c>
    </x:row>
    <x:row r="5" ht="20" customHeight="1">
      <x:c r="A5" s="15"/>
      <x:c r="B5" s="28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 t="str">
        <x:f>IF(COUNTA(B5:L5)=0,"",TEXTJOIN("; ",TRUE,IF(B5="","Missing work date",""),IF(C5="","Missing project",""),IF(F5="","Missing type",""),IF(G5="","Missing severity",""),IF(H5="","Missing description",""),IF(K5&lt;&gt;"Closed","Open safety item","")))</x:f>
      </x:c>
    </x:row>
    <x:row r="6" ht="20" customHeight="1">
      <x:c r="A6" s="15"/>
      <x:c r="B6" s="28"/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 t="str">
        <x:f>IF(COUNTA(B6:L6)=0,"",TEXTJOIN("; ",TRUE,IF(B6="","Missing work date",""),IF(C6="","Missing project",""),IF(F6="","Missing type",""),IF(G6="","Missing severity",""),IF(H6="","Missing description",""),IF(K6&lt;&gt;"Closed","Open safety item","")))</x:f>
      </x:c>
    </x:row>
    <x:row r="7" ht="20" customHeight="1">
      <x:c r="A7" s="15"/>
      <x:c r="B7" s="28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 t="str">
        <x:f>IF(COUNTA(B7:L7)=0,"",TEXTJOIN("; ",TRUE,IF(B7="","Missing work date",""),IF(C7="","Missing project",""),IF(F7="","Missing type",""),IF(G7="","Missing severity",""),IF(H7="","Missing description",""),IF(K7&lt;&gt;"Closed","Open safety item","")))</x:f>
      </x:c>
    </x:row>
    <x:row r="8" ht="20" customHeight="1">
      <x:c r="A8" s="15"/>
      <x:c r="B8" s="28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 t="str">
        <x:f>IF(COUNTA(B8:L8)=0,"",TEXTJOIN("; ",TRUE,IF(B8="","Missing work date",""),IF(C8="","Missing project",""),IF(F8="","Missing type",""),IF(G8="","Missing severity",""),IF(H8="","Missing description",""),IF(K8&lt;&gt;"Closed","Open safety item","")))</x:f>
      </x:c>
    </x:row>
    <x:row r="9" ht="20" customHeight="1">
      <x:c r="A9" s="15"/>
      <x:c r="B9" s="28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 t="str">
        <x:f>IF(COUNTA(B9:L9)=0,"",TEXTJOIN("; ",TRUE,IF(B9="","Missing work date",""),IF(C9="","Missing project",""),IF(F9="","Missing type",""),IF(G9="","Missing severity",""),IF(H9="","Missing description",""),IF(K9&lt;&gt;"Closed","Open safety item","")))</x:f>
      </x:c>
    </x:row>
    <x:row r="10" ht="20" customHeight="1">
      <x:c r="A10" s="15"/>
      <x:c r="B10" s="28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 t="str">
        <x:f>IF(COUNTA(B10:L10)=0,"",TEXTJOIN("; ",TRUE,IF(B10="","Missing work date",""),IF(C10="","Missing project",""),IF(F10="","Missing type",""),IF(G10="","Missing severity",""),IF(H10="","Missing description",""),IF(K10&lt;&gt;"Closed","Open safety item","")))</x:f>
      </x:c>
    </x:row>
    <x:row r="11" ht="20" customHeight="1">
      <x:c r="A11" s="15"/>
      <x:c r="B11" s="28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 t="str">
        <x:f>IF(COUNTA(B11:L11)=0,"",TEXTJOIN("; ",TRUE,IF(B11="","Missing work date",""),IF(C11="","Missing project",""),IF(F11="","Missing type",""),IF(G11="","Missing severity",""),IF(H11="","Missing description",""),IF(K11&lt;&gt;"Closed","Open safety item","")))</x:f>
      </x:c>
    </x:row>
    <x:row r="12" ht="20" customHeight="1">
      <x:c r="A12" s="15"/>
      <x:c r="B12" s="28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 t="str">
        <x:f>IF(COUNTA(B12:L12)=0,"",TEXTJOIN("; ",TRUE,IF(B12="","Missing work date",""),IF(C12="","Missing project",""),IF(F12="","Missing type",""),IF(G12="","Missing severity",""),IF(H12="","Missing description",""),IF(K12&lt;&gt;"Closed","Open safety item","")))</x:f>
      </x:c>
    </x:row>
    <x:row r="13" ht="20" customHeight="1">
      <x:c r="A13" s="15"/>
      <x:c r="B13" s="28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 t="str">
        <x:f>IF(COUNTA(B13:L13)=0,"",TEXTJOIN("; ",TRUE,IF(B13="","Missing work date",""),IF(C13="","Missing project",""),IF(F13="","Missing type",""),IF(G13="","Missing severity",""),IF(H13="","Missing description",""),IF(K13&lt;&gt;"Closed","Open safety item","")))</x:f>
      </x:c>
    </x:row>
    <x:row r="14" ht="20" customHeight="1">
      <x:c r="A14" s="15"/>
      <x:c r="B14" s="28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 t="str">
        <x:f>IF(COUNTA(B14:L14)=0,"",TEXTJOIN("; ",TRUE,IF(B14="","Missing work date",""),IF(C14="","Missing project",""),IF(F14="","Missing type",""),IF(G14="","Missing severity",""),IF(H14="","Missing description",""),IF(K14&lt;&gt;"Closed","Open safety item","")))</x:f>
      </x:c>
    </x:row>
    <x:row r="15" ht="20" customHeight="1">
      <x:c r="A15" s="15"/>
      <x:c r="B15" s="28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 t="str">
        <x:f>IF(COUNTA(B15:L15)=0,"",TEXTJOIN("; ",TRUE,IF(B15="","Missing work date",""),IF(C15="","Missing project",""),IF(F15="","Missing type",""),IF(G15="","Missing severity",""),IF(H15="","Missing description",""),IF(K15&lt;&gt;"Closed","Open safety item","")))</x:f>
      </x:c>
    </x:row>
    <x:row r="16" ht="20" customHeight="1">
      <x:c r="A16" s="15"/>
      <x:c r="B16" s="28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 t="str">
        <x:f>IF(COUNTA(B16:L16)=0,"",TEXTJOIN("; ",TRUE,IF(B16="","Missing work date",""),IF(C16="","Missing project",""),IF(F16="","Missing type",""),IF(G16="","Missing severity",""),IF(H16="","Missing description",""),IF(K16&lt;&gt;"Closed","Open safety item","")))</x:f>
      </x:c>
    </x:row>
    <x:row r="17" ht="20" customHeight="1">
      <x:c r="A17" s="15"/>
      <x:c r="B17" s="28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 t="str">
        <x:f>IF(COUNTA(B17:L17)=0,"",TEXTJOIN("; ",TRUE,IF(B17="","Missing work date",""),IF(C17="","Missing project",""),IF(F17="","Missing type",""),IF(G17="","Missing severity",""),IF(H17="","Missing description",""),IF(K17&lt;&gt;"Closed","Open safety item","")))</x:f>
      </x:c>
    </x:row>
    <x:row r="18" ht="20" customHeight="1">
      <x:c r="A18" s="15"/>
      <x:c r="B18" s="28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 t="str">
        <x:f>IF(COUNTA(B18:L18)=0,"",TEXTJOIN("; ",TRUE,IF(B18="","Missing work date",""),IF(C18="","Missing project",""),IF(F18="","Missing type",""),IF(G18="","Missing severity",""),IF(H18="","Missing description",""),IF(K18&lt;&gt;"Closed","Open safety item","")))</x:f>
      </x:c>
    </x:row>
    <x:row r="19" ht="20" customHeight="1">
      <x:c r="A19" s="15"/>
      <x:c r="B19" s="28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 t="str">
        <x:f>IF(COUNTA(B19:L19)=0,"",TEXTJOIN("; ",TRUE,IF(B19="","Missing work date",""),IF(C19="","Missing project",""),IF(F19="","Missing type",""),IF(G19="","Missing severity",""),IF(H19="","Missing description",""),IF(K19&lt;&gt;"Closed","Open safety item","")))</x:f>
      </x:c>
    </x:row>
    <x:row r="20" ht="20" customHeight="1">
      <x:c r="A20" s="15"/>
      <x:c r="B20" s="28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 t="str">
        <x:f>IF(COUNTA(B20:L20)=0,"",TEXTJOIN("; ",TRUE,IF(B20="","Missing work date",""),IF(C20="","Missing project",""),IF(F20="","Missing type",""),IF(G20="","Missing severity",""),IF(H20="","Missing description",""),IF(K20&lt;&gt;"Closed","Open safety item","")))</x:f>
      </x:c>
    </x:row>
    <x:row r="21" ht="20" customHeight="1">
      <x:c r="A21" s="15"/>
      <x:c r="B21" s="28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 t="str">
        <x:f>IF(COUNTA(B21:L21)=0,"",TEXTJOIN("; ",TRUE,IF(B21="","Missing work date",""),IF(C21="","Missing project",""),IF(F21="","Missing type",""),IF(G21="","Missing severity",""),IF(H21="","Missing description",""),IF(K21&lt;&gt;"Closed","Open safety item","")))</x:f>
      </x:c>
    </x:row>
    <x:row r="22" ht="20" customHeight="1">
      <x:c r="A22" s="15"/>
      <x:c r="B22" s="28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 t="str">
        <x:f>IF(COUNTA(B22:L22)=0,"",TEXTJOIN("; ",TRUE,IF(B22="","Missing work date",""),IF(C22="","Missing project",""),IF(F22="","Missing type",""),IF(G22="","Missing severity",""),IF(H22="","Missing description",""),IF(K22&lt;&gt;"Closed","Open safety item","")))</x:f>
      </x:c>
    </x:row>
    <x:row r="23" ht="20" customHeight="1">
      <x:c r="A23" s="15"/>
      <x:c r="B23" s="28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 t="str">
        <x:f>IF(COUNTA(B23:L23)=0,"",TEXTJOIN("; ",TRUE,IF(B23="","Missing work date",""),IF(C23="","Missing project",""),IF(F23="","Missing type",""),IF(G23="","Missing severity",""),IF(H23="","Missing description",""),IF(K23&lt;&gt;"Closed","Open safety item","")))</x:f>
      </x:c>
    </x:row>
    <x:row r="24" ht="20" customHeight="1">
      <x:c r="A24" s="15"/>
      <x:c r="B24" s="28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 t="str">
        <x:f>IF(COUNTA(B24:L24)=0,"",TEXTJOIN("; ",TRUE,IF(B24="","Missing work date",""),IF(C24="","Missing project",""),IF(F24="","Missing type",""),IF(G24="","Missing severity",""),IF(H24="","Missing description",""),IF(K24&lt;&gt;"Closed","Open safety item","")))</x:f>
      </x:c>
    </x:row>
    <x:row r="25" ht="20" customHeight="1">
      <x:c r="A25" s="15"/>
      <x:c r="B25" s="28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 t="str">
        <x:f>IF(COUNTA(B25:L25)=0,"",TEXTJOIN("; ",TRUE,IF(B25="","Missing work date",""),IF(C25="","Missing project",""),IF(F25="","Missing type",""),IF(G25="","Missing severity",""),IF(H25="","Missing description",""),IF(K25&lt;&gt;"Closed","Open safety item","")))</x:f>
      </x:c>
    </x:row>
    <x:row r="26" ht="20" customHeight="1">
      <x:c r="A26" s="15"/>
      <x:c r="B26" s="28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 t="str">
        <x:f>IF(COUNTA(B26:L26)=0,"",TEXTJOIN("; ",TRUE,IF(B26="","Missing work date",""),IF(C26="","Missing project",""),IF(F26="","Missing type",""),IF(G26="","Missing severity",""),IF(H26="","Missing description",""),IF(K26&lt;&gt;"Closed","Open safety item","")))</x:f>
      </x:c>
    </x:row>
    <x:row r="27" ht="20" customHeight="1">
      <x:c r="A27" s="15"/>
      <x:c r="B27" s="28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 t="str">
        <x:f>IF(COUNTA(B27:L27)=0,"",TEXTJOIN("; ",TRUE,IF(B27="","Missing work date",""),IF(C27="","Missing project",""),IF(F27="","Missing type",""),IF(G27="","Missing severity",""),IF(H27="","Missing description",""),IF(K27&lt;&gt;"Closed","Open safety item","")))</x:f>
      </x:c>
    </x:row>
    <x:row r="28" ht="20" customHeight="1">
      <x:c r="A28" s="15"/>
      <x:c r="B28" s="28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 t="str">
        <x:f>IF(COUNTA(B28:L28)=0,"",TEXTJOIN("; ",TRUE,IF(B28="","Missing work date",""),IF(C28="","Missing project",""),IF(F28="","Missing type",""),IF(G28="","Missing severity",""),IF(H28="","Missing description",""),IF(K28&lt;&gt;"Closed","Open safety item","")))</x:f>
      </x:c>
    </x:row>
    <x:row r="29" ht="20" customHeight="1">
      <x:c r="A29" s="15"/>
      <x:c r="B29" s="28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 t="str">
        <x:f>IF(COUNTA(B29:L29)=0,"",TEXTJOIN("; ",TRUE,IF(B29="","Missing work date",""),IF(C29="","Missing project",""),IF(F29="","Missing type",""),IF(G29="","Missing severity",""),IF(H29="","Missing description",""),IF(K29&lt;&gt;"Closed","Open safety item","")))</x:f>
      </x:c>
    </x:row>
    <x:row r="30" ht="20" customHeight="1">
      <x:c r="A30" s="15"/>
      <x:c r="B30" s="28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 t="str">
        <x:f>IF(COUNTA(B30:L30)=0,"",TEXTJOIN("; ",TRUE,IF(B30="","Missing work date",""),IF(C30="","Missing project",""),IF(F30="","Missing type",""),IF(G30="","Missing severity",""),IF(H30="","Missing description",""),IF(K30&lt;&gt;"Closed","Open safety item","")))</x:f>
      </x:c>
    </x:row>
    <x:row r="31" ht="20" customHeight="1">
      <x:c r="A31" s="15"/>
      <x:c r="B31" s="28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 t="str">
        <x:f>IF(COUNTA(B31:L31)=0,"",TEXTJOIN("; ",TRUE,IF(B31="","Missing work date",""),IF(C31="","Missing project",""),IF(F31="","Missing type",""),IF(G31="","Missing severity",""),IF(H31="","Missing description",""),IF(K31&lt;&gt;"Closed","Open safety item","")))</x:f>
      </x:c>
    </x:row>
    <x:row r="32" ht="20" customHeight="1">
      <x:c r="A32" s="15"/>
      <x:c r="B32" s="28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 t="str">
        <x:f>IF(COUNTA(B32:L32)=0,"",TEXTJOIN("; ",TRUE,IF(B32="","Missing work date",""),IF(C32="","Missing project",""),IF(F32="","Missing type",""),IF(G32="","Missing severity",""),IF(H32="","Missing description",""),IF(K32&lt;&gt;"Closed","Open safety item","")))</x:f>
      </x:c>
    </x:row>
    <x:row r="33" ht="20" customHeight="1">
      <x:c r="A33" s="15"/>
      <x:c r="B33" s="28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 t="str">
        <x:f>IF(COUNTA(B33:L33)=0,"",TEXTJOIN("; ",TRUE,IF(B33="","Missing work date",""),IF(C33="","Missing project",""),IF(F33="","Missing type",""),IF(G33="","Missing severity",""),IF(H33="","Missing description",""),IF(K33&lt;&gt;"Closed","Open safety item","")))</x:f>
      </x:c>
    </x:row>
    <x:row r="34" ht="20" customHeight="1">
      <x:c r="A34" s="15"/>
      <x:c r="B34" s="28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 t="str">
        <x:f>IF(COUNTA(B34:L34)=0,"",TEXTJOIN("; ",TRUE,IF(B34="","Missing work date",""),IF(C34="","Missing project",""),IF(F34="","Missing type",""),IF(G34="","Missing severity",""),IF(H34="","Missing description",""),IF(K34&lt;&gt;"Closed","Open safety item","")))</x:f>
      </x:c>
    </x:row>
    <x:row r="35" ht="20" customHeight="1">
      <x:c r="A35" s="15"/>
      <x:c r="B35" s="28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 t="str">
        <x:f>IF(COUNTA(B35:L35)=0,"",TEXTJOIN("; ",TRUE,IF(B35="","Missing work date",""),IF(C35="","Missing project",""),IF(F35="","Missing type",""),IF(G35="","Missing severity",""),IF(H35="","Missing description",""),IF(K35&lt;&gt;"Closed","Open safety item","")))</x:f>
      </x:c>
    </x:row>
    <x:row r="36" ht="20" customHeight="1">
      <x:c r="A36" s="15"/>
      <x:c r="B36" s="28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 t="str">
        <x:f>IF(COUNTA(B36:L36)=0,"",TEXTJOIN("; ",TRUE,IF(B36="","Missing work date",""),IF(C36="","Missing project",""),IF(F36="","Missing type",""),IF(G36="","Missing severity",""),IF(H36="","Missing description",""),IF(K36&lt;&gt;"Closed","Open safety item","")))</x:f>
      </x:c>
    </x:row>
    <x:row r="37" ht="20" customHeight="1">
      <x:c r="A37" s="15"/>
      <x:c r="B37" s="28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 t="str">
        <x:f>IF(COUNTA(B37:L37)=0,"",TEXTJOIN("; ",TRUE,IF(B37="","Missing work date",""),IF(C37="","Missing project",""),IF(F37="","Missing type",""),IF(G37="","Missing severity",""),IF(H37="","Missing description",""),IF(K37&lt;&gt;"Closed","Open safety item","")))</x:f>
      </x:c>
    </x:row>
    <x:row r="38" ht="20" customHeight="1">
      <x:c r="A38" s="15"/>
      <x:c r="B38" s="28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 t="str">
        <x:f>IF(COUNTA(B38:L38)=0,"",TEXTJOIN("; ",TRUE,IF(B38="","Missing work date",""),IF(C38="","Missing project",""),IF(F38="","Missing type",""),IF(G38="","Missing severity",""),IF(H38="","Missing description",""),IF(K38&lt;&gt;"Closed","Open safety item","")))</x:f>
      </x:c>
    </x:row>
    <x:row r="39" ht="20" customHeight="1">
      <x:c r="A39" s="15"/>
      <x:c r="B39" s="28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 t="str">
        <x:f>IF(COUNTA(B39:L39)=0,"",TEXTJOIN("; ",TRUE,IF(B39="","Missing work date",""),IF(C39="","Missing project",""),IF(F39="","Missing type",""),IF(G39="","Missing severity",""),IF(H39="","Missing description",""),IF(K39&lt;&gt;"Closed","Open safety item","")))</x:f>
      </x:c>
    </x:row>
    <x:row r="40" ht="20" customHeight="1">
      <x:c r="A40" s="15"/>
      <x:c r="B40" s="28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 t="str">
        <x:f>IF(COUNTA(B40:L40)=0,"",TEXTJOIN("; ",TRUE,IF(B40="","Missing work date",""),IF(C40="","Missing project",""),IF(F40="","Missing type",""),IF(G40="","Missing severity",""),IF(H40="","Missing description",""),IF(K40&lt;&gt;"Closed","Open safety item","")))</x:f>
      </x:c>
    </x:row>
    <x:row r="41" ht="20" customHeight="1">
      <x:c r="A41" s="15"/>
      <x:c r="B41" s="28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 t="str">
        <x:f>IF(COUNTA(B41:L41)=0,"",TEXTJOIN("; ",TRUE,IF(B41="","Missing work date",""),IF(C41="","Missing project",""),IF(F41="","Missing type",""),IF(G41="","Missing severity",""),IF(H41="","Missing description",""),IF(K41&lt;&gt;"Closed","Open safety item","")))</x:f>
      </x:c>
    </x:row>
    <x:row r="42" ht="20" customHeight="1">
      <x:c r="A42" s="15"/>
      <x:c r="B42" s="28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 t="str">
        <x:f>IF(COUNTA(B42:L42)=0,"",TEXTJOIN("; ",TRUE,IF(B42="","Missing work date",""),IF(C42="","Missing project",""),IF(F42="","Missing type",""),IF(G42="","Missing severity",""),IF(H42="","Missing description",""),IF(K42&lt;&gt;"Closed","Open safety item","")))</x:f>
      </x:c>
    </x:row>
    <x:row r="43" ht="20" customHeight="1">
      <x:c r="A43" s="15"/>
      <x:c r="B43" s="28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 t="str">
        <x:f>IF(COUNTA(B43:L43)=0,"",TEXTJOIN("; ",TRUE,IF(B43="","Missing work date",""),IF(C43="","Missing project",""),IF(F43="","Missing type",""),IF(G43="","Missing severity",""),IF(H43="","Missing description",""),IF(K43&lt;&gt;"Closed","Open safety item","")))</x:f>
      </x:c>
    </x:row>
    <x:row r="44" ht="20" customHeight="1">
      <x:c r="A44" s="15"/>
      <x:c r="B44" s="28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 t="str">
        <x:f>IF(COUNTA(B44:L44)=0,"",TEXTJOIN("; ",TRUE,IF(B44="","Missing work date",""),IF(C44="","Missing project",""),IF(F44="","Missing type",""),IF(G44="","Missing severity",""),IF(H44="","Missing description",""),IF(K44&lt;&gt;"Closed","Open safety item","")))</x:f>
      </x:c>
    </x:row>
    <x:row r="45" ht="20" customHeight="1">
      <x:c r="A45" s="15"/>
      <x:c r="B45" s="28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 t="str">
        <x:f>IF(COUNTA(B45:L45)=0,"",TEXTJOIN("; ",TRUE,IF(B45="","Missing work date",""),IF(C45="","Missing project",""),IF(F45="","Missing type",""),IF(G45="","Missing severity",""),IF(H45="","Missing description",""),IF(K45&lt;&gt;"Closed","Open safety item","")))</x:f>
      </x:c>
    </x:row>
    <x:row r="46" ht="20" customHeight="1">
      <x:c r="A46" s="15"/>
      <x:c r="B46" s="28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 t="str">
        <x:f>IF(COUNTA(B46:L46)=0,"",TEXTJOIN("; ",TRUE,IF(B46="","Missing work date",""),IF(C46="","Missing project",""),IF(F46="","Missing type",""),IF(G46="","Missing severity",""),IF(H46="","Missing description",""),IF(K46&lt;&gt;"Closed","Open safety item","")))</x:f>
      </x:c>
    </x:row>
    <x:row r="47" ht="20" customHeight="1">
      <x:c r="A47" s="15"/>
      <x:c r="B47" s="28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 t="str">
        <x:f>IF(COUNTA(B47:L47)=0,"",TEXTJOIN("; ",TRUE,IF(B47="","Missing work date",""),IF(C47="","Missing project",""),IF(F47="","Missing type",""),IF(G47="","Missing severity",""),IF(H47="","Missing description",""),IF(K47&lt;&gt;"Closed","Open safety item","")))</x:f>
      </x:c>
    </x:row>
    <x:row r="48" ht="20" customHeight="1">
      <x:c r="A48" s="15"/>
      <x:c r="B48" s="28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 t="str">
        <x:f>IF(COUNTA(B48:L48)=0,"",TEXTJOIN("; ",TRUE,IF(B48="","Missing work date",""),IF(C48="","Missing project",""),IF(F48="","Missing type",""),IF(G48="","Missing severity",""),IF(H48="","Missing description",""),IF(K48&lt;&gt;"Closed","Open safety item","")))</x:f>
      </x:c>
    </x:row>
    <x:row r="49" ht="20" customHeight="1">
      <x:c r="A49" s="15"/>
      <x:c r="B49" s="28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 t="str">
        <x:f>IF(COUNTA(B49:L49)=0,"",TEXTJOIN("; ",TRUE,IF(B49="","Missing work date",""),IF(C49="","Missing project",""),IF(F49="","Missing type",""),IF(G49="","Missing severity",""),IF(H49="","Missing description",""),IF(K49&lt;&gt;"Closed","Open safety item","")))</x:f>
      </x:c>
    </x:row>
    <x:row r="50" ht="20" customHeight="1">
      <x:c r="A50" s="15"/>
      <x:c r="B50" s="28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 t="str">
        <x:f>IF(COUNTA(B50:L50)=0,"",TEXTJOIN("; ",TRUE,IF(B50="","Missing work date",""),IF(C50="","Missing project",""),IF(F50="","Missing type",""),IF(G50="","Missing severity",""),IF(H50="","Missing description",""),IF(K50&lt;&gt;"Closed","Open safety item","")))</x:f>
      </x:c>
    </x:row>
    <x:row r="51" ht="20" customHeight="1">
      <x:c r="A51" s="15"/>
      <x:c r="B51" s="28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 t="str">
        <x:f>IF(COUNTA(B51:L51)=0,"",TEXTJOIN("; ",TRUE,IF(B51="","Missing work date",""),IF(C51="","Missing project",""),IF(F51="","Missing type",""),IF(G51="","Missing severity",""),IF(H51="","Missing description",""),IF(K51&lt;&gt;"Closed","Open safety item","")))</x:f>
      </x:c>
    </x:row>
    <x:row r="52" ht="20" customHeight="1">
      <x:c r="A52" s="15"/>
      <x:c r="B52" s="28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 t="str">
        <x:f>IF(COUNTA(B52:L52)=0,"",TEXTJOIN("; ",TRUE,IF(B52="","Missing work date",""),IF(C52="","Missing project",""),IF(F52="","Missing type",""),IF(G52="","Missing severity",""),IF(H52="","Missing description",""),IF(K52&lt;&gt;"Closed","Open safety item","")))</x:f>
      </x:c>
    </x:row>
    <x:row r="53" ht="20" customHeight="1">
      <x:c r="A53" s="15"/>
      <x:c r="B53" s="28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 t="str">
        <x:f>IF(COUNTA(B53:L53)=0,"",TEXTJOIN("; ",TRUE,IF(B53="","Missing work date",""),IF(C53="","Missing project",""),IF(F53="","Missing type",""),IF(G53="","Missing severity",""),IF(H53="","Missing description",""),IF(K53&lt;&gt;"Closed","Open safety item","")))</x:f>
      </x:c>
    </x:row>
    <x:row r="54" ht="20" customHeight="1">
      <x:c r="A54" s="15"/>
      <x:c r="B54" s="28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 t="str">
        <x:f>IF(COUNTA(B54:L54)=0,"",TEXTJOIN("; ",TRUE,IF(B54="","Missing work date",""),IF(C54="","Missing project",""),IF(F54="","Missing type",""),IF(G54="","Missing severity",""),IF(H54="","Missing description",""),IF(K54&lt;&gt;"Closed","Open safety item","")))</x:f>
      </x:c>
    </x:row>
    <x:row r="55" ht="20" customHeight="1">
      <x:c r="A55" s="15"/>
      <x:c r="B55" s="28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 t="str">
        <x:f>IF(COUNTA(B55:L55)=0,"",TEXTJOIN("; ",TRUE,IF(B55="","Missing work date",""),IF(C55="","Missing project",""),IF(F55="","Missing type",""),IF(G55="","Missing severity",""),IF(H55="","Missing description",""),IF(K55&lt;&gt;"Closed","Open safety item","")))</x:f>
      </x:c>
    </x:row>
    <x:row r="56" ht="20" customHeight="1">
      <x:c r="A56" s="15"/>
      <x:c r="B56" s="28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 t="str">
        <x:f>IF(COUNTA(B56:L56)=0,"",TEXTJOIN("; ",TRUE,IF(B56="","Missing work date",""),IF(C56="","Missing project",""),IF(F56="","Missing type",""),IF(G56="","Missing severity",""),IF(H56="","Missing description",""),IF(K56&lt;&gt;"Closed","Open safety item","")))</x:f>
      </x:c>
    </x:row>
    <x:row r="57" ht="20" customHeight="1">
      <x:c r="A57" s="15"/>
      <x:c r="B57" s="28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 t="str">
        <x:f>IF(COUNTA(B57:L57)=0,"",TEXTJOIN("; ",TRUE,IF(B57="","Missing work date",""),IF(C57="","Missing project",""),IF(F57="","Missing type",""),IF(G57="","Missing severity",""),IF(H57="","Missing description",""),IF(K57&lt;&gt;"Closed","Open safety item","")))</x:f>
      </x:c>
    </x:row>
    <x:row r="58" ht="20" customHeight="1">
      <x:c r="A58" s="15"/>
      <x:c r="B58" s="28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 t="str">
        <x:f>IF(COUNTA(B58:L58)=0,"",TEXTJOIN("; ",TRUE,IF(B58="","Missing work date",""),IF(C58="","Missing project",""),IF(F58="","Missing type",""),IF(G58="","Missing severity",""),IF(H58="","Missing description",""),IF(K58&lt;&gt;"Closed","Open safety item","")))</x:f>
      </x:c>
    </x:row>
    <x:row r="59" ht="20" customHeight="1">
      <x:c r="A59" s="15"/>
      <x:c r="B59" s="28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 t="str">
        <x:f>IF(COUNTA(B59:L59)=0,"",TEXTJOIN("; ",TRUE,IF(B59="","Missing work date",""),IF(C59="","Missing project",""),IF(F59="","Missing type",""),IF(G59="","Missing severity",""),IF(H59="","Missing description",""),IF(K59&lt;&gt;"Closed","Open safety item","")))</x:f>
      </x:c>
    </x:row>
    <x:row r="60" ht="20" customHeight="1">
      <x:c r="A60" s="15"/>
      <x:c r="B60" s="28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 t="str">
        <x:f>IF(COUNTA(B60:L60)=0,"",TEXTJOIN("; ",TRUE,IF(B60="","Missing work date",""),IF(C60="","Missing project",""),IF(F60="","Missing type",""),IF(G60="","Missing severity",""),IF(H60="","Missing description",""),IF(K60&lt;&gt;"Closed","Open safety item","")))</x:f>
      </x:c>
    </x:row>
    <x:row r="61" ht="20" customHeight="1">
      <x:c r="A61" s="15"/>
      <x:c r="B61" s="28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 t="str">
        <x:f>IF(COUNTA(B61:L61)=0,"",TEXTJOIN("; ",TRUE,IF(B61="","Missing work date",""),IF(C61="","Missing project",""),IF(F61="","Missing type",""),IF(G61="","Missing severity",""),IF(H61="","Missing description",""),IF(K61&lt;&gt;"Closed","Open safety item","")))</x:f>
      </x:c>
    </x:row>
    <x:row r="62" ht="20" customHeight="1">
      <x:c r="A62" s="15"/>
      <x:c r="B62" s="28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 t="str">
        <x:f>IF(COUNTA(B62:L62)=0,"",TEXTJOIN("; ",TRUE,IF(B62="","Missing work date",""),IF(C62="","Missing project",""),IF(F62="","Missing type",""),IF(G62="","Missing severity",""),IF(H62="","Missing description",""),IF(K62&lt;&gt;"Closed","Open safety item","")))</x:f>
      </x:c>
    </x:row>
    <x:row r="63" ht="20" customHeight="1">
      <x:c r="A63" s="15"/>
      <x:c r="B63" s="28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 t="str">
        <x:f>IF(COUNTA(B63:L63)=0,"",TEXTJOIN("; ",TRUE,IF(B63="","Missing work date",""),IF(C63="","Missing project",""),IF(F63="","Missing type",""),IF(G63="","Missing severity",""),IF(H63="","Missing description",""),IF(K63&lt;&gt;"Closed","Open safety item","")))</x:f>
      </x:c>
    </x:row>
    <x:row r="64" ht="20" customHeight="1">
      <x:c r="A64" s="15"/>
      <x:c r="B64" s="28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 t="str">
        <x:f>IF(COUNTA(B64:L64)=0,"",TEXTJOIN("; ",TRUE,IF(B64="","Missing work date",""),IF(C64="","Missing project",""),IF(F64="","Missing type",""),IF(G64="","Missing severity",""),IF(H64="","Missing description",""),IF(K64&lt;&gt;"Closed","Open safety item","")))</x:f>
      </x:c>
    </x:row>
    <x:row r="65" ht="20" customHeight="1">
      <x:c r="A65" s="15"/>
      <x:c r="B65" s="28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 t="str">
        <x:f>IF(COUNTA(B65:L65)=0,"",TEXTJOIN("; ",TRUE,IF(B65="","Missing work date",""),IF(C65="","Missing project",""),IF(F65="","Missing type",""),IF(G65="","Missing severity",""),IF(H65="","Missing description",""),IF(K65&lt;&gt;"Closed","Open safety item","")))</x:f>
      </x:c>
    </x:row>
    <x:row r="66" ht="20" customHeight="1">
      <x:c r="A66" s="15"/>
      <x:c r="B66" s="28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 t="str">
        <x:f>IF(COUNTA(B66:L66)=0,"",TEXTJOIN("; ",TRUE,IF(B66="","Missing work date",""),IF(C66="","Missing project",""),IF(F66="","Missing type",""),IF(G66="","Missing severity",""),IF(H66="","Missing description",""),IF(K66&lt;&gt;"Closed","Open safety item","")))</x:f>
      </x:c>
    </x:row>
    <x:row r="67" ht="20" customHeight="1">
      <x:c r="A67" s="15"/>
      <x:c r="B67" s="28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 t="str">
        <x:f>IF(COUNTA(B67:L67)=0,"",TEXTJOIN("; ",TRUE,IF(B67="","Missing work date",""),IF(C67="","Missing project",""),IF(F67="","Missing type",""),IF(G67="","Missing severity",""),IF(H67="","Missing description",""),IF(K67&lt;&gt;"Closed","Open safety item","")))</x:f>
      </x:c>
    </x:row>
    <x:row r="68" ht="20" customHeight="1">
      <x:c r="A68" s="15"/>
      <x:c r="B68" s="28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 t="str">
        <x:f>IF(COUNTA(B68:L68)=0,"",TEXTJOIN("; ",TRUE,IF(B68="","Missing work date",""),IF(C68="","Missing project",""),IF(F68="","Missing type",""),IF(G68="","Missing severity",""),IF(H68="","Missing description",""),IF(K68&lt;&gt;"Closed","Open safety item","")))</x:f>
      </x:c>
    </x:row>
    <x:row r="69" ht="20" customHeight="1">
      <x:c r="A69" s="15"/>
      <x:c r="B69" s="28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 t="str">
        <x:f>IF(COUNTA(B69:L69)=0,"",TEXTJOIN("; ",TRUE,IF(B69="","Missing work date",""),IF(C69="","Missing project",""),IF(F69="","Missing type",""),IF(G69="","Missing severity",""),IF(H69="","Missing description",""),IF(K69&lt;&gt;"Closed","Open safety item","")))</x:f>
      </x:c>
    </x:row>
    <x:row r="70" ht="20" customHeight="1">
      <x:c r="A70" s="15"/>
      <x:c r="B70" s="28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 t="str">
        <x:f>IF(COUNTA(B70:L70)=0,"",TEXTJOIN("; ",TRUE,IF(B70="","Missing work date",""),IF(C70="","Missing project",""),IF(F70="","Missing type",""),IF(G70="","Missing severity",""),IF(H70="","Missing description",""),IF(K70&lt;&gt;"Closed","Open safety item","")))</x:f>
      </x:c>
    </x:row>
    <x:row r="71" ht="20" customHeight="1">
      <x:c r="A71" s="15"/>
      <x:c r="B71" s="28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 t="str">
        <x:f>IF(COUNTA(B71:L71)=0,"",TEXTJOIN("; ",TRUE,IF(B71="","Missing work date",""),IF(C71="","Missing project",""),IF(F71="","Missing type",""),IF(G71="","Missing severity",""),IF(H71="","Missing description",""),IF(K71&lt;&gt;"Closed","Open safety item","")))</x:f>
      </x:c>
    </x:row>
    <x:row r="72" ht="20" customHeight="1">
      <x:c r="A72" s="15"/>
      <x:c r="B72" s="28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 t="str">
        <x:f>IF(COUNTA(B72:L72)=0,"",TEXTJOIN("; ",TRUE,IF(B72="","Missing work date",""),IF(C72="","Missing project",""),IF(F72="","Missing type",""),IF(G72="","Missing severity",""),IF(H72="","Missing description",""),IF(K72&lt;&gt;"Closed","Open safety item","")))</x:f>
      </x:c>
    </x:row>
    <x:row r="73" ht="20" customHeight="1">
      <x:c r="A73" s="15"/>
      <x:c r="B73" s="28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 t="str">
        <x:f>IF(COUNTA(B73:L73)=0,"",TEXTJOIN("; ",TRUE,IF(B73="","Missing work date",""),IF(C73="","Missing project",""),IF(F73="","Missing type",""),IF(G73="","Missing severity",""),IF(H73="","Missing description",""),IF(K73&lt;&gt;"Closed","Open safety item","")))</x:f>
      </x:c>
    </x:row>
    <x:row r="74" ht="20" customHeight="1">
      <x:c r="A74" s="15"/>
      <x:c r="B74" s="28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 t="str">
        <x:f>IF(COUNTA(B74:L74)=0,"",TEXTJOIN("; ",TRUE,IF(B74="","Missing work date",""),IF(C74="","Missing project",""),IF(F74="","Missing type",""),IF(G74="","Missing severity",""),IF(H74="","Missing description",""),IF(K74&lt;&gt;"Closed","Open safety item","")))</x:f>
      </x:c>
    </x:row>
    <x:row r="75" ht="20" customHeight="1">
      <x:c r="A75" s="15"/>
      <x:c r="B75" s="28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 t="str">
        <x:f>IF(COUNTA(B75:L75)=0,"",TEXTJOIN("; ",TRUE,IF(B75="","Missing work date",""),IF(C75="","Missing project",""),IF(F75="","Missing type",""),IF(G75="","Missing severity",""),IF(H75="","Missing description",""),IF(K75&lt;&gt;"Closed","Open safety item","")))</x:f>
      </x:c>
    </x:row>
    <x:row r="76" ht="20" customHeight="1">
      <x:c r="A76" s="15"/>
      <x:c r="B76" s="28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 t="str">
        <x:f>IF(COUNTA(B76:L76)=0,"",TEXTJOIN("; ",TRUE,IF(B76="","Missing work date",""),IF(C76="","Missing project",""),IF(F76="","Missing type",""),IF(G76="","Missing severity",""),IF(H76="","Missing description",""),IF(K76&lt;&gt;"Closed","Open safety item","")))</x:f>
      </x:c>
    </x:row>
    <x:row r="77" ht="20" customHeight="1">
      <x:c r="A77" s="15"/>
      <x:c r="B77" s="28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 t="str">
        <x:f>IF(COUNTA(B77:L77)=0,"",TEXTJOIN("; ",TRUE,IF(B77="","Missing work date",""),IF(C77="","Missing project",""),IF(F77="","Missing type",""),IF(G77="","Missing severity",""),IF(H77="","Missing description",""),IF(K77&lt;&gt;"Closed","Open safety item","")))</x:f>
      </x:c>
    </x:row>
    <x:row r="78" ht="20" customHeight="1">
      <x:c r="A78" s="15"/>
      <x:c r="B78" s="28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 t="str">
        <x:f>IF(COUNTA(B78:L78)=0,"",TEXTJOIN("; ",TRUE,IF(B78="","Missing work date",""),IF(C78="","Missing project",""),IF(F78="","Missing type",""),IF(G78="","Missing severity",""),IF(H78="","Missing description",""),IF(K78&lt;&gt;"Closed","Open safety item","")))</x:f>
      </x:c>
    </x:row>
    <x:row r="79" ht="20" customHeight="1">
      <x:c r="A79" s="15"/>
      <x:c r="B79" s="28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 t="str">
        <x:f>IF(COUNTA(B79:L79)=0,"",TEXTJOIN("; ",TRUE,IF(B79="","Missing work date",""),IF(C79="","Missing project",""),IF(F79="","Missing type",""),IF(G79="","Missing severity",""),IF(H79="","Missing description",""),IF(K79&lt;&gt;"Closed","Open safety item","")))</x:f>
      </x:c>
    </x:row>
    <x:row r="80" ht="20" customHeight="1">
      <x:c r="A80" s="15"/>
      <x:c r="B80" s="28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 t="str">
        <x:f>IF(COUNTA(B80:L80)=0,"",TEXTJOIN("; ",TRUE,IF(B80="","Missing work date",""),IF(C80="","Missing project",""),IF(F80="","Missing type",""),IF(G80="","Missing severity",""),IF(H80="","Missing description",""),IF(K80&lt;&gt;"Closed","Open safety item","")))</x:f>
      </x:c>
    </x:row>
    <x:row r="81" ht="20" customHeight="1">
      <x:c r="A81" s="15"/>
      <x:c r="B81" s="28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 t="str">
        <x:f>IF(COUNTA(B81:L81)=0,"",TEXTJOIN("; ",TRUE,IF(B81="","Missing work date",""),IF(C81="","Missing project",""),IF(F81="","Missing type",""),IF(G81="","Missing severity",""),IF(H81="","Missing description",""),IF(K81&lt;&gt;"Closed","Open safety item","")))</x:f>
      </x:c>
    </x:row>
    <x:row r="82" ht="20" customHeight="1">
      <x:c r="A82" s="15"/>
      <x:c r="B82" s="28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 t="str">
        <x:f>IF(COUNTA(B82:L82)=0,"",TEXTJOIN("; ",TRUE,IF(B82="","Missing work date",""),IF(C82="","Missing project",""),IF(F82="","Missing type",""),IF(G82="","Missing severity",""),IF(H82="","Missing description",""),IF(K82&lt;&gt;"Closed","Open safety item","")))</x:f>
      </x:c>
    </x:row>
    <x:row r="83" ht="20" customHeight="1">
      <x:c r="A83" s="15"/>
      <x:c r="B83" s="28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 t="str">
        <x:f>IF(COUNTA(B83:L83)=0,"",TEXTJOIN("; ",TRUE,IF(B83="","Missing work date",""),IF(C83="","Missing project",""),IF(F83="","Missing type",""),IF(G83="","Missing severity",""),IF(H83="","Missing description",""),IF(K83&lt;&gt;"Closed","Open safety item","")))</x:f>
      </x:c>
    </x:row>
    <x:row r="84" ht="20" customHeight="1">
      <x:c r="A84" s="15"/>
      <x:c r="B84" s="28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 t="str">
        <x:f>IF(COUNTA(B84:L84)=0,"",TEXTJOIN("; ",TRUE,IF(B84="","Missing work date",""),IF(C84="","Missing project",""),IF(F84="","Missing type",""),IF(G84="","Missing severity",""),IF(H84="","Missing description",""),IF(K84&lt;&gt;"Closed","Open safety item","")))</x:f>
      </x:c>
    </x:row>
    <x:row r="85" ht="20" customHeight="1">
      <x:c r="A85" s="15"/>
      <x:c r="B85" s="28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 t="str">
        <x:f>IF(COUNTA(B85:L85)=0,"",TEXTJOIN("; ",TRUE,IF(B85="","Missing work date",""),IF(C85="","Missing project",""),IF(F85="","Missing type",""),IF(G85="","Missing severity",""),IF(H85="","Missing description",""),IF(K85&lt;&gt;"Closed","Open safety item","")))</x:f>
      </x:c>
    </x:row>
    <x:row r="86" ht="20" customHeight="1">
      <x:c r="A86" s="15"/>
      <x:c r="B86" s="28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 t="str">
        <x:f>IF(COUNTA(B86:L86)=0,"",TEXTJOIN("; ",TRUE,IF(B86="","Missing work date",""),IF(C86="","Missing project",""),IF(F86="","Missing type",""),IF(G86="","Missing severity",""),IF(H86="","Missing description",""),IF(K86&lt;&gt;"Closed","Open safety item","")))</x:f>
      </x:c>
    </x:row>
    <x:row r="87" ht="20" customHeight="1">
      <x:c r="A87" s="15"/>
      <x:c r="B87" s="28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 t="str">
        <x:f>IF(COUNTA(B87:L87)=0,"",TEXTJOIN("; ",TRUE,IF(B87="","Missing work date",""),IF(C87="","Missing project",""),IF(F87="","Missing type",""),IF(G87="","Missing severity",""),IF(H87="","Missing description",""),IF(K87&lt;&gt;"Closed","Open safety item","")))</x:f>
      </x:c>
    </x:row>
    <x:row r="88" ht="20" customHeight="1">
      <x:c r="A88" s="15"/>
      <x:c r="B88" s="28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 t="str">
        <x:f>IF(COUNTA(B88:L88)=0,"",TEXTJOIN("; ",TRUE,IF(B88="","Missing work date",""),IF(C88="","Missing project",""),IF(F88="","Missing type",""),IF(G88="","Missing severity",""),IF(H88="","Missing description",""),IF(K88&lt;&gt;"Closed","Open safety item","")))</x:f>
      </x:c>
    </x:row>
    <x:row r="89" ht="20" customHeight="1">
      <x:c r="A89" s="15"/>
      <x:c r="B89" s="28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 t="str">
        <x:f>IF(COUNTA(B89:L89)=0,"",TEXTJOIN("; ",TRUE,IF(B89="","Missing work date",""),IF(C89="","Missing project",""),IF(F89="","Missing type",""),IF(G89="","Missing severity",""),IF(H89="","Missing description",""),IF(K89&lt;&gt;"Closed","Open safety item","")))</x:f>
      </x:c>
    </x:row>
    <x:row r="90" ht="20" customHeight="1">
      <x:c r="A90" s="15"/>
      <x:c r="B90" s="28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 t="str">
        <x:f>IF(COUNTA(B90:L90)=0,"",TEXTJOIN("; ",TRUE,IF(B90="","Missing work date",""),IF(C90="","Missing project",""),IF(F90="","Missing type",""),IF(G90="","Missing severity",""),IF(H90="","Missing description",""),IF(K90&lt;&gt;"Closed","Open safety item","")))</x:f>
      </x:c>
    </x:row>
    <x:row r="91" ht="20" customHeight="1">
      <x:c r="A91" s="15"/>
      <x:c r="B91" s="28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 t="str">
        <x:f>IF(COUNTA(B91:L91)=0,"",TEXTJOIN("; ",TRUE,IF(B91="","Missing work date",""),IF(C91="","Missing project",""),IF(F91="","Missing type",""),IF(G91="","Missing severity",""),IF(H91="","Missing description",""),IF(K91&lt;&gt;"Closed","Open safety item","")))</x:f>
      </x:c>
    </x:row>
    <x:row r="92" ht="20" customHeight="1">
      <x:c r="A92" s="15"/>
      <x:c r="B92" s="28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 t="str">
        <x:f>IF(COUNTA(B92:L92)=0,"",TEXTJOIN("; ",TRUE,IF(B92="","Missing work date",""),IF(C92="","Missing project",""),IF(F92="","Missing type",""),IF(G92="","Missing severity",""),IF(H92="","Missing description",""),IF(K92&lt;&gt;"Closed","Open safety item","")))</x:f>
      </x:c>
    </x:row>
    <x:row r="93" ht="20" customHeight="1">
      <x:c r="A93" s="15"/>
      <x:c r="B93" s="28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 t="str">
        <x:f>IF(COUNTA(B93:L93)=0,"",TEXTJOIN("; ",TRUE,IF(B93="","Missing work date",""),IF(C93="","Missing project",""),IF(F93="","Missing type",""),IF(G93="","Missing severity",""),IF(H93="","Missing description",""),IF(K93&lt;&gt;"Closed","Open safety item","")))</x:f>
      </x:c>
    </x:row>
    <x:row r="94" ht="20" customHeight="1">
      <x:c r="A94" s="15"/>
      <x:c r="B94" s="28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 t="str">
        <x:f>IF(COUNTA(B94:L94)=0,"",TEXTJOIN("; ",TRUE,IF(B94="","Missing work date",""),IF(C94="","Missing project",""),IF(F94="","Missing type",""),IF(G94="","Missing severity",""),IF(H94="","Missing description",""),IF(K94&lt;&gt;"Closed","Open safety item","")))</x:f>
      </x:c>
    </x:row>
    <x:row r="95" ht="20" customHeight="1">
      <x:c r="A95" s="15"/>
      <x:c r="B95" s="28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 t="str">
        <x:f>IF(COUNTA(B95:L95)=0,"",TEXTJOIN("; ",TRUE,IF(B95="","Missing work date",""),IF(C95="","Missing project",""),IF(F95="","Missing type",""),IF(G95="","Missing severity",""),IF(H95="","Missing description",""),IF(K95&lt;&gt;"Closed","Open safety item","")))</x:f>
      </x:c>
    </x:row>
    <x:row r="96" ht="20" customHeight="1">
      <x:c r="A96" s="15"/>
      <x:c r="B96" s="28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 t="str">
        <x:f>IF(COUNTA(B96:L96)=0,"",TEXTJOIN("; ",TRUE,IF(B96="","Missing work date",""),IF(C96="","Missing project",""),IF(F96="","Missing type",""),IF(G96="","Missing severity",""),IF(H96="","Missing description",""),IF(K96&lt;&gt;"Closed","Open safety item","")))</x:f>
      </x:c>
    </x:row>
    <x:row r="97" ht="20" customHeight="1">
      <x:c r="A97" s="15"/>
      <x:c r="B97" s="28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 t="str">
        <x:f>IF(COUNTA(B97:L97)=0,"",TEXTJOIN("; ",TRUE,IF(B97="","Missing work date",""),IF(C97="","Missing project",""),IF(F97="","Missing type",""),IF(G97="","Missing severity",""),IF(H97="","Missing description",""),IF(K97&lt;&gt;"Closed","Open safety item","")))</x:f>
      </x:c>
    </x:row>
    <x:row r="98" ht="20" customHeight="1">
      <x:c r="A98" s="15"/>
      <x:c r="B98" s="28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 t="str">
        <x:f>IF(COUNTA(B98:L98)=0,"",TEXTJOIN("; ",TRUE,IF(B98="","Missing work date",""),IF(C98="","Missing project",""),IF(F98="","Missing type",""),IF(G98="","Missing severity",""),IF(H98="","Missing description",""),IF(K98&lt;&gt;"Closed","Open safety item","")))</x:f>
      </x:c>
    </x:row>
    <x:row r="99" ht="20" customHeight="1">
      <x:c r="A99" s="15"/>
      <x:c r="B99" s="28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 t="str">
        <x:f>IF(COUNTA(B99:L99)=0,"",TEXTJOIN("; ",TRUE,IF(B99="","Missing work date",""),IF(C99="","Missing project",""),IF(F99="","Missing type",""),IF(G99="","Missing severity",""),IF(H99="","Missing description",""),IF(K99&lt;&gt;"Closed","Open safety item","")))</x:f>
      </x:c>
    </x:row>
    <x:row r="100" ht="20" customHeight="1">
      <x:c r="A100" s="15"/>
      <x:c r="B100" s="28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 t="str">
        <x:f>IF(COUNTA(B100:L100)=0,"",TEXTJOIN("; ",TRUE,IF(B100="","Missing work date",""),IF(C100="","Missing project",""),IF(F100="","Missing type",""),IF(G100="","Missing severity",""),IF(H100="","Missing description",""),IF(K100&lt;&gt;"Closed","Open safety item","")))</x:f>
      </x:c>
    </x:row>
    <x:row r="101" ht="20" customHeight="1">
      <x:c r="A101" s="15"/>
      <x:c r="B101" s="28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 t="str">
        <x:f>IF(COUNTA(B101:L101)=0,"",TEXTJOIN("; ",TRUE,IF(B101="","Missing work date",""),IF(C101="","Missing project",""),IF(F101="","Missing type",""),IF(G101="","Missing severity",""),IF(H101="","Missing description",""),IF(K101&lt;&gt;"Closed","Open safety item","")))</x:f>
      </x:c>
    </x:row>
    <x:row r="102" ht="20" customHeight="1">
      <x:c r="A102" s="15"/>
      <x:c r="B102" s="28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 t="str">
        <x:f>IF(COUNTA(B102:L102)=0,"",TEXTJOIN("; ",TRUE,IF(B102="","Missing work date",""),IF(C102="","Missing project",""),IF(F102="","Missing type",""),IF(G102="","Missing severity",""),IF(H102="","Missing description",""),IF(K102&lt;&gt;"Closed","Open safety item","")))</x:f>
      </x:c>
    </x:row>
    <x:row r="103" ht="20" customHeight="1">
      <x:c r="A103" s="15"/>
      <x:c r="B103" s="28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 t="str">
        <x:f>IF(COUNTA(B103:L103)=0,"",TEXTJOIN("; ",TRUE,IF(B103="","Missing work date",""),IF(C103="","Missing project",""),IF(F103="","Missing type",""),IF(G103="","Missing severity",""),IF(H103="","Missing description",""),IF(K103&lt;&gt;"Closed","Open safety item","")))</x:f>
      </x:c>
    </x:row>
    <x:row r="104" ht="20" customHeight="1">
      <x:c r="A104" s="15"/>
      <x:c r="B104" s="28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 t="str">
        <x:f>IF(COUNTA(B104:L104)=0,"",TEXTJOIN("; ",TRUE,IF(B104="","Missing work date",""),IF(C104="","Missing project",""),IF(F104="","Missing type",""),IF(G104="","Missing severity",""),IF(H104="","Missing description",""),IF(K104&lt;&gt;"Closed","Open safety item","")))</x:f>
      </x:c>
    </x:row>
    <x:row r="105" ht="20" customHeight="1">
      <x:c r="A105" s="15"/>
      <x:c r="B105" s="28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 t="str">
        <x:f>IF(COUNTA(B105:L105)=0,"",TEXTJOIN("; ",TRUE,IF(B105="","Missing work date",""),IF(C105="","Missing project",""),IF(F105="","Missing type",""),IF(G105="","Missing severity",""),IF(H105="","Missing description",""),IF(K105&lt;&gt;"Closed","Open safety item","")))</x:f>
      </x:c>
    </x:row>
    <x:row r="106" ht="20" customHeight="1">
      <x:c r="A106" s="15"/>
      <x:c r="B106" s="28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 t="str">
        <x:f>IF(COUNTA(B106:L106)=0,"",TEXTJOIN("; ",TRUE,IF(B106="","Missing work date",""),IF(C106="","Missing project",""),IF(F106="","Missing type",""),IF(G106="","Missing severity",""),IF(H106="","Missing description",""),IF(K106&lt;&gt;"Closed","Open safety item","")))</x:f>
      </x:c>
    </x:row>
    <x:row r="107" ht="20" customHeight="1">
      <x:c r="A107" s="15"/>
      <x:c r="B107" s="28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 t="str">
        <x:f>IF(COUNTA(B107:L107)=0,"",TEXTJOIN("; ",TRUE,IF(B107="","Missing work date",""),IF(C107="","Missing project",""),IF(F107="","Missing type",""),IF(G107="","Missing severity",""),IF(H107="","Missing description",""),IF(K107&lt;&gt;"Closed","Open safety item","")))</x:f>
      </x:c>
    </x:row>
    <x:row r="108" ht="20" customHeight="1">
      <x:c r="A108" s="15"/>
      <x:c r="B108" s="28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 t="str">
        <x:f>IF(COUNTA(B108:L108)=0,"",TEXTJOIN("; ",TRUE,IF(B108="","Missing work date",""),IF(C108="","Missing project",""),IF(F108="","Missing type",""),IF(G108="","Missing severity",""),IF(H108="","Missing description",""),IF(K108&lt;&gt;"Closed","Open safety item","")))</x:f>
      </x:c>
    </x:row>
    <x:row r="109" ht="20" customHeight="1">
      <x:c r="A109" s="15"/>
      <x:c r="B109" s="28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 t="str">
        <x:f>IF(COUNTA(B109:L109)=0,"",TEXTJOIN("; ",TRUE,IF(B109="","Missing work date",""),IF(C109="","Missing project",""),IF(F109="","Missing type",""),IF(G109="","Missing severity",""),IF(H109="","Missing description",""),IF(K109&lt;&gt;"Closed","Open safety item","")))</x:f>
      </x:c>
    </x:row>
    <x:row r="110" ht="20" customHeight="1">
      <x:c r="A110" s="15"/>
      <x:c r="B110" s="28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 t="str">
        <x:f>IF(COUNTA(B110:L110)=0,"",TEXTJOIN("; ",TRUE,IF(B110="","Missing work date",""),IF(C110="","Missing project",""),IF(F110="","Missing type",""),IF(G110="","Missing severity",""),IF(H110="","Missing description",""),IF(K110&lt;&gt;"Closed","Open safety item","")))</x:f>
      </x:c>
    </x:row>
    <x:row r="111" ht="20" customHeight="1">
      <x:c r="A111" s="15"/>
      <x:c r="B111" s="28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 t="str">
        <x:f>IF(COUNTA(B111:L111)=0,"",TEXTJOIN("; ",TRUE,IF(B111="","Missing work date",""),IF(C111="","Missing project",""),IF(F111="","Missing type",""),IF(G111="","Missing severity",""),IF(H111="","Missing description",""),IF(K111&lt;&gt;"Closed","Open safety item","")))</x:f>
      </x:c>
    </x:row>
    <x:row r="112" ht="20" customHeight="1">
      <x:c r="A112" s="15"/>
      <x:c r="B112" s="28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 t="str">
        <x:f>IF(COUNTA(B112:L112)=0,"",TEXTJOIN("; ",TRUE,IF(B112="","Missing work date",""),IF(C112="","Missing project",""),IF(F112="","Missing type",""),IF(G112="","Missing severity",""),IF(H112="","Missing description",""),IF(K112&lt;&gt;"Closed","Open safety item","")))</x:f>
      </x:c>
    </x:row>
    <x:row r="113" ht="20" customHeight="1">
      <x:c r="A113" s="15"/>
      <x:c r="B113" s="28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 t="str">
        <x:f>IF(COUNTA(B113:L113)=0,"",TEXTJOIN("; ",TRUE,IF(B113="","Missing work date",""),IF(C113="","Missing project",""),IF(F113="","Missing type",""),IF(G113="","Missing severity",""),IF(H113="","Missing description",""),IF(K113&lt;&gt;"Closed","Open safety item","")))</x:f>
      </x:c>
    </x:row>
    <x:row r="114" ht="20" customHeight="1">
      <x:c r="A114" s="15"/>
      <x:c r="B114" s="28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 t="str">
        <x:f>IF(COUNTA(B114:L114)=0,"",TEXTJOIN("; ",TRUE,IF(B114="","Missing work date",""),IF(C114="","Missing project",""),IF(F114="","Missing type",""),IF(G114="","Missing severity",""),IF(H114="","Missing description",""),IF(K114&lt;&gt;"Closed","Open safety item","")))</x:f>
      </x:c>
    </x:row>
    <x:row r="115" ht="20" customHeight="1">
      <x:c r="A115" s="15"/>
      <x:c r="B115" s="28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 t="str">
        <x:f>IF(COUNTA(B115:L115)=0,"",TEXTJOIN("; ",TRUE,IF(B115="","Missing work date",""),IF(C115="","Missing project",""),IF(F115="","Missing type",""),IF(G115="","Missing severity",""),IF(H115="","Missing description",""),IF(K115&lt;&gt;"Closed","Open safety item","")))</x:f>
      </x:c>
    </x:row>
    <x:row r="116" ht="20" customHeight="1">
      <x:c r="A116" s="15"/>
      <x:c r="B116" s="28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 t="str">
        <x:f>IF(COUNTA(B116:L116)=0,"",TEXTJOIN("; ",TRUE,IF(B116="","Missing work date",""),IF(C116="","Missing project",""),IF(F116="","Missing type",""),IF(G116="","Missing severity",""),IF(H116="","Missing description",""),IF(K116&lt;&gt;"Closed","Open safety item","")))</x:f>
      </x:c>
    </x:row>
    <x:row r="117" ht="20" customHeight="1">
      <x:c r="A117" s="15"/>
      <x:c r="B117" s="28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 t="str">
        <x:f>IF(COUNTA(B117:L117)=0,"",TEXTJOIN("; ",TRUE,IF(B117="","Missing work date",""),IF(C117="","Missing project",""),IF(F117="","Missing type",""),IF(G117="","Missing severity",""),IF(H117="","Missing description",""),IF(K117&lt;&gt;"Closed","Open safety item","")))</x:f>
      </x:c>
    </x:row>
    <x:row r="118" ht="20" customHeight="1">
      <x:c r="A118" s="15"/>
      <x:c r="B118" s="28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 t="str">
        <x:f>IF(COUNTA(B118:L118)=0,"",TEXTJOIN("; ",TRUE,IF(B118="","Missing work date",""),IF(C118="","Missing project",""),IF(F118="","Missing type",""),IF(G118="","Missing severity",""),IF(H118="","Missing description",""),IF(K118&lt;&gt;"Closed","Open safety item","")))</x:f>
      </x:c>
    </x:row>
    <x:row r="119" ht="20" customHeight="1">
      <x:c r="A119" s="15"/>
      <x:c r="B119" s="28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 t="str">
        <x:f>IF(COUNTA(B119:L119)=0,"",TEXTJOIN("; ",TRUE,IF(B119="","Missing work date",""),IF(C119="","Missing project",""),IF(F119="","Missing type",""),IF(G119="","Missing severity",""),IF(H119="","Missing description",""),IF(K119&lt;&gt;"Closed","Open safety item","")))</x:f>
      </x:c>
    </x:row>
    <x:row r="120" ht="20" customHeight="1">
      <x:c r="A120" s="15"/>
      <x:c r="B120" s="28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 t="str">
        <x:f>IF(COUNTA(B120:L120)=0,"",TEXTJOIN("; ",TRUE,IF(B120="","Missing work date",""),IF(C120="","Missing project",""),IF(F120="","Missing type",""),IF(G120="","Missing severity",""),IF(H120="","Missing description",""),IF(K120&lt;&gt;"Closed","Open safety item","")))</x:f>
      </x:c>
    </x:row>
    <x:row r="121" ht="20" customHeight="1">
      <x:c r="A121" s="15"/>
      <x:c r="B121" s="28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 t="str">
        <x:f>IF(COUNTA(B121:L121)=0,"",TEXTJOIN("; ",TRUE,IF(B121="","Missing work date",""),IF(C121="","Missing project",""),IF(F121="","Missing type",""),IF(G121="","Missing severity",""),IF(H121="","Missing description",""),IF(K121&lt;&gt;"Closed","Open safety item","")))</x:f>
      </x:c>
    </x:row>
    <x:row r="122" ht="20" customHeight="1">
      <x:c r="A122" s="15"/>
      <x:c r="B122" s="28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 t="str">
        <x:f>IF(COUNTA(B122:L122)=0,"",TEXTJOIN("; ",TRUE,IF(B122="","Missing work date",""),IF(C122="","Missing project",""),IF(F122="","Missing type",""),IF(G122="","Missing severity",""),IF(H122="","Missing description",""),IF(K122&lt;&gt;"Closed","Open safety item","")))</x:f>
      </x:c>
    </x:row>
    <x:row r="123" ht="20" customHeight="1">
      <x:c r="A123" s="15"/>
      <x:c r="B123" s="28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 t="str">
        <x:f>IF(COUNTA(B123:L123)=0,"",TEXTJOIN("; ",TRUE,IF(B123="","Missing work date",""),IF(C123="","Missing project",""),IF(F123="","Missing type",""),IF(G123="","Missing severity",""),IF(H123="","Missing description",""),IF(K123&lt;&gt;"Closed","Open safety item","")))</x:f>
      </x:c>
    </x:row>
    <x:row r="124" ht="20" customHeight="1">
      <x:c r="A124" s="15"/>
      <x:c r="B124" s="28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 t="str">
        <x:f>IF(COUNTA(B124:L124)=0,"",TEXTJOIN("; ",TRUE,IF(B124="","Missing work date",""),IF(C124="","Missing project",""),IF(F124="","Missing type",""),IF(G124="","Missing severity",""),IF(H124="","Missing description",""),IF(K124&lt;&gt;"Closed","Open safety item","")))</x:f>
      </x:c>
    </x:row>
    <x:row r="125" ht="20" customHeight="1">
      <x:c r="A125" s="15"/>
      <x:c r="B125" s="28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 t="str">
        <x:f>IF(COUNTA(B125:L125)=0,"",TEXTJOIN("; ",TRUE,IF(B125="","Missing work date",""),IF(C125="","Missing project",""),IF(F125="","Missing type",""),IF(G125="","Missing severity",""),IF(H125="","Missing description",""),IF(K125&lt;&gt;"Closed","Open safety item","")))</x:f>
      </x:c>
    </x:row>
    <x:row r="126" ht="20" customHeight="1">
      <x:c r="A126" s="15"/>
      <x:c r="B126" s="28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 t="str">
        <x:f>IF(COUNTA(B126:L126)=0,"",TEXTJOIN("; ",TRUE,IF(B126="","Missing work date",""),IF(C126="","Missing project",""),IF(F126="","Missing type",""),IF(G126="","Missing severity",""),IF(H126="","Missing description",""),IF(K126&lt;&gt;"Closed","Open safety item","")))</x:f>
      </x:c>
    </x:row>
    <x:row r="127" ht="20" customHeight="1">
      <x:c r="A127" s="15"/>
      <x:c r="B127" s="28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 t="str">
        <x:f>IF(COUNTA(B127:L127)=0,"",TEXTJOIN("; ",TRUE,IF(B127="","Missing work date",""),IF(C127="","Missing project",""),IF(F127="","Missing type",""),IF(G127="","Missing severity",""),IF(H127="","Missing description",""),IF(K127&lt;&gt;"Closed","Open safety item","")))</x:f>
      </x:c>
    </x:row>
    <x:row r="128" ht="20" customHeight="1">
      <x:c r="A128" s="15"/>
      <x:c r="B128" s="28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 t="str">
        <x:f>IF(COUNTA(B128:L128)=0,"",TEXTJOIN("; ",TRUE,IF(B128="","Missing work date",""),IF(C128="","Missing project",""),IF(F128="","Missing type",""),IF(G128="","Missing severity",""),IF(H128="","Missing description",""),IF(K128&lt;&gt;"Closed","Open safety item","")))</x:f>
      </x:c>
    </x:row>
    <x:row r="129" ht="20" customHeight="1">
      <x:c r="A129" s="15"/>
      <x:c r="B129" s="28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 t="str">
        <x:f>IF(COUNTA(B129:L129)=0,"",TEXTJOIN("; ",TRUE,IF(B129="","Missing work date",""),IF(C129="","Missing project",""),IF(F129="","Missing type",""),IF(G129="","Missing severity",""),IF(H129="","Missing description",""),IF(K129&lt;&gt;"Closed","Open safety item","")))</x:f>
      </x:c>
    </x:row>
    <x:row r="130" ht="20" customHeight="1">
      <x:c r="A130" s="15"/>
      <x:c r="B130" s="28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 t="str">
        <x:f>IF(COUNTA(B130:L130)=0,"",TEXTJOIN("; ",TRUE,IF(B130="","Missing work date",""),IF(C130="","Missing project",""),IF(F130="","Missing type",""),IF(G130="","Missing severity",""),IF(H130="","Missing description",""),IF(K130&lt;&gt;"Closed","Open safety item","")))</x:f>
      </x:c>
    </x:row>
    <x:row r="131" ht="20" customHeight="1">
      <x:c r="A131" s="15"/>
      <x:c r="B131" s="28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 t="str">
        <x:f>IF(COUNTA(B131:L131)=0,"",TEXTJOIN("; ",TRUE,IF(B131="","Missing work date",""),IF(C131="","Missing project",""),IF(F131="","Missing type",""),IF(G131="","Missing severity",""),IF(H131="","Missing description",""),IF(K131&lt;&gt;"Closed","Open safety item","")))</x:f>
      </x:c>
    </x:row>
    <x:row r="132" ht="20" customHeight="1">
      <x:c r="A132" s="15"/>
      <x:c r="B132" s="28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 t="str">
        <x:f>IF(COUNTA(B132:L132)=0,"",TEXTJOIN("; ",TRUE,IF(B132="","Missing work date",""),IF(C132="","Missing project",""),IF(F132="","Missing type",""),IF(G132="","Missing severity",""),IF(H132="","Missing description",""),IF(K132&lt;&gt;"Closed","Open safety item","")))</x:f>
      </x:c>
    </x:row>
    <x:row r="133" ht="20" customHeight="1">
      <x:c r="A133" s="15"/>
      <x:c r="B133" s="28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 t="str">
        <x:f>IF(COUNTA(B133:L133)=0,"",TEXTJOIN("; ",TRUE,IF(B133="","Missing work date",""),IF(C133="","Missing project",""),IF(F133="","Missing type",""),IF(G133="","Missing severity",""),IF(H133="","Missing description",""),IF(K133&lt;&gt;"Closed","Open safety item","")))</x:f>
      </x:c>
    </x:row>
    <x:row r="134" ht="20" customHeight="1">
      <x:c r="A134" s="15"/>
      <x:c r="B134" s="28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 t="str">
        <x:f>IF(COUNTA(B134:L134)=0,"",TEXTJOIN("; ",TRUE,IF(B134="","Missing work date",""),IF(C134="","Missing project",""),IF(F134="","Missing type",""),IF(G134="","Missing severity",""),IF(H134="","Missing description",""),IF(K134&lt;&gt;"Closed","Open safety item","")))</x:f>
      </x:c>
    </x:row>
    <x:row r="135" ht="20" customHeight="1">
      <x:c r="A135" s="15"/>
      <x:c r="B135" s="28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 t="str">
        <x:f>IF(COUNTA(B135:L135)=0,"",TEXTJOIN("; ",TRUE,IF(B135="","Missing work date",""),IF(C135="","Missing project",""),IF(F135="","Missing type",""),IF(G135="","Missing severity",""),IF(H135="","Missing description",""),IF(K135&lt;&gt;"Closed","Open safety item","")))</x:f>
      </x:c>
    </x:row>
    <x:row r="136" ht="20" customHeight="1">
      <x:c r="A136" s="15"/>
      <x:c r="B136" s="28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 t="str">
        <x:f>IF(COUNTA(B136:L136)=0,"",TEXTJOIN("; ",TRUE,IF(B136="","Missing work date",""),IF(C136="","Missing project",""),IF(F136="","Missing type",""),IF(G136="","Missing severity",""),IF(H136="","Missing description",""),IF(K136&lt;&gt;"Closed","Open safety item","")))</x:f>
      </x:c>
    </x:row>
    <x:row r="137" ht="20" customHeight="1">
      <x:c r="A137" s="15"/>
      <x:c r="B137" s="28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 t="str">
        <x:f>IF(COUNTA(B137:L137)=0,"",TEXTJOIN("; ",TRUE,IF(B137="","Missing work date",""),IF(C137="","Missing project",""),IF(F137="","Missing type",""),IF(G137="","Missing severity",""),IF(H137="","Missing description",""),IF(K137&lt;&gt;"Closed","Open safety item","")))</x:f>
      </x:c>
    </x:row>
    <x:row r="138" ht="20" customHeight="1">
      <x:c r="A138" s="15"/>
      <x:c r="B138" s="28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 t="str">
        <x:f>IF(COUNTA(B138:L138)=0,"",TEXTJOIN("; ",TRUE,IF(B138="","Missing work date",""),IF(C138="","Missing project",""),IF(F138="","Missing type",""),IF(G138="","Missing severity",""),IF(H138="","Missing description",""),IF(K138&lt;&gt;"Closed","Open safety item","")))</x:f>
      </x:c>
    </x:row>
    <x:row r="139" ht="20" customHeight="1">
      <x:c r="A139" s="15"/>
      <x:c r="B139" s="28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 t="str">
        <x:f>IF(COUNTA(B139:L139)=0,"",TEXTJOIN("; ",TRUE,IF(B139="","Missing work date",""),IF(C139="","Missing project",""),IF(F139="","Missing type",""),IF(G139="","Missing severity",""),IF(H139="","Missing description",""),IF(K139&lt;&gt;"Closed","Open safety item","")))</x:f>
      </x:c>
    </x:row>
    <x:row r="140" ht="20" customHeight="1">
      <x:c r="A140" s="15"/>
      <x:c r="B140" s="28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 t="str">
        <x:f>IF(COUNTA(B140:L140)=0,"",TEXTJOIN("; ",TRUE,IF(B140="","Missing work date",""),IF(C140="","Missing project",""),IF(F140="","Missing type",""),IF(G140="","Missing severity",""),IF(H140="","Missing description",""),IF(K140&lt;&gt;"Closed","Open safety item","")))</x:f>
      </x:c>
    </x:row>
    <x:row r="141" ht="20" customHeight="1">
      <x:c r="A141" s="15"/>
      <x:c r="B141" s="28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 t="str">
        <x:f>IF(COUNTA(B141:L141)=0,"",TEXTJOIN("; ",TRUE,IF(B141="","Missing work date",""),IF(C141="","Missing project",""),IF(F141="","Missing type",""),IF(G141="","Missing severity",""),IF(H141="","Missing description",""),IF(K141&lt;&gt;"Closed","Open safety item","")))</x:f>
      </x:c>
    </x:row>
    <x:row r="142" ht="20" customHeight="1">
      <x:c r="A142" s="15"/>
      <x:c r="B142" s="28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 t="str">
        <x:f>IF(COUNTA(B142:L142)=0,"",TEXTJOIN("; ",TRUE,IF(B142="","Missing work date",""),IF(C142="","Missing project",""),IF(F142="","Missing type",""),IF(G142="","Missing severity",""),IF(H142="","Missing description",""),IF(K142&lt;&gt;"Closed","Open safety item","")))</x:f>
      </x:c>
    </x:row>
    <x:row r="143" ht="20" customHeight="1">
      <x:c r="A143" s="15"/>
      <x:c r="B143" s="28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 t="str">
        <x:f>IF(COUNTA(B143:L143)=0,"",TEXTJOIN("; ",TRUE,IF(B143="","Missing work date",""),IF(C143="","Missing project",""),IF(F143="","Missing type",""),IF(G143="","Missing severity",""),IF(H143="","Missing description",""),IF(K143&lt;&gt;"Closed","Open safety item","")))</x:f>
      </x:c>
    </x:row>
    <x:row r="144" ht="20" customHeight="1">
      <x:c r="A144" s="15"/>
      <x:c r="B144" s="28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 t="str">
        <x:f>IF(COUNTA(B144:L144)=0,"",TEXTJOIN("; ",TRUE,IF(B144="","Missing work date",""),IF(C144="","Missing project",""),IF(F144="","Missing type",""),IF(G144="","Missing severity",""),IF(H144="","Missing description",""),IF(K144&lt;&gt;"Closed","Open safety item","")))</x:f>
      </x:c>
    </x:row>
    <x:row r="145" ht="20" customHeight="1">
      <x:c r="A145" s="15"/>
      <x:c r="B145" s="28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 t="str">
        <x:f>IF(COUNTA(B145:L145)=0,"",TEXTJOIN("; ",TRUE,IF(B145="","Missing work date",""),IF(C145="","Missing project",""),IF(F145="","Missing type",""),IF(G145="","Missing severity",""),IF(H145="","Missing description",""),IF(K145&lt;&gt;"Closed","Open safety item","")))</x:f>
      </x:c>
    </x:row>
    <x:row r="146" ht="20" customHeight="1">
      <x:c r="A146" s="15"/>
      <x:c r="B146" s="28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 t="str">
        <x:f>IF(COUNTA(B146:L146)=0,"",TEXTJOIN("; ",TRUE,IF(B146="","Missing work date",""),IF(C146="","Missing project",""),IF(F146="","Missing type",""),IF(G146="","Missing severity",""),IF(H146="","Missing description",""),IF(K146&lt;&gt;"Closed","Open safety item","")))</x:f>
      </x:c>
    </x:row>
    <x:row r="147" ht="20" customHeight="1">
      <x:c r="A147" s="15"/>
      <x:c r="B147" s="28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 t="str">
        <x:f>IF(COUNTA(B147:L147)=0,"",TEXTJOIN("; ",TRUE,IF(B147="","Missing work date",""),IF(C147="","Missing project",""),IF(F147="","Missing type",""),IF(G147="","Missing severity",""),IF(H147="","Missing description",""),IF(K147&lt;&gt;"Closed","Open safety item","")))</x:f>
      </x:c>
    </x:row>
    <x:row r="148" ht="20" customHeight="1">
      <x:c r="A148" s="15"/>
      <x:c r="B148" s="28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 t="str">
        <x:f>IF(COUNTA(B148:L148)=0,"",TEXTJOIN("; ",TRUE,IF(B148="","Missing work date",""),IF(C148="","Missing project",""),IF(F148="","Missing type",""),IF(G148="","Missing severity",""),IF(H148="","Missing description",""),IF(K148&lt;&gt;"Closed","Open safety item","")))</x:f>
      </x:c>
    </x:row>
    <x:row r="149" ht="20" customHeight="1">
      <x:c r="A149" s="15"/>
      <x:c r="B149" s="28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 t="str">
        <x:f>IF(COUNTA(B149:L149)=0,"",TEXTJOIN("; ",TRUE,IF(B149="","Missing work date",""),IF(C149="","Missing project",""),IF(F149="","Missing type",""),IF(G149="","Missing severity",""),IF(H149="","Missing description",""),IF(K149&lt;&gt;"Closed","Open safety item","")))</x:f>
      </x:c>
    </x:row>
    <x:row r="150" ht="20" customHeight="1">
      <x:c r="A150" s="15"/>
      <x:c r="B150" s="28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 t="str">
        <x:f>IF(COUNTA(B150:L150)=0,"",TEXTJOIN("; ",TRUE,IF(B150="","Missing work date",""),IF(C150="","Missing project",""),IF(F150="","Missing type",""),IF(G150="","Missing severity",""),IF(H150="","Missing description",""),IF(K150&lt;&gt;"Closed","Open safety item","")))</x:f>
      </x:c>
    </x:row>
    <x:row r="151" ht="20" customHeight="1">
      <x:c r="A151" s="15"/>
      <x:c r="B151" s="28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 t="str">
        <x:f>IF(COUNTA(B151:L151)=0,"",TEXTJOIN("; ",TRUE,IF(B151="","Missing work date",""),IF(C151="","Missing project",""),IF(F151="","Missing type",""),IF(G151="","Missing severity",""),IF(H151="","Missing description",""),IF(K151&lt;&gt;"Closed","Open safety item","")))</x:f>
      </x:c>
    </x:row>
    <x:row r="152" ht="20" customHeight="1">
      <x:c r="A152" s="15"/>
      <x:c r="B152" s="28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 t="str">
        <x:f>IF(COUNTA(B152:L152)=0,"",TEXTJOIN("; ",TRUE,IF(B152="","Missing work date",""),IF(C152="","Missing project",""),IF(F152="","Missing type",""),IF(G152="","Missing severity",""),IF(H152="","Missing description",""),IF(K152&lt;&gt;"Closed","Open safety item","")))</x:f>
      </x:c>
    </x:row>
    <x:row r="153" ht="20" customHeight="1">
      <x:c r="A153" s="15"/>
      <x:c r="B153" s="28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 t="str">
        <x:f>IF(COUNTA(B153:L153)=0,"",TEXTJOIN("; ",TRUE,IF(B153="","Missing work date",""),IF(C153="","Missing project",""),IF(F153="","Missing type",""),IF(G153="","Missing severity",""),IF(H153="","Missing description",""),IF(K153&lt;&gt;"Closed","Open safety item","")))</x:f>
      </x:c>
    </x:row>
    <x:row r="154" ht="20" customHeight="1">
      <x:c r="A154" s="15"/>
      <x:c r="B154" s="28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 t="str">
        <x:f>IF(COUNTA(B154:L154)=0,"",TEXTJOIN("; ",TRUE,IF(B154="","Missing work date",""),IF(C154="","Missing project",""),IF(F154="","Missing type",""),IF(G154="","Missing severity",""),IF(H154="","Missing description",""),IF(K154&lt;&gt;"Closed","Open safety item","")))</x:f>
      </x:c>
    </x:row>
    <x:row r="155" ht="20" customHeight="1">
      <x:c r="A155" s="15"/>
      <x:c r="B155" s="28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 t="str">
        <x:f>IF(COUNTA(B155:L155)=0,"",TEXTJOIN("; ",TRUE,IF(B155="","Missing work date",""),IF(C155="","Missing project",""),IF(F155="","Missing type",""),IF(G155="","Missing severity",""),IF(H155="","Missing description",""),IF(K155&lt;&gt;"Closed","Open safety item","")))</x:f>
      </x:c>
    </x:row>
    <x:row r="156" ht="20" customHeight="1">
      <x:c r="A156" s="15"/>
      <x:c r="B156" s="28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 t="str">
        <x:f>IF(COUNTA(B156:L156)=0,"",TEXTJOIN("; ",TRUE,IF(B156="","Missing work date",""),IF(C156="","Missing project",""),IF(F156="","Missing type",""),IF(G156="","Missing severity",""),IF(H156="","Missing description",""),IF(K156&lt;&gt;"Closed","Open safety item","")))</x:f>
      </x:c>
    </x:row>
    <x:row r="157" ht="20" customHeight="1">
      <x:c r="A157" s="15"/>
      <x:c r="B157" s="28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 t="str">
        <x:f>IF(COUNTA(B157:L157)=0,"",TEXTJOIN("; ",TRUE,IF(B157="","Missing work date",""),IF(C157="","Missing project",""),IF(F157="","Missing type",""),IF(G157="","Missing severity",""),IF(H157="","Missing description",""),IF(K157&lt;&gt;"Closed","Open safety item","")))</x:f>
      </x:c>
    </x:row>
    <x:row r="158" ht="20" customHeight="1">
      <x:c r="A158" s="15"/>
      <x:c r="B158" s="28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 t="str">
        <x:f>IF(COUNTA(B158:L158)=0,"",TEXTJOIN("; ",TRUE,IF(B158="","Missing work date",""),IF(C158="","Missing project",""),IF(F158="","Missing type",""),IF(G158="","Missing severity",""),IF(H158="","Missing description",""),IF(K158&lt;&gt;"Closed","Open safety item","")))</x:f>
      </x:c>
    </x:row>
    <x:row r="159" ht="20" customHeight="1">
      <x:c r="A159" s="15"/>
      <x:c r="B159" s="28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 t="str">
        <x:f>IF(COUNTA(B159:L159)=0,"",TEXTJOIN("; ",TRUE,IF(B159="","Missing work date",""),IF(C159="","Missing project",""),IF(F159="","Missing type",""),IF(G159="","Missing severity",""),IF(H159="","Missing description",""),IF(K159&lt;&gt;"Closed","Open safety item","")))</x:f>
      </x:c>
    </x:row>
    <x:row r="160" ht="20" customHeight="1">
      <x:c r="A160" s="15"/>
      <x:c r="B160" s="28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 t="str">
        <x:f>IF(COUNTA(B160:L160)=0,"",TEXTJOIN("; ",TRUE,IF(B160="","Missing work date",""),IF(C160="","Missing project",""),IF(F160="","Missing type",""),IF(G160="","Missing severity",""),IF(H160="","Missing description",""),IF(K160&lt;&gt;"Closed","Open safety item","")))</x:f>
      </x:c>
    </x:row>
    <x:row r="161" ht="20" customHeight="1">
      <x:c r="A161" s="15"/>
      <x:c r="B161" s="28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 t="str">
        <x:f>IF(COUNTA(B161:L161)=0,"",TEXTJOIN("; ",TRUE,IF(B161="","Missing work date",""),IF(C161="","Missing project",""),IF(F161="","Missing type",""),IF(G161="","Missing severity",""),IF(H161="","Missing description",""),IF(K161&lt;&gt;"Closed","Open safety item","")))</x:f>
      </x:c>
    </x:row>
    <x:row r="162" ht="20" customHeight="1">
      <x:c r="A162" s="15"/>
      <x:c r="B162" s="28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 t="str">
        <x:f>IF(COUNTA(B162:L162)=0,"",TEXTJOIN("; ",TRUE,IF(B162="","Missing work date",""),IF(C162="","Missing project",""),IF(F162="","Missing type",""),IF(G162="","Missing severity",""),IF(H162="","Missing description",""),IF(K162&lt;&gt;"Closed","Open safety item","")))</x:f>
      </x:c>
    </x:row>
    <x:row r="163" ht="20" customHeight="1">
      <x:c r="A163" s="15"/>
      <x:c r="B163" s="28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 t="str">
        <x:f>IF(COUNTA(B163:L163)=0,"",TEXTJOIN("; ",TRUE,IF(B163="","Missing work date",""),IF(C163="","Missing project",""),IF(F163="","Missing type",""),IF(G163="","Missing severity",""),IF(H163="","Missing description",""),IF(K163&lt;&gt;"Closed","Open safety item","")))</x:f>
      </x:c>
    </x:row>
    <x:row r="164" ht="20" customHeight="1">
      <x:c r="A164" s="15"/>
      <x:c r="B164" s="28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 t="str">
        <x:f>IF(COUNTA(B164:L164)=0,"",TEXTJOIN("; ",TRUE,IF(B164="","Missing work date",""),IF(C164="","Missing project",""),IF(F164="","Missing type",""),IF(G164="","Missing severity",""),IF(H164="","Missing description",""),IF(K164&lt;&gt;"Closed","Open safety item","")))</x:f>
      </x:c>
    </x:row>
    <x:row r="165" ht="20" customHeight="1">
      <x:c r="A165" s="15"/>
      <x:c r="B165" s="28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 t="str">
        <x:f>IF(COUNTA(B165:L165)=0,"",TEXTJOIN("; ",TRUE,IF(B165="","Missing work date",""),IF(C165="","Missing project",""),IF(F165="","Missing type",""),IF(G165="","Missing severity",""),IF(H165="","Missing description",""),IF(K165&lt;&gt;"Closed","Open safety item","")))</x:f>
      </x:c>
    </x:row>
    <x:row r="166" ht="20" customHeight="1">
      <x:c r="A166" s="15"/>
      <x:c r="B166" s="28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 t="str">
        <x:f>IF(COUNTA(B166:L166)=0,"",TEXTJOIN("; ",TRUE,IF(B166="","Missing work date",""),IF(C166="","Missing project",""),IF(F166="","Missing type",""),IF(G166="","Missing severity",""),IF(H166="","Missing description",""),IF(K166&lt;&gt;"Closed","Open safety item","")))</x:f>
      </x:c>
    </x:row>
    <x:row r="167" ht="20" customHeight="1">
      <x:c r="A167" s="15"/>
      <x:c r="B167" s="28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 t="str">
        <x:f>IF(COUNTA(B167:L167)=0,"",TEXTJOIN("; ",TRUE,IF(B167="","Missing work date",""),IF(C167="","Missing project",""),IF(F167="","Missing type",""),IF(G167="","Missing severity",""),IF(H167="","Missing description",""),IF(K167&lt;&gt;"Closed","Open safety item","")))</x:f>
      </x:c>
    </x:row>
    <x:row r="168" ht="20" customHeight="1">
      <x:c r="A168" s="15"/>
      <x:c r="B168" s="28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 t="str">
        <x:f>IF(COUNTA(B168:L168)=0,"",TEXTJOIN("; ",TRUE,IF(B168="","Missing work date",""),IF(C168="","Missing project",""),IF(F168="","Missing type",""),IF(G168="","Missing severity",""),IF(H168="","Missing description",""),IF(K168&lt;&gt;"Closed","Open safety item","")))</x:f>
      </x:c>
    </x:row>
    <x:row r="169" ht="20" customHeight="1">
      <x:c r="A169" s="15"/>
      <x:c r="B169" s="28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 t="str">
        <x:f>IF(COUNTA(B169:L169)=0,"",TEXTJOIN("; ",TRUE,IF(B169="","Missing work date",""),IF(C169="","Missing project",""),IF(F169="","Missing type",""),IF(G169="","Missing severity",""),IF(H169="","Missing description",""),IF(K169&lt;&gt;"Closed","Open safety item","")))</x:f>
      </x:c>
    </x:row>
    <x:row r="170" ht="20" customHeight="1">
      <x:c r="A170" s="15"/>
      <x:c r="B170" s="28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 t="str">
        <x:f>IF(COUNTA(B170:L170)=0,"",TEXTJOIN("; ",TRUE,IF(B170="","Missing work date",""),IF(C170="","Missing project",""),IF(F170="","Missing type",""),IF(G170="","Missing severity",""),IF(H170="","Missing description",""),IF(K170&lt;&gt;"Closed","Open safety item","")))</x:f>
      </x:c>
    </x:row>
    <x:row r="171" ht="20" customHeight="1">
      <x:c r="A171" s="15"/>
      <x:c r="B171" s="28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 t="str">
        <x:f>IF(COUNTA(B171:L171)=0,"",TEXTJOIN("; ",TRUE,IF(B171="","Missing work date",""),IF(C171="","Missing project",""),IF(F171="","Missing type",""),IF(G171="","Missing severity",""),IF(H171="","Missing description",""),IF(K171&lt;&gt;"Closed","Open safety item","")))</x:f>
      </x:c>
    </x:row>
    <x:row r="172" ht="20" customHeight="1">
      <x:c r="A172" s="15"/>
      <x:c r="B172" s="28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 t="str">
        <x:f>IF(COUNTA(B172:L172)=0,"",TEXTJOIN("; ",TRUE,IF(B172="","Missing work date",""),IF(C172="","Missing project",""),IF(F172="","Missing type",""),IF(G172="","Missing severity",""),IF(H172="","Missing description",""),IF(K172&lt;&gt;"Closed","Open safety item","")))</x:f>
      </x:c>
    </x:row>
    <x:row r="173" ht="20" customHeight="1">
      <x:c r="A173" s="15"/>
      <x:c r="B173" s="28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 t="str">
        <x:f>IF(COUNTA(B173:L173)=0,"",TEXTJOIN("; ",TRUE,IF(B173="","Missing work date",""),IF(C173="","Missing project",""),IF(F173="","Missing type",""),IF(G173="","Missing severity",""),IF(H173="","Missing description",""),IF(K173&lt;&gt;"Closed","Open safety item","")))</x:f>
      </x:c>
    </x:row>
    <x:row r="174" ht="20" customHeight="1">
      <x:c r="A174" s="15"/>
      <x:c r="B174" s="28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 t="str">
        <x:f>IF(COUNTA(B174:L174)=0,"",TEXTJOIN("; ",TRUE,IF(B174="","Missing work date",""),IF(C174="","Missing project",""),IF(F174="","Missing type",""),IF(G174="","Missing severity",""),IF(H174="","Missing description",""),IF(K174&lt;&gt;"Closed","Open safety item","")))</x:f>
      </x:c>
    </x:row>
    <x:row r="175" ht="20" customHeight="1">
      <x:c r="A175" s="15"/>
      <x:c r="B175" s="28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 t="str">
        <x:f>IF(COUNTA(B175:L175)=0,"",TEXTJOIN("; ",TRUE,IF(B175="","Missing work date",""),IF(C175="","Missing project",""),IF(F175="","Missing type",""),IF(G175="","Missing severity",""),IF(H175="","Missing description",""),IF(K175&lt;&gt;"Closed","Open safety item","")))</x:f>
      </x:c>
    </x:row>
    <x:row r="176" ht="20" customHeight="1">
      <x:c r="A176" s="15"/>
      <x:c r="B176" s="28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 t="str">
        <x:f>IF(COUNTA(B176:L176)=0,"",TEXTJOIN("; ",TRUE,IF(B176="","Missing work date",""),IF(C176="","Missing project",""),IF(F176="","Missing type",""),IF(G176="","Missing severity",""),IF(H176="","Missing description",""),IF(K176&lt;&gt;"Closed","Open safety item","")))</x:f>
      </x:c>
    </x:row>
    <x:row r="177" ht="20" customHeight="1">
      <x:c r="A177" s="15"/>
      <x:c r="B177" s="28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 t="str">
        <x:f>IF(COUNTA(B177:L177)=0,"",TEXTJOIN("; ",TRUE,IF(B177="","Missing work date",""),IF(C177="","Missing project",""),IF(F177="","Missing type",""),IF(G177="","Missing severity",""),IF(H177="","Missing description",""),IF(K177&lt;&gt;"Closed","Open safety item","")))</x:f>
      </x:c>
    </x:row>
    <x:row r="178" ht="20" customHeight="1">
      <x:c r="A178" s="15"/>
      <x:c r="B178" s="28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 t="str">
        <x:f>IF(COUNTA(B178:L178)=0,"",TEXTJOIN("; ",TRUE,IF(B178="","Missing work date",""),IF(C178="","Missing project",""),IF(F178="","Missing type",""),IF(G178="","Missing severity",""),IF(H178="","Missing description",""),IF(K178&lt;&gt;"Closed","Open safety item","")))</x:f>
      </x:c>
    </x:row>
    <x:row r="179" ht="20" customHeight="1">
      <x:c r="A179" s="15"/>
      <x:c r="B179" s="28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 t="str">
        <x:f>IF(COUNTA(B179:L179)=0,"",TEXTJOIN("; ",TRUE,IF(B179="","Missing work date",""),IF(C179="","Missing project",""),IF(F179="","Missing type",""),IF(G179="","Missing severity",""),IF(H179="","Missing description",""),IF(K179&lt;&gt;"Closed","Open safety item","")))</x:f>
      </x:c>
    </x:row>
    <x:row r="180" ht="20" customHeight="1">
      <x:c r="A180" s="15"/>
      <x:c r="B180" s="28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 t="str">
        <x:f>IF(COUNTA(B180:L180)=0,"",TEXTJOIN("; ",TRUE,IF(B180="","Missing work date",""),IF(C180="","Missing project",""),IF(F180="","Missing type",""),IF(G180="","Missing severity",""),IF(H180="","Missing description",""),IF(K180&lt;&gt;"Closed","Open safety item","")))</x:f>
      </x:c>
    </x:row>
    <x:row r="181" ht="20" customHeight="1">
      <x:c r="A181" s="15"/>
      <x:c r="B181" s="28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 t="str">
        <x:f>IF(COUNTA(B181:L181)=0,"",TEXTJOIN("; ",TRUE,IF(B181="","Missing work date",""),IF(C181="","Missing project",""),IF(F181="","Missing type",""),IF(G181="","Missing severity",""),IF(H181="","Missing description",""),IF(K181&lt;&gt;"Closed","Open safety item","")))</x:f>
      </x:c>
    </x:row>
    <x:row r="182" ht="20" customHeight="1">
      <x:c r="A182" s="15"/>
      <x:c r="B182" s="28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 t="str">
        <x:f>IF(COUNTA(B182:L182)=0,"",TEXTJOIN("; ",TRUE,IF(B182="","Missing work date",""),IF(C182="","Missing project",""),IF(F182="","Missing type",""),IF(G182="","Missing severity",""),IF(H182="","Missing description",""),IF(K182&lt;&gt;"Closed","Open safety item","")))</x:f>
      </x:c>
    </x:row>
    <x:row r="183" ht="20" customHeight="1">
      <x:c r="A183" s="15"/>
      <x:c r="B183" s="28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 t="str">
        <x:f>IF(COUNTA(B183:L183)=0,"",TEXTJOIN("; ",TRUE,IF(B183="","Missing work date",""),IF(C183="","Missing project",""),IF(F183="","Missing type",""),IF(G183="","Missing severity",""),IF(H183="","Missing description",""),IF(K183&lt;&gt;"Closed","Open safety item","")))</x:f>
      </x:c>
    </x:row>
    <x:row r="184" ht="20" customHeight="1">
      <x:c r="A184" s="15"/>
      <x:c r="B184" s="28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 t="str">
        <x:f>IF(COUNTA(B184:L184)=0,"",TEXTJOIN("; ",TRUE,IF(B184="","Missing work date",""),IF(C184="","Missing project",""),IF(F184="","Missing type",""),IF(G184="","Missing severity",""),IF(H184="","Missing description",""),IF(K184&lt;&gt;"Closed","Open safety item","")))</x:f>
      </x:c>
    </x:row>
    <x:row r="185" ht="20" customHeight="1">
      <x:c r="A185" s="15"/>
      <x:c r="B185" s="28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 t="str">
        <x:f>IF(COUNTA(B185:L185)=0,"",TEXTJOIN("; ",TRUE,IF(B185="","Missing work date",""),IF(C185="","Missing project",""),IF(F185="","Missing type",""),IF(G185="","Missing severity",""),IF(H185="","Missing description",""),IF(K185&lt;&gt;"Closed","Open safety item","")))</x:f>
      </x:c>
    </x:row>
    <x:row r="186" ht="20" customHeight="1">
      <x:c r="A186" s="15"/>
      <x:c r="B186" s="28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 t="str">
        <x:f>IF(COUNTA(B186:L186)=0,"",TEXTJOIN("; ",TRUE,IF(B186="","Missing work date",""),IF(C186="","Missing project",""),IF(F186="","Missing type",""),IF(G186="","Missing severity",""),IF(H186="","Missing description",""),IF(K186&lt;&gt;"Closed","Open safety item","")))</x:f>
      </x:c>
    </x:row>
    <x:row r="187" ht="20" customHeight="1">
      <x:c r="A187" s="15"/>
      <x:c r="B187" s="28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 t="str">
        <x:f>IF(COUNTA(B187:L187)=0,"",TEXTJOIN("; ",TRUE,IF(B187="","Missing work date",""),IF(C187="","Missing project",""),IF(F187="","Missing type",""),IF(G187="","Missing severity",""),IF(H187="","Missing description",""),IF(K187&lt;&gt;"Closed","Open safety item","")))</x:f>
      </x:c>
    </x:row>
    <x:row r="188" ht="20" customHeight="1">
      <x:c r="A188" s="15"/>
      <x:c r="B188" s="28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 t="str">
        <x:f>IF(COUNTA(B188:L188)=0,"",TEXTJOIN("; ",TRUE,IF(B188="","Missing work date",""),IF(C188="","Missing project",""),IF(F188="","Missing type",""),IF(G188="","Missing severity",""),IF(H188="","Missing description",""),IF(K188&lt;&gt;"Closed","Open safety item","")))</x:f>
      </x:c>
    </x:row>
    <x:row r="189" ht="20" customHeight="1">
      <x:c r="A189" s="15"/>
      <x:c r="B189" s="28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 t="str">
        <x:f>IF(COUNTA(B189:L189)=0,"",TEXTJOIN("; ",TRUE,IF(B189="","Missing work date",""),IF(C189="","Missing project",""),IF(F189="","Missing type",""),IF(G189="","Missing severity",""),IF(H189="","Missing description",""),IF(K189&lt;&gt;"Closed","Open safety item","")))</x:f>
      </x:c>
    </x:row>
    <x:row r="190" ht="20" customHeight="1">
      <x:c r="A190" s="15"/>
      <x:c r="B190" s="28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 t="str">
        <x:f>IF(COUNTA(B190:L190)=0,"",TEXTJOIN("; ",TRUE,IF(B190="","Missing work date",""),IF(C190="","Missing project",""),IF(F190="","Missing type",""),IF(G190="","Missing severity",""),IF(H190="","Missing description",""),IF(K190&lt;&gt;"Closed","Open safety item","")))</x:f>
      </x:c>
    </x:row>
    <x:row r="191" ht="20" customHeight="1">
      <x:c r="A191" s="15"/>
      <x:c r="B191" s="28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 t="str">
        <x:f>IF(COUNTA(B191:L191)=0,"",TEXTJOIN("; ",TRUE,IF(B191="","Missing work date",""),IF(C191="","Missing project",""),IF(F191="","Missing type",""),IF(G191="","Missing severity",""),IF(H191="","Missing description",""),IF(K191&lt;&gt;"Closed","Open safety item","")))</x:f>
      </x:c>
    </x:row>
    <x:row r="192" ht="20" customHeight="1">
      <x:c r="A192" s="15"/>
      <x:c r="B192" s="28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 t="str">
        <x:f>IF(COUNTA(B192:L192)=0,"",TEXTJOIN("; ",TRUE,IF(B192="","Missing work date",""),IF(C192="","Missing project",""),IF(F192="","Missing type",""),IF(G192="","Missing severity",""),IF(H192="","Missing description",""),IF(K192&lt;&gt;"Closed","Open safety item","")))</x:f>
      </x:c>
    </x:row>
    <x:row r="193" ht="20" customHeight="1">
      <x:c r="A193" s="15"/>
      <x:c r="B193" s="28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 t="str">
        <x:f>IF(COUNTA(B193:L193)=0,"",TEXTJOIN("; ",TRUE,IF(B193="","Missing work date",""),IF(C193="","Missing project",""),IF(F193="","Missing type",""),IF(G193="","Missing severity",""),IF(H193="","Missing description",""),IF(K193&lt;&gt;"Closed","Open safety item","")))</x:f>
      </x:c>
    </x:row>
    <x:row r="194" ht="20" customHeight="1">
      <x:c r="A194" s="15"/>
      <x:c r="B194" s="28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 t="str">
        <x:f>IF(COUNTA(B194:L194)=0,"",TEXTJOIN("; ",TRUE,IF(B194="","Missing work date",""),IF(C194="","Missing project",""),IF(F194="","Missing type",""),IF(G194="","Missing severity",""),IF(H194="","Missing description",""),IF(K194&lt;&gt;"Closed","Open safety item","")))</x:f>
      </x:c>
    </x:row>
    <x:row r="195" ht="20" customHeight="1">
      <x:c r="A195" s="15"/>
      <x:c r="B195" s="28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 t="str">
        <x:f>IF(COUNTA(B195:L195)=0,"",TEXTJOIN("; ",TRUE,IF(B195="","Missing work date",""),IF(C195="","Missing project",""),IF(F195="","Missing type",""),IF(G195="","Missing severity",""),IF(H195="","Missing description",""),IF(K195&lt;&gt;"Closed","Open safety item","")))</x:f>
      </x:c>
    </x:row>
    <x:row r="196" ht="20" customHeight="1">
      <x:c r="A196" s="15"/>
      <x:c r="B196" s="28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 t="str">
        <x:f>IF(COUNTA(B196:L196)=0,"",TEXTJOIN("; ",TRUE,IF(B196="","Missing work date",""),IF(C196="","Missing project",""),IF(F196="","Missing type",""),IF(G196="","Missing severity",""),IF(H196="","Missing description",""),IF(K196&lt;&gt;"Closed","Open safety item","")))</x:f>
      </x:c>
    </x:row>
    <x:row r="197" ht="20" customHeight="1">
      <x:c r="A197" s="15"/>
      <x:c r="B197" s="28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 t="str">
        <x:f>IF(COUNTA(B197:L197)=0,"",TEXTJOIN("; ",TRUE,IF(B197="","Missing work date",""),IF(C197="","Missing project",""),IF(F197="","Missing type",""),IF(G197="","Missing severity",""),IF(H197="","Missing description",""),IF(K197&lt;&gt;"Closed","Open safety item","")))</x:f>
      </x:c>
    </x:row>
    <x:row r="198" ht="20" customHeight="1">
      <x:c r="A198" s="15"/>
      <x:c r="B198" s="28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 t="str">
        <x:f>IF(COUNTA(B198:L198)=0,"",TEXTJOIN("; ",TRUE,IF(B198="","Missing work date",""),IF(C198="","Missing project",""),IF(F198="","Missing type",""),IF(G198="","Missing severity",""),IF(H198="","Missing description",""),IF(K198&lt;&gt;"Closed","Open safety item","")))</x:f>
      </x:c>
    </x:row>
    <x:row r="199" ht="20" customHeight="1">
      <x:c r="A199" s="15"/>
      <x:c r="B199" s="28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 t="str">
        <x:f>IF(COUNTA(B199:L199)=0,"",TEXTJOIN("; ",TRUE,IF(B199="","Missing work date",""),IF(C199="","Missing project",""),IF(F199="","Missing type",""),IF(G199="","Missing severity",""),IF(H199="","Missing description",""),IF(K199&lt;&gt;"Closed","Open safety item","")))</x:f>
      </x:c>
    </x:row>
    <x:row r="200" ht="20" customHeight="1">
      <x:c r="A200" s="15"/>
      <x:c r="B200" s="28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 t="str">
        <x:f>IF(COUNTA(B200:L200)=0,"",TEXTJOIN("; ",TRUE,IF(B200="","Missing work date",""),IF(C200="","Missing project",""),IF(F200="","Missing type",""),IF(G200="","Missing severity",""),IF(H200="","Missing description",""),IF(K200&lt;&gt;"Closed","Open safety item","")))</x:f>
      </x:c>
    </x:row>
    <x:row r="201" ht="20" customHeight="1">
      <x:c r="A201" s="15"/>
      <x:c r="B201" s="28"/>
      <x:c r="C201" s="15"/>
      <x:c r="D201" s="15"/>
      <x:c r="E201" s="15"/>
      <x:c r="F201" s="15"/>
      <x:c r="G201" s="15"/>
      <x:c r="H201" s="15"/>
      <x:c r="I201" s="15"/>
      <x:c r="J201" s="15"/>
      <x:c r="K201" s="15"/>
      <x:c r="L201" s="15"/>
      <x:c r="M201" s="15" t="str">
        <x:f>IF(COUNTA(B201:L201)=0,"",TEXTJOIN("; ",TRUE,IF(B201="","Missing work date",""),IF(C201="","Missing project",""),IF(F201="","Missing type",""),IF(G201="","Missing severity",""),IF(H201="","Missing description",""),IF(K201&lt;&gt;"Closed","Open safety item","")))</x:f>
      </x:c>
    </x:row>
  </x:sheetData>
  <x:conditionalFormatting sqref="M2:M201">
    <x:cfRule type="expression" dxfId="6" priority="1">
      <x:formula>M2&lt;&gt;""</x:formula>
    </x:cfRule>
  </x:conditionalFormatting>
  <x:dataValidations count="3">
    <x:dataValidation type="list" sqref="F2:F201">
      <x:formula1>"Near Miss,Incident,Damage,Utility Hit,Unsafe Condition,Toolbox Talk"</x:formula1>
    </x:dataValidation>
    <x:dataValidation type="list" sqref="G2:G201">
      <x:formula1>"Low,Medium,High,Critical"</x:formula1>
    </x:dataValidation>
    <x:dataValidation type="list" sqref="K2:K201">
      <x:formula1>"Open,In Review,Field Correction Needed,Office Review,Closed"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35e5143c3e46f3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2" hidden="0" customWidth="1"/>
    <x:col min="8" max="8" width="12" hidden="0" customWidth="1"/>
    <x:col min="9" max="9" width="14" hidden="0" customWidth="1"/>
    <x:col min="10" max="10" width="18" hidden="0" customWidth="1"/>
    <x:col min="11" max="11" width="46" hidden="0" customWidth="1"/>
    <x:col min="12" max="12" width="18" hidden="0" customWidth="1"/>
    <x:col min="13" max="13" width="50" hidden="0" customWidth="1"/>
  </x:cols>
  <x:sheetData>
    <x:row r="1" ht="30" customHeight="1">
      <x:c r="A1" s="196" t="str">
        <x:v>AssetID</x:v>
      </x:c>
      <x:c r="B1" s="196" t="str">
        <x:v>WorkDate</x:v>
      </x:c>
      <x:c r="C1" s="196" t="str">
        <x:v>ProjectID</x:v>
      </x:c>
      <x:c r="D1" s="196" t="str">
        <x:v>JobID</x:v>
      </x:c>
      <x:c r="E1" s="196" t="str">
        <x:v>SourceSubmissionID</x:v>
      </x:c>
      <x:c r="F1" s="196" t="str">
        <x:v>AssetType</x:v>
      </x:c>
      <x:c r="G1" s="196" t="str">
        <x:v>Required</x:v>
      </x:c>
      <x:c r="H1" s="196" t="str">
        <x:v>Uploaded</x:v>
      </x:c>
      <x:c r="I1" s="196" t="str">
        <x:v>GPSAttached</x:v>
      </x:c>
      <x:c r="J1" s="196" t="str">
        <x:v>TimestampAttached</x:v>
      </x:c>
      <x:c r="K1" s="196" t="str">
        <x:v>FileLink</x:v>
      </x:c>
      <x:c r="L1" s="196" t="str">
        <x:v>ProofStatus</x:v>
      </x:c>
      <x:c r="M1" s="196" t="str">
        <x:v>ValidationIssues</x:v>
      </x:c>
    </x:row>
    <x:row r="2" ht="20" customHeight="1">
      <x:c r="A2" s="15" t="str">
        <x:v>AST-0001</x:v>
      </x:c>
      <x:c r="B2" s="28" t="n">
        <x:v>46204</x:v>
      </x:c>
      <x:c r="C2" s="15" t="str">
        <x:v>PRJ-1001</x:v>
      </x:c>
      <x:c r="D2" s="15" t="str">
        <x:v>JOB-1001</x:v>
      </x:c>
      <x:c r="E2" s="15" t="str">
        <x:v>SUB-0001</x:v>
      </x:c>
      <x:c r="F2" s="15" t="str">
        <x:v>After Photo</x:v>
      </x:c>
      <x:c r="G2" s="15" t="str">
        <x:v>Yes</x:v>
      </x:c>
      <x:c r="H2" s="15" t="str">
        <x:v>Yes</x:v>
      </x:c>
      <x:c r="I2" s="15" t="str">
        <x:v>Yes</x:v>
      </x:c>
      <x:c r="J2" s="15" t="str">
        <x:v>Yes</x:v>
      </x:c>
      <x:c r="K2" s="15" t="str">
        <x:v>https://example.com/proof/AST-0001</x:v>
      </x:c>
      <x:c r="L2" s="15" t="str">
        <x:f>IF(COUNTA(B2:K2)=0,"",IF(AND(G2="Yes",H2="Yes",I2="Yes",J2="Yes"),"Verified",IF(G2="No","Not Required","Needs Review")))</x:f>
        <x:v>Verified</x:v>
      </x:c>
      <x:c r="M2" s="15" t="str">
        <x:f>IF(COUNTA(B2:K2)=0,"",TEXTJOIN("; ",TRUE,IF(B2="","Missing work date",""),IF(C2="","Missing project",""),IF(F2="","Missing asset type",""),IF(AND(G2="Yes",H2&lt;&gt;"Yes"),"Required asset not uploaded",""),IF(AND(H2="Yes",I2&lt;&gt;"Yes"),"Missing GPS metadata",""),IF(AND(H2="Yes",J2&lt;&gt;"Yes"),"Missing timestamp metadata",""),IF(AND(H2="Yes",K2=""),"Missing file link","")))</x:f>
      </x:c>
    </x:row>
    <x:row r="3" ht="20" customHeight="1">
      <x:c r="A3" s="15" t="str">
        <x:v>AST-0002</x:v>
      </x:c>
      <x:c r="B3" s="28" t="n">
        <x:v>46204</x:v>
      </x:c>
      <x:c r="C3" s="15" t="str">
        <x:v>PRJ-1001</x:v>
      </x:c>
      <x:c r="D3" s="15" t="str">
        <x:v>JOB-1002</x:v>
      </x:c>
      <x:c r="E3" s="15" t="str">
        <x:v>SUB-0002</x:v>
      </x:c>
      <x:c r="F3" s="15" t="str">
        <x:v>Redline</x:v>
      </x:c>
      <x:c r="G3" s="15" t="str">
        <x:v>Yes</x:v>
      </x:c>
      <x:c r="H3" s="15" t="str">
        <x:v>No</x:v>
      </x:c>
      <x:c r="I3" s="15" t="str">
        <x:v>No</x:v>
      </x:c>
      <x:c r="J3" s="15" t="str">
        <x:v>No</x:v>
      </x:c>
      <x:c r="K3" s="15" t="str"/>
      <x:c r="L3" s="15" t="str">
        <x:f>IF(COUNTA(B3:K3)=0,"",IF(AND(G3="Yes",H3="Yes",I3="Yes",J3="Yes"),"Verified",IF(G3="No","Not Required","Needs Review")))</x:f>
        <x:v>Needs Review</x:v>
      </x:c>
      <x:c r="M3" s="15" t="str">
        <x:f>IF(COUNTA(B3:K3)=0,"",TEXTJOIN("; ",TRUE,IF(B3="","Missing work date",""),IF(C3="","Missing project",""),IF(F3="","Missing asset type",""),IF(AND(G3="Yes",H3&lt;&gt;"Yes"),"Required asset not uploaded",""),IF(AND(H3="Yes",I3&lt;&gt;"Yes"),"Missing GPS metadata",""),IF(AND(H3="Yes",J3&lt;&gt;"Yes"),"Missing timestamp metadata",""),IF(AND(H3="Yes",K3=""),"Missing file link","")))</x:f>
        <x:v>Required asset not uploaded</x:v>
      </x:c>
    </x:row>
    <x:row r="4" ht="20" customHeight="1">
      <x:c r="A4" s="15" t="str">
        <x:v>AST-0003</x:v>
      </x:c>
      <x:c r="B4" s="28" t="n">
        <x:v>46204</x:v>
      </x:c>
      <x:c r="C4" s="15" t="str">
        <x:v>PRJ-1002</x:v>
      </x:c>
      <x:c r="D4" s="15" t="str">
        <x:v>JOB-2001</x:v>
      </x:c>
      <x:c r="E4" s="15" t="str">
        <x:v>SUB-0003</x:v>
      </x:c>
      <x:c r="F4" s="15" t="str">
        <x:v>Damage Photo</x:v>
      </x:c>
      <x:c r="G4" s="15" t="str">
        <x:v>Yes</x:v>
      </x:c>
      <x:c r="H4" s="15" t="str">
        <x:v>Yes</x:v>
      </x:c>
      <x:c r="I4" s="15" t="str">
        <x:v>Yes</x:v>
      </x:c>
      <x:c r="J4" s="15" t="str">
        <x:v>Yes</x:v>
      </x:c>
      <x:c r="K4" s="15" t="str">
        <x:v>https://example.com/proof/AST-0003</x:v>
      </x:c>
      <x:c r="L4" s="15" t="str">
        <x:f>IF(COUNTA(B4:K4)=0,"",IF(AND(G4="Yes",H4="Yes",I4="Yes",J4="Yes"),"Verified",IF(G4="No","Not Required","Needs Review")))</x:f>
        <x:v>Verified</x:v>
      </x:c>
      <x:c r="M4" s="15" t="str">
        <x:f>IF(COUNTA(B4:K4)=0,"",TEXTJOIN("; ",TRUE,IF(B4="","Missing work date",""),IF(C4="","Missing project",""),IF(F4="","Missing asset type",""),IF(AND(G4="Yes",H4&lt;&gt;"Yes"),"Required asset not uploaded",""),IF(AND(H4="Yes",I4&lt;&gt;"Yes"),"Missing GPS metadata",""),IF(AND(H4="Yes",J4&lt;&gt;"Yes"),"Missing timestamp metadata",""),IF(AND(H4="Yes",K4=""),"Missing file link","")))</x:f>
      </x:c>
    </x:row>
    <x:row r="5" ht="20" customHeight="1">
      <x:c r="A5" s="15" t="str">
        <x:v>AST-0004</x:v>
      </x:c>
      <x:c r="B5" s="28" t="n">
        <x:v>46205</x:v>
      </x:c>
      <x:c r="C5" s="15" t="str">
        <x:v>PRJ-1001</x:v>
      </x:c>
      <x:c r="D5" s="15" t="str">
        <x:v>JOB-1001</x:v>
      </x:c>
      <x:c r="E5" s="15" t="str">
        <x:v>SUB-0004</x:v>
      </x:c>
      <x:c r="F5" s="15" t="str">
        <x:v>Redline</x:v>
      </x:c>
      <x:c r="G5" s="15" t="str">
        <x:v>Yes</x:v>
      </x:c>
      <x:c r="H5" s="15" t="str">
        <x:v>Yes</x:v>
      </x:c>
      <x:c r="I5" s="15" t="str">
        <x:v>Yes</x:v>
      </x:c>
      <x:c r="J5" s="15" t="str">
        <x:v>Yes</x:v>
      </x:c>
      <x:c r="K5" s="15" t="str">
        <x:v>https://example.com/proof/AST-0004</x:v>
      </x:c>
      <x:c r="L5" s="15" t="str">
        <x:f>IF(COUNTA(B5:K5)=0,"",IF(AND(G5="Yes",H5="Yes",I5="Yes",J5="Yes"),"Verified",IF(G5="No","Not Required","Needs Review")))</x:f>
        <x:v>Verified</x:v>
      </x:c>
      <x:c r="M5" s="15" t="str">
        <x:f>IF(COUNTA(B5:K5)=0,"",TEXTJOIN("; ",TRUE,IF(B5="","Missing work date",""),IF(C5="","Missing project",""),IF(F5="","Missing asset type",""),IF(AND(G5="Yes",H5&lt;&gt;"Yes"),"Required asset not uploaded",""),IF(AND(H5="Yes",I5&lt;&gt;"Yes"),"Missing GPS metadata",""),IF(AND(H5="Yes",J5&lt;&gt;"Yes"),"Missing timestamp metadata",""),IF(AND(H5="Yes",K5=""),"Missing file link","")))</x:f>
      </x:c>
    </x:row>
    <x:row r="6" ht="20" customHeight="1">
      <x:c r="A6" s="15"/>
      <x:c r="B6" s="28"/>
      <x:c r="C6" s="15"/>
      <x:c r="D6" s="15"/>
      <x:c r="E6" s="15"/>
      <x:c r="F6" s="15"/>
      <x:c r="G6" s="15"/>
      <x:c r="H6" s="15"/>
      <x:c r="I6" s="15"/>
      <x:c r="J6" s="15"/>
      <x:c r="K6" s="15"/>
      <x:c r="L6" s="15" t="str">
        <x:f>IF(COUNTA(B6:K6)=0,"",IF(AND(G6="Yes",H6="Yes",I6="Yes",J6="Yes"),"Verified",IF(G6="No","Not Required","Needs Review")))</x:f>
      </x:c>
      <x:c r="M6" s="15" t="str">
        <x:f>IF(COUNTA(B6:K6)=0,"",TEXTJOIN("; ",TRUE,IF(B6="","Missing work date",""),IF(C6="","Missing project",""),IF(F6="","Missing asset type",""),IF(AND(G6="Yes",H6&lt;&gt;"Yes"),"Required asset not uploaded",""),IF(AND(H6="Yes",I6&lt;&gt;"Yes"),"Missing GPS metadata",""),IF(AND(H6="Yes",J6&lt;&gt;"Yes"),"Missing timestamp metadata",""),IF(AND(H6="Yes",K6=""),"Missing file link","")))</x:f>
      </x:c>
    </x:row>
    <x:row r="7" ht="20" customHeight="1">
      <x:c r="A7" s="15"/>
      <x:c r="B7" s="28"/>
      <x:c r="C7" s="15"/>
      <x:c r="D7" s="15"/>
      <x:c r="E7" s="15"/>
      <x:c r="F7" s="15"/>
      <x:c r="G7" s="15"/>
      <x:c r="H7" s="15"/>
      <x:c r="I7" s="15"/>
      <x:c r="J7" s="15"/>
      <x:c r="K7" s="15"/>
      <x:c r="L7" s="15" t="str">
        <x:f>IF(COUNTA(B7:K7)=0,"",IF(AND(G7="Yes",H7="Yes",I7="Yes",J7="Yes"),"Verified",IF(G7="No","Not Required","Needs Review")))</x:f>
      </x:c>
      <x:c r="M7" s="15" t="str">
        <x:f>IF(COUNTA(B7:K7)=0,"",TEXTJOIN("; ",TRUE,IF(B7="","Missing work date",""),IF(C7="","Missing project",""),IF(F7="","Missing asset type",""),IF(AND(G7="Yes",H7&lt;&gt;"Yes"),"Required asset not uploaded",""),IF(AND(H7="Yes",I7&lt;&gt;"Yes"),"Missing GPS metadata",""),IF(AND(H7="Yes",J7&lt;&gt;"Yes"),"Missing timestamp metadata",""),IF(AND(H7="Yes",K7=""),"Missing file link","")))</x:f>
      </x:c>
    </x:row>
    <x:row r="8" ht="20" customHeight="1">
      <x:c r="A8" s="15"/>
      <x:c r="B8" s="28"/>
      <x:c r="C8" s="15"/>
      <x:c r="D8" s="15"/>
      <x:c r="E8" s="15"/>
      <x:c r="F8" s="15"/>
      <x:c r="G8" s="15"/>
      <x:c r="H8" s="15"/>
      <x:c r="I8" s="15"/>
      <x:c r="J8" s="15"/>
      <x:c r="K8" s="15"/>
      <x:c r="L8" s="15" t="str">
        <x:f>IF(COUNTA(B8:K8)=0,"",IF(AND(G8="Yes",H8="Yes",I8="Yes",J8="Yes"),"Verified",IF(G8="No","Not Required","Needs Review")))</x:f>
      </x:c>
      <x:c r="M8" s="15" t="str">
        <x:f>IF(COUNTA(B8:K8)=0,"",TEXTJOIN("; ",TRUE,IF(B8="","Missing work date",""),IF(C8="","Missing project",""),IF(F8="","Missing asset type",""),IF(AND(G8="Yes",H8&lt;&gt;"Yes"),"Required asset not uploaded",""),IF(AND(H8="Yes",I8&lt;&gt;"Yes"),"Missing GPS metadata",""),IF(AND(H8="Yes",J8&lt;&gt;"Yes"),"Missing timestamp metadata",""),IF(AND(H8="Yes",K8=""),"Missing file link","")))</x:f>
      </x:c>
    </x:row>
    <x:row r="9" ht="20" customHeight="1">
      <x:c r="A9" s="15"/>
      <x:c r="B9" s="28"/>
      <x:c r="C9" s="15"/>
      <x:c r="D9" s="15"/>
      <x:c r="E9" s="15"/>
      <x:c r="F9" s="15"/>
      <x:c r="G9" s="15"/>
      <x:c r="H9" s="15"/>
      <x:c r="I9" s="15"/>
      <x:c r="J9" s="15"/>
      <x:c r="K9" s="15"/>
      <x:c r="L9" s="15" t="str">
        <x:f>IF(COUNTA(B9:K9)=0,"",IF(AND(G9="Yes",H9="Yes",I9="Yes",J9="Yes"),"Verified",IF(G9="No","Not Required","Needs Review")))</x:f>
      </x:c>
      <x:c r="M9" s="15" t="str">
        <x:f>IF(COUNTA(B9:K9)=0,"",TEXTJOIN("; ",TRUE,IF(B9="","Missing work date",""),IF(C9="","Missing project",""),IF(F9="","Missing asset type",""),IF(AND(G9="Yes",H9&lt;&gt;"Yes"),"Required asset not uploaded",""),IF(AND(H9="Yes",I9&lt;&gt;"Yes"),"Missing GPS metadata",""),IF(AND(H9="Yes",J9&lt;&gt;"Yes"),"Missing timestamp metadata",""),IF(AND(H9="Yes",K9=""),"Missing file link","")))</x:f>
      </x:c>
    </x:row>
    <x:row r="10" ht="20" customHeight="1">
      <x:c r="A10" s="15"/>
      <x:c r="B10" s="28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 t="str">
        <x:f>IF(COUNTA(B10:K10)=0,"",IF(AND(G10="Yes",H10="Yes",I10="Yes",J10="Yes"),"Verified",IF(G10="No","Not Required","Needs Review")))</x:f>
      </x:c>
      <x:c r="M10" s="15" t="str">
        <x:f>IF(COUNTA(B10:K10)=0,"",TEXTJOIN("; ",TRUE,IF(B10="","Missing work date",""),IF(C10="","Missing project",""),IF(F10="","Missing asset type",""),IF(AND(G10="Yes",H10&lt;&gt;"Yes"),"Required asset not uploaded",""),IF(AND(H10="Yes",I10&lt;&gt;"Yes"),"Missing GPS metadata",""),IF(AND(H10="Yes",J10&lt;&gt;"Yes"),"Missing timestamp metadata",""),IF(AND(H10="Yes",K10=""),"Missing file link","")))</x:f>
      </x:c>
    </x:row>
    <x:row r="11" ht="20" customHeight="1">
      <x:c r="A11" s="15"/>
      <x:c r="B11" s="28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 t="str">
        <x:f>IF(COUNTA(B11:K11)=0,"",IF(AND(G11="Yes",H11="Yes",I11="Yes",J11="Yes"),"Verified",IF(G11="No","Not Required","Needs Review")))</x:f>
      </x:c>
      <x:c r="M11" s="15" t="str">
        <x:f>IF(COUNTA(B11:K11)=0,"",TEXTJOIN("; ",TRUE,IF(B11="","Missing work date",""),IF(C11="","Missing project",""),IF(F11="","Missing asset type",""),IF(AND(G11="Yes",H11&lt;&gt;"Yes"),"Required asset not uploaded",""),IF(AND(H11="Yes",I11&lt;&gt;"Yes"),"Missing GPS metadata",""),IF(AND(H11="Yes",J11&lt;&gt;"Yes"),"Missing timestamp metadata",""),IF(AND(H11="Yes",K11=""),"Missing file link","")))</x:f>
      </x:c>
    </x:row>
    <x:row r="12" ht="20" customHeight="1">
      <x:c r="A12" s="15"/>
      <x:c r="B12" s="28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 t="str">
        <x:f>IF(COUNTA(B12:K12)=0,"",IF(AND(G12="Yes",H12="Yes",I12="Yes",J12="Yes"),"Verified",IF(G12="No","Not Required","Needs Review")))</x:f>
      </x:c>
      <x:c r="M12" s="15" t="str">
        <x:f>IF(COUNTA(B12:K12)=0,"",TEXTJOIN("; ",TRUE,IF(B12="","Missing work date",""),IF(C12="","Missing project",""),IF(F12="","Missing asset type",""),IF(AND(G12="Yes",H12&lt;&gt;"Yes"),"Required asset not uploaded",""),IF(AND(H12="Yes",I12&lt;&gt;"Yes"),"Missing GPS metadata",""),IF(AND(H12="Yes",J12&lt;&gt;"Yes"),"Missing timestamp metadata",""),IF(AND(H12="Yes",K12=""),"Missing file link","")))</x:f>
      </x:c>
    </x:row>
    <x:row r="13" ht="20" customHeight="1">
      <x:c r="A13" s="15"/>
      <x:c r="B13" s="28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 t="str">
        <x:f>IF(COUNTA(B13:K13)=0,"",IF(AND(G13="Yes",H13="Yes",I13="Yes",J13="Yes"),"Verified",IF(G13="No","Not Required","Needs Review")))</x:f>
      </x:c>
      <x:c r="M13" s="15" t="str">
        <x:f>IF(COUNTA(B13:K13)=0,"",TEXTJOIN("; ",TRUE,IF(B13="","Missing work date",""),IF(C13="","Missing project",""),IF(F13="","Missing asset type",""),IF(AND(G13="Yes",H13&lt;&gt;"Yes"),"Required asset not uploaded",""),IF(AND(H13="Yes",I13&lt;&gt;"Yes"),"Missing GPS metadata",""),IF(AND(H13="Yes",J13&lt;&gt;"Yes"),"Missing timestamp metadata",""),IF(AND(H13="Yes",K13=""),"Missing file link","")))</x:f>
      </x:c>
    </x:row>
    <x:row r="14" ht="20" customHeight="1">
      <x:c r="A14" s="15"/>
      <x:c r="B14" s="28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 t="str">
        <x:f>IF(COUNTA(B14:K14)=0,"",IF(AND(G14="Yes",H14="Yes",I14="Yes",J14="Yes"),"Verified",IF(G14="No","Not Required","Needs Review")))</x:f>
      </x:c>
      <x:c r="M14" s="15" t="str">
        <x:f>IF(COUNTA(B14:K14)=0,"",TEXTJOIN("; ",TRUE,IF(B14="","Missing work date",""),IF(C14="","Missing project",""),IF(F14="","Missing asset type",""),IF(AND(G14="Yes",H14&lt;&gt;"Yes"),"Required asset not uploaded",""),IF(AND(H14="Yes",I14&lt;&gt;"Yes"),"Missing GPS metadata",""),IF(AND(H14="Yes",J14&lt;&gt;"Yes"),"Missing timestamp metadata",""),IF(AND(H14="Yes",K14=""),"Missing file link","")))</x:f>
      </x:c>
    </x:row>
    <x:row r="15" ht="20" customHeight="1">
      <x:c r="A15" s="15"/>
      <x:c r="B15" s="28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 t="str">
        <x:f>IF(COUNTA(B15:K15)=0,"",IF(AND(G15="Yes",H15="Yes",I15="Yes",J15="Yes"),"Verified",IF(G15="No","Not Required","Needs Review")))</x:f>
      </x:c>
      <x:c r="M15" s="15" t="str">
        <x:f>IF(COUNTA(B15:K15)=0,"",TEXTJOIN("; ",TRUE,IF(B15="","Missing work date",""),IF(C15="","Missing project",""),IF(F15="","Missing asset type",""),IF(AND(G15="Yes",H15&lt;&gt;"Yes"),"Required asset not uploaded",""),IF(AND(H15="Yes",I15&lt;&gt;"Yes"),"Missing GPS metadata",""),IF(AND(H15="Yes",J15&lt;&gt;"Yes"),"Missing timestamp metadata",""),IF(AND(H15="Yes",K15=""),"Missing file link","")))</x:f>
      </x:c>
    </x:row>
    <x:row r="16" ht="20" customHeight="1">
      <x:c r="A16" s="15"/>
      <x:c r="B16" s="28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 t="str">
        <x:f>IF(COUNTA(B16:K16)=0,"",IF(AND(G16="Yes",H16="Yes",I16="Yes",J16="Yes"),"Verified",IF(G16="No","Not Required","Needs Review")))</x:f>
      </x:c>
      <x:c r="M16" s="15" t="str">
        <x:f>IF(COUNTA(B16:K16)=0,"",TEXTJOIN("; ",TRUE,IF(B16="","Missing work date",""),IF(C16="","Missing project",""),IF(F16="","Missing asset type",""),IF(AND(G16="Yes",H16&lt;&gt;"Yes"),"Required asset not uploaded",""),IF(AND(H16="Yes",I16&lt;&gt;"Yes"),"Missing GPS metadata",""),IF(AND(H16="Yes",J16&lt;&gt;"Yes"),"Missing timestamp metadata",""),IF(AND(H16="Yes",K16=""),"Missing file link","")))</x:f>
      </x:c>
    </x:row>
    <x:row r="17" ht="20" customHeight="1">
      <x:c r="A17" s="15"/>
      <x:c r="B17" s="28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 t="str">
        <x:f>IF(COUNTA(B17:K17)=0,"",IF(AND(G17="Yes",H17="Yes",I17="Yes",J17="Yes"),"Verified",IF(G17="No","Not Required","Needs Review")))</x:f>
      </x:c>
      <x:c r="M17" s="15" t="str">
        <x:f>IF(COUNTA(B17:K17)=0,"",TEXTJOIN("; ",TRUE,IF(B17="","Missing work date",""),IF(C17="","Missing project",""),IF(F17="","Missing asset type",""),IF(AND(G17="Yes",H17&lt;&gt;"Yes"),"Required asset not uploaded",""),IF(AND(H17="Yes",I17&lt;&gt;"Yes"),"Missing GPS metadata",""),IF(AND(H17="Yes",J17&lt;&gt;"Yes"),"Missing timestamp metadata",""),IF(AND(H17="Yes",K17=""),"Missing file link","")))</x:f>
      </x:c>
    </x:row>
    <x:row r="18" ht="20" customHeight="1">
      <x:c r="A18" s="15"/>
      <x:c r="B18" s="28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 t="str">
        <x:f>IF(COUNTA(B18:K18)=0,"",IF(AND(G18="Yes",H18="Yes",I18="Yes",J18="Yes"),"Verified",IF(G18="No","Not Required","Needs Review")))</x:f>
      </x:c>
      <x:c r="M18" s="15" t="str">
        <x:f>IF(COUNTA(B18:K18)=0,"",TEXTJOIN("; ",TRUE,IF(B18="","Missing work date",""),IF(C18="","Missing project",""),IF(F18="","Missing asset type",""),IF(AND(G18="Yes",H18&lt;&gt;"Yes"),"Required asset not uploaded",""),IF(AND(H18="Yes",I18&lt;&gt;"Yes"),"Missing GPS metadata",""),IF(AND(H18="Yes",J18&lt;&gt;"Yes"),"Missing timestamp metadata",""),IF(AND(H18="Yes",K18=""),"Missing file link","")))</x:f>
      </x:c>
    </x:row>
    <x:row r="19" ht="20" customHeight="1">
      <x:c r="A19" s="15"/>
      <x:c r="B19" s="28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 t="str">
        <x:f>IF(COUNTA(B19:K19)=0,"",IF(AND(G19="Yes",H19="Yes",I19="Yes",J19="Yes"),"Verified",IF(G19="No","Not Required","Needs Review")))</x:f>
      </x:c>
      <x:c r="M19" s="15" t="str">
        <x:f>IF(COUNTA(B19:K19)=0,"",TEXTJOIN("; ",TRUE,IF(B19="","Missing work date",""),IF(C19="","Missing project",""),IF(F19="","Missing asset type",""),IF(AND(G19="Yes",H19&lt;&gt;"Yes"),"Required asset not uploaded",""),IF(AND(H19="Yes",I19&lt;&gt;"Yes"),"Missing GPS metadata",""),IF(AND(H19="Yes",J19&lt;&gt;"Yes"),"Missing timestamp metadata",""),IF(AND(H19="Yes",K19=""),"Missing file link","")))</x:f>
      </x:c>
    </x:row>
    <x:row r="20" ht="20" customHeight="1">
      <x:c r="A20" s="15"/>
      <x:c r="B20" s="28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 t="str">
        <x:f>IF(COUNTA(B20:K20)=0,"",IF(AND(G20="Yes",H20="Yes",I20="Yes",J20="Yes"),"Verified",IF(G20="No","Not Required","Needs Review")))</x:f>
      </x:c>
      <x:c r="M20" s="15" t="str">
        <x:f>IF(COUNTA(B20:K20)=0,"",TEXTJOIN("; ",TRUE,IF(B20="","Missing work date",""),IF(C20="","Missing project",""),IF(F20="","Missing asset type",""),IF(AND(G20="Yes",H20&lt;&gt;"Yes"),"Required asset not uploaded",""),IF(AND(H20="Yes",I20&lt;&gt;"Yes"),"Missing GPS metadata",""),IF(AND(H20="Yes",J20&lt;&gt;"Yes"),"Missing timestamp metadata",""),IF(AND(H20="Yes",K20=""),"Missing file link","")))</x:f>
      </x:c>
    </x:row>
    <x:row r="21" ht="20" customHeight="1">
      <x:c r="A21" s="15"/>
      <x:c r="B21" s="28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 t="str">
        <x:f>IF(COUNTA(B21:K21)=0,"",IF(AND(G21="Yes",H21="Yes",I21="Yes",J21="Yes"),"Verified",IF(G21="No","Not Required","Needs Review")))</x:f>
      </x:c>
      <x:c r="M21" s="15" t="str">
        <x:f>IF(COUNTA(B21:K21)=0,"",TEXTJOIN("; ",TRUE,IF(B21="","Missing work date",""),IF(C21="","Missing project",""),IF(F21="","Missing asset type",""),IF(AND(G21="Yes",H21&lt;&gt;"Yes"),"Required asset not uploaded",""),IF(AND(H21="Yes",I21&lt;&gt;"Yes"),"Missing GPS metadata",""),IF(AND(H21="Yes",J21&lt;&gt;"Yes"),"Missing timestamp metadata",""),IF(AND(H21="Yes",K21=""),"Missing file link","")))</x:f>
      </x:c>
    </x:row>
    <x:row r="22" ht="20" customHeight="1">
      <x:c r="A22" s="15"/>
      <x:c r="B22" s="28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 t="str">
        <x:f>IF(COUNTA(B22:K22)=0,"",IF(AND(G22="Yes",H22="Yes",I22="Yes",J22="Yes"),"Verified",IF(G22="No","Not Required","Needs Review")))</x:f>
      </x:c>
      <x:c r="M22" s="15" t="str">
        <x:f>IF(COUNTA(B22:K22)=0,"",TEXTJOIN("; ",TRUE,IF(B22="","Missing work date",""),IF(C22="","Missing project",""),IF(F22="","Missing asset type",""),IF(AND(G22="Yes",H22&lt;&gt;"Yes"),"Required asset not uploaded",""),IF(AND(H22="Yes",I22&lt;&gt;"Yes"),"Missing GPS metadata",""),IF(AND(H22="Yes",J22&lt;&gt;"Yes"),"Missing timestamp metadata",""),IF(AND(H22="Yes",K22=""),"Missing file link","")))</x:f>
      </x:c>
    </x:row>
    <x:row r="23" ht="20" customHeight="1">
      <x:c r="A23" s="15"/>
      <x:c r="B23" s="28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 t="str">
        <x:f>IF(COUNTA(B23:K23)=0,"",IF(AND(G23="Yes",H23="Yes",I23="Yes",J23="Yes"),"Verified",IF(G23="No","Not Required","Needs Review")))</x:f>
      </x:c>
      <x:c r="M23" s="15" t="str">
        <x:f>IF(COUNTA(B23:K23)=0,"",TEXTJOIN("; ",TRUE,IF(B23="","Missing work date",""),IF(C23="","Missing project",""),IF(F23="","Missing asset type",""),IF(AND(G23="Yes",H23&lt;&gt;"Yes"),"Required asset not uploaded",""),IF(AND(H23="Yes",I23&lt;&gt;"Yes"),"Missing GPS metadata",""),IF(AND(H23="Yes",J23&lt;&gt;"Yes"),"Missing timestamp metadata",""),IF(AND(H23="Yes",K23=""),"Missing file link","")))</x:f>
      </x:c>
    </x:row>
    <x:row r="24" ht="20" customHeight="1">
      <x:c r="A24" s="15"/>
      <x:c r="B24" s="28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 t="str">
        <x:f>IF(COUNTA(B24:K24)=0,"",IF(AND(G24="Yes",H24="Yes",I24="Yes",J24="Yes"),"Verified",IF(G24="No","Not Required","Needs Review")))</x:f>
      </x:c>
      <x:c r="M24" s="15" t="str">
        <x:f>IF(COUNTA(B24:K24)=0,"",TEXTJOIN("; ",TRUE,IF(B24="","Missing work date",""),IF(C24="","Missing project",""),IF(F24="","Missing asset type",""),IF(AND(G24="Yes",H24&lt;&gt;"Yes"),"Required asset not uploaded",""),IF(AND(H24="Yes",I24&lt;&gt;"Yes"),"Missing GPS metadata",""),IF(AND(H24="Yes",J24&lt;&gt;"Yes"),"Missing timestamp metadata",""),IF(AND(H24="Yes",K24=""),"Missing file link","")))</x:f>
      </x:c>
    </x:row>
    <x:row r="25" ht="20" customHeight="1">
      <x:c r="A25" s="15"/>
      <x:c r="B25" s="28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 t="str">
        <x:f>IF(COUNTA(B25:K25)=0,"",IF(AND(G25="Yes",H25="Yes",I25="Yes",J25="Yes"),"Verified",IF(G25="No","Not Required","Needs Review")))</x:f>
      </x:c>
      <x:c r="M25" s="15" t="str">
        <x:f>IF(COUNTA(B25:K25)=0,"",TEXTJOIN("; ",TRUE,IF(B25="","Missing work date",""),IF(C25="","Missing project",""),IF(F25="","Missing asset type",""),IF(AND(G25="Yes",H25&lt;&gt;"Yes"),"Required asset not uploaded",""),IF(AND(H25="Yes",I25&lt;&gt;"Yes"),"Missing GPS metadata",""),IF(AND(H25="Yes",J25&lt;&gt;"Yes"),"Missing timestamp metadata",""),IF(AND(H25="Yes",K25=""),"Missing file link","")))</x:f>
      </x:c>
    </x:row>
    <x:row r="26" ht="20" customHeight="1">
      <x:c r="A26" s="15"/>
      <x:c r="B26" s="28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 t="str">
        <x:f>IF(COUNTA(B26:K26)=0,"",IF(AND(G26="Yes",H26="Yes",I26="Yes",J26="Yes"),"Verified",IF(G26="No","Not Required","Needs Review")))</x:f>
      </x:c>
      <x:c r="M26" s="15" t="str">
        <x:f>IF(COUNTA(B26:K26)=0,"",TEXTJOIN("; ",TRUE,IF(B26="","Missing work date",""),IF(C26="","Missing project",""),IF(F26="","Missing asset type",""),IF(AND(G26="Yes",H26&lt;&gt;"Yes"),"Required asset not uploaded",""),IF(AND(H26="Yes",I26&lt;&gt;"Yes"),"Missing GPS metadata",""),IF(AND(H26="Yes",J26&lt;&gt;"Yes"),"Missing timestamp metadata",""),IF(AND(H26="Yes",K26=""),"Missing file link","")))</x:f>
      </x:c>
    </x:row>
    <x:row r="27" ht="20" customHeight="1">
      <x:c r="A27" s="15"/>
      <x:c r="B27" s="28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 t="str">
        <x:f>IF(COUNTA(B27:K27)=0,"",IF(AND(G27="Yes",H27="Yes",I27="Yes",J27="Yes"),"Verified",IF(G27="No","Not Required","Needs Review")))</x:f>
      </x:c>
      <x:c r="M27" s="15" t="str">
        <x:f>IF(COUNTA(B27:K27)=0,"",TEXTJOIN("; ",TRUE,IF(B27="","Missing work date",""),IF(C27="","Missing project",""),IF(F27="","Missing asset type",""),IF(AND(G27="Yes",H27&lt;&gt;"Yes"),"Required asset not uploaded",""),IF(AND(H27="Yes",I27&lt;&gt;"Yes"),"Missing GPS metadata",""),IF(AND(H27="Yes",J27&lt;&gt;"Yes"),"Missing timestamp metadata",""),IF(AND(H27="Yes",K27=""),"Missing file link","")))</x:f>
      </x:c>
    </x:row>
    <x:row r="28" ht="20" customHeight="1">
      <x:c r="A28" s="15"/>
      <x:c r="B28" s="28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 t="str">
        <x:f>IF(COUNTA(B28:K28)=0,"",IF(AND(G28="Yes",H28="Yes",I28="Yes",J28="Yes"),"Verified",IF(G28="No","Not Required","Needs Review")))</x:f>
      </x:c>
      <x:c r="M28" s="15" t="str">
        <x:f>IF(COUNTA(B28:K28)=0,"",TEXTJOIN("; ",TRUE,IF(B28="","Missing work date",""),IF(C28="","Missing project",""),IF(F28="","Missing asset type",""),IF(AND(G28="Yes",H28&lt;&gt;"Yes"),"Required asset not uploaded",""),IF(AND(H28="Yes",I28&lt;&gt;"Yes"),"Missing GPS metadata",""),IF(AND(H28="Yes",J28&lt;&gt;"Yes"),"Missing timestamp metadata",""),IF(AND(H28="Yes",K28=""),"Missing file link","")))</x:f>
      </x:c>
    </x:row>
    <x:row r="29" ht="20" customHeight="1">
      <x:c r="A29" s="15"/>
      <x:c r="B29" s="28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 t="str">
        <x:f>IF(COUNTA(B29:K29)=0,"",IF(AND(G29="Yes",H29="Yes",I29="Yes",J29="Yes"),"Verified",IF(G29="No","Not Required","Needs Review")))</x:f>
      </x:c>
      <x:c r="M29" s="15" t="str">
        <x:f>IF(COUNTA(B29:K29)=0,"",TEXTJOIN("; ",TRUE,IF(B29="","Missing work date",""),IF(C29="","Missing project",""),IF(F29="","Missing asset type",""),IF(AND(G29="Yes",H29&lt;&gt;"Yes"),"Required asset not uploaded",""),IF(AND(H29="Yes",I29&lt;&gt;"Yes"),"Missing GPS metadata",""),IF(AND(H29="Yes",J29&lt;&gt;"Yes"),"Missing timestamp metadata",""),IF(AND(H29="Yes",K29=""),"Missing file link","")))</x:f>
      </x:c>
    </x:row>
    <x:row r="30" ht="20" customHeight="1">
      <x:c r="A30" s="15"/>
      <x:c r="B30" s="28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 t="str">
        <x:f>IF(COUNTA(B30:K30)=0,"",IF(AND(G30="Yes",H30="Yes",I30="Yes",J30="Yes"),"Verified",IF(G30="No","Not Required","Needs Review")))</x:f>
      </x:c>
      <x:c r="M30" s="15" t="str">
        <x:f>IF(COUNTA(B30:K30)=0,"",TEXTJOIN("; ",TRUE,IF(B30="","Missing work date",""),IF(C30="","Missing project",""),IF(F30="","Missing asset type",""),IF(AND(G30="Yes",H30&lt;&gt;"Yes"),"Required asset not uploaded",""),IF(AND(H30="Yes",I30&lt;&gt;"Yes"),"Missing GPS metadata",""),IF(AND(H30="Yes",J30&lt;&gt;"Yes"),"Missing timestamp metadata",""),IF(AND(H30="Yes",K30=""),"Missing file link","")))</x:f>
      </x:c>
    </x:row>
    <x:row r="31" ht="20" customHeight="1">
      <x:c r="A31" s="15"/>
      <x:c r="B31" s="28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 t="str">
        <x:f>IF(COUNTA(B31:K31)=0,"",IF(AND(G31="Yes",H31="Yes",I31="Yes",J31="Yes"),"Verified",IF(G31="No","Not Required","Needs Review")))</x:f>
      </x:c>
      <x:c r="M31" s="15" t="str">
        <x:f>IF(COUNTA(B31:K31)=0,"",TEXTJOIN("; ",TRUE,IF(B31="","Missing work date",""),IF(C31="","Missing project",""),IF(F31="","Missing asset type",""),IF(AND(G31="Yes",H31&lt;&gt;"Yes"),"Required asset not uploaded",""),IF(AND(H31="Yes",I31&lt;&gt;"Yes"),"Missing GPS metadata",""),IF(AND(H31="Yes",J31&lt;&gt;"Yes"),"Missing timestamp metadata",""),IF(AND(H31="Yes",K31=""),"Missing file link","")))</x:f>
      </x:c>
    </x:row>
    <x:row r="32" ht="20" customHeight="1">
      <x:c r="A32" s="15"/>
      <x:c r="B32" s="28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 t="str">
        <x:f>IF(COUNTA(B32:K32)=0,"",IF(AND(G32="Yes",H32="Yes",I32="Yes",J32="Yes"),"Verified",IF(G32="No","Not Required","Needs Review")))</x:f>
      </x:c>
      <x:c r="M32" s="15" t="str">
        <x:f>IF(COUNTA(B32:K32)=0,"",TEXTJOIN("; ",TRUE,IF(B32="","Missing work date",""),IF(C32="","Missing project",""),IF(F32="","Missing asset type",""),IF(AND(G32="Yes",H32&lt;&gt;"Yes"),"Required asset not uploaded",""),IF(AND(H32="Yes",I32&lt;&gt;"Yes"),"Missing GPS metadata",""),IF(AND(H32="Yes",J32&lt;&gt;"Yes"),"Missing timestamp metadata",""),IF(AND(H32="Yes",K32=""),"Missing file link","")))</x:f>
      </x:c>
    </x:row>
    <x:row r="33" ht="20" customHeight="1">
      <x:c r="A33" s="15"/>
      <x:c r="B33" s="28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 t="str">
        <x:f>IF(COUNTA(B33:K33)=0,"",IF(AND(G33="Yes",H33="Yes",I33="Yes",J33="Yes"),"Verified",IF(G33="No","Not Required","Needs Review")))</x:f>
      </x:c>
      <x:c r="M33" s="15" t="str">
        <x:f>IF(COUNTA(B33:K33)=0,"",TEXTJOIN("; ",TRUE,IF(B33="","Missing work date",""),IF(C33="","Missing project",""),IF(F33="","Missing asset type",""),IF(AND(G33="Yes",H33&lt;&gt;"Yes"),"Required asset not uploaded",""),IF(AND(H33="Yes",I33&lt;&gt;"Yes"),"Missing GPS metadata",""),IF(AND(H33="Yes",J33&lt;&gt;"Yes"),"Missing timestamp metadata",""),IF(AND(H33="Yes",K33=""),"Missing file link","")))</x:f>
      </x:c>
    </x:row>
    <x:row r="34" ht="20" customHeight="1">
      <x:c r="A34" s="15"/>
      <x:c r="B34" s="28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 t="str">
        <x:f>IF(COUNTA(B34:K34)=0,"",IF(AND(G34="Yes",H34="Yes",I34="Yes",J34="Yes"),"Verified",IF(G34="No","Not Required","Needs Review")))</x:f>
      </x:c>
      <x:c r="M34" s="15" t="str">
        <x:f>IF(COUNTA(B34:K34)=0,"",TEXTJOIN("; ",TRUE,IF(B34="","Missing work date",""),IF(C34="","Missing project",""),IF(F34="","Missing asset type",""),IF(AND(G34="Yes",H34&lt;&gt;"Yes"),"Required asset not uploaded",""),IF(AND(H34="Yes",I34&lt;&gt;"Yes"),"Missing GPS metadata",""),IF(AND(H34="Yes",J34&lt;&gt;"Yes"),"Missing timestamp metadata",""),IF(AND(H34="Yes",K34=""),"Missing file link","")))</x:f>
      </x:c>
    </x:row>
    <x:row r="35" ht="20" customHeight="1">
      <x:c r="A35" s="15"/>
      <x:c r="B35" s="28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 t="str">
        <x:f>IF(COUNTA(B35:K35)=0,"",IF(AND(G35="Yes",H35="Yes",I35="Yes",J35="Yes"),"Verified",IF(G35="No","Not Required","Needs Review")))</x:f>
      </x:c>
      <x:c r="M35" s="15" t="str">
        <x:f>IF(COUNTA(B35:K35)=0,"",TEXTJOIN("; ",TRUE,IF(B35="","Missing work date",""),IF(C35="","Missing project",""),IF(F35="","Missing asset type",""),IF(AND(G35="Yes",H35&lt;&gt;"Yes"),"Required asset not uploaded",""),IF(AND(H35="Yes",I35&lt;&gt;"Yes"),"Missing GPS metadata",""),IF(AND(H35="Yes",J35&lt;&gt;"Yes"),"Missing timestamp metadata",""),IF(AND(H35="Yes",K35=""),"Missing file link","")))</x:f>
      </x:c>
    </x:row>
    <x:row r="36" ht="20" customHeight="1">
      <x:c r="A36" s="15"/>
      <x:c r="B36" s="28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 t="str">
        <x:f>IF(COUNTA(B36:K36)=0,"",IF(AND(G36="Yes",H36="Yes",I36="Yes",J36="Yes"),"Verified",IF(G36="No","Not Required","Needs Review")))</x:f>
      </x:c>
      <x:c r="M36" s="15" t="str">
        <x:f>IF(COUNTA(B36:K36)=0,"",TEXTJOIN("; ",TRUE,IF(B36="","Missing work date",""),IF(C36="","Missing project",""),IF(F36="","Missing asset type",""),IF(AND(G36="Yes",H36&lt;&gt;"Yes"),"Required asset not uploaded",""),IF(AND(H36="Yes",I36&lt;&gt;"Yes"),"Missing GPS metadata",""),IF(AND(H36="Yes",J36&lt;&gt;"Yes"),"Missing timestamp metadata",""),IF(AND(H36="Yes",K36=""),"Missing file link","")))</x:f>
      </x:c>
    </x:row>
    <x:row r="37" ht="20" customHeight="1">
      <x:c r="A37" s="15"/>
      <x:c r="B37" s="28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 t="str">
        <x:f>IF(COUNTA(B37:K37)=0,"",IF(AND(G37="Yes",H37="Yes",I37="Yes",J37="Yes"),"Verified",IF(G37="No","Not Required","Needs Review")))</x:f>
      </x:c>
      <x:c r="M37" s="15" t="str">
        <x:f>IF(COUNTA(B37:K37)=0,"",TEXTJOIN("; ",TRUE,IF(B37="","Missing work date",""),IF(C37="","Missing project",""),IF(F37="","Missing asset type",""),IF(AND(G37="Yes",H37&lt;&gt;"Yes"),"Required asset not uploaded",""),IF(AND(H37="Yes",I37&lt;&gt;"Yes"),"Missing GPS metadata",""),IF(AND(H37="Yes",J37&lt;&gt;"Yes"),"Missing timestamp metadata",""),IF(AND(H37="Yes",K37=""),"Missing file link","")))</x:f>
      </x:c>
    </x:row>
    <x:row r="38" ht="20" customHeight="1">
      <x:c r="A38" s="15"/>
      <x:c r="B38" s="28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 t="str">
        <x:f>IF(COUNTA(B38:K38)=0,"",IF(AND(G38="Yes",H38="Yes",I38="Yes",J38="Yes"),"Verified",IF(G38="No","Not Required","Needs Review")))</x:f>
      </x:c>
      <x:c r="M38" s="15" t="str">
        <x:f>IF(COUNTA(B38:K38)=0,"",TEXTJOIN("; ",TRUE,IF(B38="","Missing work date",""),IF(C38="","Missing project",""),IF(F38="","Missing asset type",""),IF(AND(G38="Yes",H38&lt;&gt;"Yes"),"Required asset not uploaded",""),IF(AND(H38="Yes",I38&lt;&gt;"Yes"),"Missing GPS metadata",""),IF(AND(H38="Yes",J38&lt;&gt;"Yes"),"Missing timestamp metadata",""),IF(AND(H38="Yes",K38=""),"Missing file link","")))</x:f>
      </x:c>
    </x:row>
    <x:row r="39" ht="20" customHeight="1">
      <x:c r="A39" s="15"/>
      <x:c r="B39" s="28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 t="str">
        <x:f>IF(COUNTA(B39:K39)=0,"",IF(AND(G39="Yes",H39="Yes",I39="Yes",J39="Yes"),"Verified",IF(G39="No","Not Required","Needs Review")))</x:f>
      </x:c>
      <x:c r="M39" s="15" t="str">
        <x:f>IF(COUNTA(B39:K39)=0,"",TEXTJOIN("; ",TRUE,IF(B39="","Missing work date",""),IF(C39="","Missing project",""),IF(F39="","Missing asset type",""),IF(AND(G39="Yes",H39&lt;&gt;"Yes"),"Required asset not uploaded",""),IF(AND(H39="Yes",I39&lt;&gt;"Yes"),"Missing GPS metadata",""),IF(AND(H39="Yes",J39&lt;&gt;"Yes"),"Missing timestamp metadata",""),IF(AND(H39="Yes",K39=""),"Missing file link","")))</x:f>
      </x:c>
    </x:row>
    <x:row r="40" ht="20" customHeight="1">
      <x:c r="A40" s="15"/>
      <x:c r="B40" s="28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 t="str">
        <x:f>IF(COUNTA(B40:K40)=0,"",IF(AND(G40="Yes",H40="Yes",I40="Yes",J40="Yes"),"Verified",IF(G40="No","Not Required","Needs Review")))</x:f>
      </x:c>
      <x:c r="M40" s="15" t="str">
        <x:f>IF(COUNTA(B40:K40)=0,"",TEXTJOIN("; ",TRUE,IF(B40="","Missing work date",""),IF(C40="","Missing project",""),IF(F40="","Missing asset type",""),IF(AND(G40="Yes",H40&lt;&gt;"Yes"),"Required asset not uploaded",""),IF(AND(H40="Yes",I40&lt;&gt;"Yes"),"Missing GPS metadata",""),IF(AND(H40="Yes",J40&lt;&gt;"Yes"),"Missing timestamp metadata",""),IF(AND(H40="Yes",K40=""),"Missing file link","")))</x:f>
      </x:c>
    </x:row>
    <x:row r="41" ht="20" customHeight="1">
      <x:c r="A41" s="15"/>
      <x:c r="B41" s="28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 t="str">
        <x:f>IF(COUNTA(B41:K41)=0,"",IF(AND(G41="Yes",H41="Yes",I41="Yes",J41="Yes"),"Verified",IF(G41="No","Not Required","Needs Review")))</x:f>
      </x:c>
      <x:c r="M41" s="15" t="str">
        <x:f>IF(COUNTA(B41:K41)=0,"",TEXTJOIN("; ",TRUE,IF(B41="","Missing work date",""),IF(C41="","Missing project",""),IF(F41="","Missing asset type",""),IF(AND(G41="Yes",H41&lt;&gt;"Yes"),"Required asset not uploaded",""),IF(AND(H41="Yes",I41&lt;&gt;"Yes"),"Missing GPS metadata",""),IF(AND(H41="Yes",J41&lt;&gt;"Yes"),"Missing timestamp metadata",""),IF(AND(H41="Yes",K41=""),"Missing file link","")))</x:f>
      </x:c>
    </x:row>
    <x:row r="42" ht="20" customHeight="1">
      <x:c r="A42" s="15"/>
      <x:c r="B42" s="28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 t="str">
        <x:f>IF(COUNTA(B42:K42)=0,"",IF(AND(G42="Yes",H42="Yes",I42="Yes",J42="Yes"),"Verified",IF(G42="No","Not Required","Needs Review")))</x:f>
      </x:c>
      <x:c r="M42" s="15" t="str">
        <x:f>IF(COUNTA(B42:K42)=0,"",TEXTJOIN("; ",TRUE,IF(B42="","Missing work date",""),IF(C42="","Missing project",""),IF(F42="","Missing asset type",""),IF(AND(G42="Yes",H42&lt;&gt;"Yes"),"Required asset not uploaded",""),IF(AND(H42="Yes",I42&lt;&gt;"Yes"),"Missing GPS metadata",""),IF(AND(H42="Yes",J42&lt;&gt;"Yes"),"Missing timestamp metadata",""),IF(AND(H42="Yes",K42=""),"Missing file link","")))</x:f>
      </x:c>
    </x:row>
    <x:row r="43" ht="20" customHeight="1">
      <x:c r="A43" s="15"/>
      <x:c r="B43" s="28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 t="str">
        <x:f>IF(COUNTA(B43:K43)=0,"",IF(AND(G43="Yes",H43="Yes",I43="Yes",J43="Yes"),"Verified",IF(G43="No","Not Required","Needs Review")))</x:f>
      </x:c>
      <x:c r="M43" s="15" t="str">
        <x:f>IF(COUNTA(B43:K43)=0,"",TEXTJOIN("; ",TRUE,IF(B43="","Missing work date",""),IF(C43="","Missing project",""),IF(F43="","Missing asset type",""),IF(AND(G43="Yes",H43&lt;&gt;"Yes"),"Required asset not uploaded",""),IF(AND(H43="Yes",I43&lt;&gt;"Yes"),"Missing GPS metadata",""),IF(AND(H43="Yes",J43&lt;&gt;"Yes"),"Missing timestamp metadata",""),IF(AND(H43="Yes",K43=""),"Missing file link","")))</x:f>
      </x:c>
    </x:row>
    <x:row r="44" ht="20" customHeight="1">
      <x:c r="A44" s="15"/>
      <x:c r="B44" s="28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 t="str">
        <x:f>IF(COUNTA(B44:K44)=0,"",IF(AND(G44="Yes",H44="Yes",I44="Yes",J44="Yes"),"Verified",IF(G44="No","Not Required","Needs Review")))</x:f>
      </x:c>
      <x:c r="M44" s="15" t="str">
        <x:f>IF(COUNTA(B44:K44)=0,"",TEXTJOIN("; ",TRUE,IF(B44="","Missing work date",""),IF(C44="","Missing project",""),IF(F44="","Missing asset type",""),IF(AND(G44="Yes",H44&lt;&gt;"Yes"),"Required asset not uploaded",""),IF(AND(H44="Yes",I44&lt;&gt;"Yes"),"Missing GPS metadata",""),IF(AND(H44="Yes",J44&lt;&gt;"Yes"),"Missing timestamp metadata",""),IF(AND(H44="Yes",K44=""),"Missing file link","")))</x:f>
      </x:c>
    </x:row>
    <x:row r="45" ht="20" customHeight="1">
      <x:c r="A45" s="15"/>
      <x:c r="B45" s="28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 t="str">
        <x:f>IF(COUNTA(B45:K45)=0,"",IF(AND(G45="Yes",H45="Yes",I45="Yes",J45="Yes"),"Verified",IF(G45="No","Not Required","Needs Review")))</x:f>
      </x:c>
      <x:c r="M45" s="15" t="str">
        <x:f>IF(COUNTA(B45:K45)=0,"",TEXTJOIN("; ",TRUE,IF(B45="","Missing work date",""),IF(C45="","Missing project",""),IF(F45="","Missing asset type",""),IF(AND(G45="Yes",H45&lt;&gt;"Yes"),"Required asset not uploaded",""),IF(AND(H45="Yes",I45&lt;&gt;"Yes"),"Missing GPS metadata",""),IF(AND(H45="Yes",J45&lt;&gt;"Yes"),"Missing timestamp metadata",""),IF(AND(H45="Yes",K45=""),"Missing file link","")))</x:f>
      </x:c>
    </x:row>
    <x:row r="46" ht="20" customHeight="1">
      <x:c r="A46" s="15"/>
      <x:c r="B46" s="28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 t="str">
        <x:f>IF(COUNTA(B46:K46)=0,"",IF(AND(G46="Yes",H46="Yes",I46="Yes",J46="Yes"),"Verified",IF(G46="No","Not Required","Needs Review")))</x:f>
      </x:c>
      <x:c r="M46" s="15" t="str">
        <x:f>IF(COUNTA(B46:K46)=0,"",TEXTJOIN("; ",TRUE,IF(B46="","Missing work date",""),IF(C46="","Missing project",""),IF(F46="","Missing asset type",""),IF(AND(G46="Yes",H46&lt;&gt;"Yes"),"Required asset not uploaded",""),IF(AND(H46="Yes",I46&lt;&gt;"Yes"),"Missing GPS metadata",""),IF(AND(H46="Yes",J46&lt;&gt;"Yes"),"Missing timestamp metadata",""),IF(AND(H46="Yes",K46=""),"Missing file link","")))</x:f>
      </x:c>
    </x:row>
    <x:row r="47" ht="20" customHeight="1">
      <x:c r="A47" s="15"/>
      <x:c r="B47" s="28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 t="str">
        <x:f>IF(COUNTA(B47:K47)=0,"",IF(AND(G47="Yes",H47="Yes",I47="Yes",J47="Yes"),"Verified",IF(G47="No","Not Required","Needs Review")))</x:f>
      </x:c>
      <x:c r="M47" s="15" t="str">
        <x:f>IF(COUNTA(B47:K47)=0,"",TEXTJOIN("; ",TRUE,IF(B47="","Missing work date",""),IF(C47="","Missing project",""),IF(F47="","Missing asset type",""),IF(AND(G47="Yes",H47&lt;&gt;"Yes"),"Required asset not uploaded",""),IF(AND(H47="Yes",I47&lt;&gt;"Yes"),"Missing GPS metadata",""),IF(AND(H47="Yes",J47&lt;&gt;"Yes"),"Missing timestamp metadata",""),IF(AND(H47="Yes",K47=""),"Missing file link","")))</x:f>
      </x:c>
    </x:row>
    <x:row r="48" ht="20" customHeight="1">
      <x:c r="A48" s="15"/>
      <x:c r="B48" s="28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 t="str">
        <x:f>IF(COUNTA(B48:K48)=0,"",IF(AND(G48="Yes",H48="Yes",I48="Yes",J48="Yes"),"Verified",IF(G48="No","Not Required","Needs Review")))</x:f>
      </x:c>
      <x:c r="M48" s="15" t="str">
        <x:f>IF(COUNTA(B48:K48)=0,"",TEXTJOIN("; ",TRUE,IF(B48="","Missing work date",""),IF(C48="","Missing project",""),IF(F48="","Missing asset type",""),IF(AND(G48="Yes",H48&lt;&gt;"Yes"),"Required asset not uploaded",""),IF(AND(H48="Yes",I48&lt;&gt;"Yes"),"Missing GPS metadata",""),IF(AND(H48="Yes",J48&lt;&gt;"Yes"),"Missing timestamp metadata",""),IF(AND(H48="Yes",K48=""),"Missing file link","")))</x:f>
      </x:c>
    </x:row>
    <x:row r="49" ht="20" customHeight="1">
      <x:c r="A49" s="15"/>
      <x:c r="B49" s="28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 t="str">
        <x:f>IF(COUNTA(B49:K49)=0,"",IF(AND(G49="Yes",H49="Yes",I49="Yes",J49="Yes"),"Verified",IF(G49="No","Not Required","Needs Review")))</x:f>
      </x:c>
      <x:c r="M49" s="15" t="str">
        <x:f>IF(COUNTA(B49:K49)=0,"",TEXTJOIN("; ",TRUE,IF(B49="","Missing work date",""),IF(C49="","Missing project",""),IF(F49="","Missing asset type",""),IF(AND(G49="Yes",H49&lt;&gt;"Yes"),"Required asset not uploaded",""),IF(AND(H49="Yes",I49&lt;&gt;"Yes"),"Missing GPS metadata",""),IF(AND(H49="Yes",J49&lt;&gt;"Yes"),"Missing timestamp metadata",""),IF(AND(H49="Yes",K49=""),"Missing file link","")))</x:f>
      </x:c>
    </x:row>
    <x:row r="50" ht="20" customHeight="1">
      <x:c r="A50" s="15"/>
      <x:c r="B50" s="28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 t="str">
        <x:f>IF(COUNTA(B50:K50)=0,"",IF(AND(G50="Yes",H50="Yes",I50="Yes",J50="Yes"),"Verified",IF(G50="No","Not Required","Needs Review")))</x:f>
      </x:c>
      <x:c r="M50" s="15" t="str">
        <x:f>IF(COUNTA(B50:K50)=0,"",TEXTJOIN("; ",TRUE,IF(B50="","Missing work date",""),IF(C50="","Missing project",""),IF(F50="","Missing asset type",""),IF(AND(G50="Yes",H50&lt;&gt;"Yes"),"Required asset not uploaded",""),IF(AND(H50="Yes",I50&lt;&gt;"Yes"),"Missing GPS metadata",""),IF(AND(H50="Yes",J50&lt;&gt;"Yes"),"Missing timestamp metadata",""),IF(AND(H50="Yes",K50=""),"Missing file link","")))</x:f>
      </x:c>
    </x:row>
    <x:row r="51" ht="20" customHeight="1">
      <x:c r="A51" s="15"/>
      <x:c r="B51" s="28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 t="str">
        <x:f>IF(COUNTA(B51:K51)=0,"",IF(AND(G51="Yes",H51="Yes",I51="Yes",J51="Yes"),"Verified",IF(G51="No","Not Required","Needs Review")))</x:f>
      </x:c>
      <x:c r="M51" s="15" t="str">
        <x:f>IF(COUNTA(B51:K51)=0,"",TEXTJOIN("; ",TRUE,IF(B51="","Missing work date",""),IF(C51="","Missing project",""),IF(F51="","Missing asset type",""),IF(AND(G51="Yes",H51&lt;&gt;"Yes"),"Required asset not uploaded",""),IF(AND(H51="Yes",I51&lt;&gt;"Yes"),"Missing GPS metadata",""),IF(AND(H51="Yes",J51&lt;&gt;"Yes"),"Missing timestamp metadata",""),IF(AND(H51="Yes",K51=""),"Missing file link","")))</x:f>
      </x:c>
    </x:row>
    <x:row r="52" ht="20" customHeight="1">
      <x:c r="A52" s="15"/>
      <x:c r="B52" s="28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 t="str">
        <x:f>IF(COUNTA(B52:K52)=0,"",IF(AND(G52="Yes",H52="Yes",I52="Yes",J52="Yes"),"Verified",IF(G52="No","Not Required","Needs Review")))</x:f>
      </x:c>
      <x:c r="M52" s="15" t="str">
        <x:f>IF(COUNTA(B52:K52)=0,"",TEXTJOIN("; ",TRUE,IF(B52="","Missing work date",""),IF(C52="","Missing project",""),IF(F52="","Missing asset type",""),IF(AND(G52="Yes",H52&lt;&gt;"Yes"),"Required asset not uploaded",""),IF(AND(H52="Yes",I52&lt;&gt;"Yes"),"Missing GPS metadata",""),IF(AND(H52="Yes",J52&lt;&gt;"Yes"),"Missing timestamp metadata",""),IF(AND(H52="Yes",K52=""),"Missing file link","")))</x:f>
      </x:c>
    </x:row>
    <x:row r="53" ht="20" customHeight="1">
      <x:c r="A53" s="15"/>
      <x:c r="B53" s="28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 t="str">
        <x:f>IF(COUNTA(B53:K53)=0,"",IF(AND(G53="Yes",H53="Yes",I53="Yes",J53="Yes"),"Verified",IF(G53="No","Not Required","Needs Review")))</x:f>
      </x:c>
      <x:c r="M53" s="15" t="str">
        <x:f>IF(COUNTA(B53:K53)=0,"",TEXTJOIN("; ",TRUE,IF(B53="","Missing work date",""),IF(C53="","Missing project",""),IF(F53="","Missing asset type",""),IF(AND(G53="Yes",H53&lt;&gt;"Yes"),"Required asset not uploaded",""),IF(AND(H53="Yes",I53&lt;&gt;"Yes"),"Missing GPS metadata",""),IF(AND(H53="Yes",J53&lt;&gt;"Yes"),"Missing timestamp metadata",""),IF(AND(H53="Yes",K53=""),"Missing file link","")))</x:f>
      </x:c>
    </x:row>
    <x:row r="54" ht="20" customHeight="1">
      <x:c r="A54" s="15"/>
      <x:c r="B54" s="28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 t="str">
        <x:f>IF(COUNTA(B54:K54)=0,"",IF(AND(G54="Yes",H54="Yes",I54="Yes",J54="Yes"),"Verified",IF(G54="No","Not Required","Needs Review")))</x:f>
      </x:c>
      <x:c r="M54" s="15" t="str">
        <x:f>IF(COUNTA(B54:K54)=0,"",TEXTJOIN("; ",TRUE,IF(B54="","Missing work date",""),IF(C54="","Missing project",""),IF(F54="","Missing asset type",""),IF(AND(G54="Yes",H54&lt;&gt;"Yes"),"Required asset not uploaded",""),IF(AND(H54="Yes",I54&lt;&gt;"Yes"),"Missing GPS metadata",""),IF(AND(H54="Yes",J54&lt;&gt;"Yes"),"Missing timestamp metadata",""),IF(AND(H54="Yes",K54=""),"Missing file link","")))</x:f>
      </x:c>
    </x:row>
    <x:row r="55" ht="20" customHeight="1">
      <x:c r="A55" s="15"/>
      <x:c r="B55" s="28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 t="str">
        <x:f>IF(COUNTA(B55:K55)=0,"",IF(AND(G55="Yes",H55="Yes",I55="Yes",J55="Yes"),"Verified",IF(G55="No","Not Required","Needs Review")))</x:f>
      </x:c>
      <x:c r="M55" s="15" t="str">
        <x:f>IF(COUNTA(B55:K55)=0,"",TEXTJOIN("; ",TRUE,IF(B55="","Missing work date",""),IF(C55="","Missing project",""),IF(F55="","Missing asset type",""),IF(AND(G55="Yes",H55&lt;&gt;"Yes"),"Required asset not uploaded",""),IF(AND(H55="Yes",I55&lt;&gt;"Yes"),"Missing GPS metadata",""),IF(AND(H55="Yes",J55&lt;&gt;"Yes"),"Missing timestamp metadata",""),IF(AND(H55="Yes",K55=""),"Missing file link","")))</x:f>
      </x:c>
    </x:row>
    <x:row r="56" ht="20" customHeight="1">
      <x:c r="A56" s="15"/>
      <x:c r="B56" s="28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 t="str">
        <x:f>IF(COUNTA(B56:K56)=0,"",IF(AND(G56="Yes",H56="Yes",I56="Yes",J56="Yes"),"Verified",IF(G56="No","Not Required","Needs Review")))</x:f>
      </x:c>
      <x:c r="M56" s="15" t="str">
        <x:f>IF(COUNTA(B56:K56)=0,"",TEXTJOIN("; ",TRUE,IF(B56="","Missing work date",""),IF(C56="","Missing project",""),IF(F56="","Missing asset type",""),IF(AND(G56="Yes",H56&lt;&gt;"Yes"),"Required asset not uploaded",""),IF(AND(H56="Yes",I56&lt;&gt;"Yes"),"Missing GPS metadata",""),IF(AND(H56="Yes",J56&lt;&gt;"Yes"),"Missing timestamp metadata",""),IF(AND(H56="Yes",K56=""),"Missing file link","")))</x:f>
      </x:c>
    </x:row>
    <x:row r="57" ht="20" customHeight="1">
      <x:c r="A57" s="15"/>
      <x:c r="B57" s="28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 t="str">
        <x:f>IF(COUNTA(B57:K57)=0,"",IF(AND(G57="Yes",H57="Yes",I57="Yes",J57="Yes"),"Verified",IF(G57="No","Not Required","Needs Review")))</x:f>
      </x:c>
      <x:c r="M57" s="15" t="str">
        <x:f>IF(COUNTA(B57:K57)=0,"",TEXTJOIN("; ",TRUE,IF(B57="","Missing work date",""),IF(C57="","Missing project",""),IF(F57="","Missing asset type",""),IF(AND(G57="Yes",H57&lt;&gt;"Yes"),"Required asset not uploaded",""),IF(AND(H57="Yes",I57&lt;&gt;"Yes"),"Missing GPS metadata",""),IF(AND(H57="Yes",J57&lt;&gt;"Yes"),"Missing timestamp metadata",""),IF(AND(H57="Yes",K57=""),"Missing file link","")))</x:f>
      </x:c>
    </x:row>
    <x:row r="58" ht="20" customHeight="1">
      <x:c r="A58" s="15"/>
      <x:c r="B58" s="28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 t="str">
        <x:f>IF(COUNTA(B58:K58)=0,"",IF(AND(G58="Yes",H58="Yes",I58="Yes",J58="Yes"),"Verified",IF(G58="No","Not Required","Needs Review")))</x:f>
      </x:c>
      <x:c r="M58" s="15" t="str">
        <x:f>IF(COUNTA(B58:K58)=0,"",TEXTJOIN("; ",TRUE,IF(B58="","Missing work date",""),IF(C58="","Missing project",""),IF(F58="","Missing asset type",""),IF(AND(G58="Yes",H58&lt;&gt;"Yes"),"Required asset not uploaded",""),IF(AND(H58="Yes",I58&lt;&gt;"Yes"),"Missing GPS metadata",""),IF(AND(H58="Yes",J58&lt;&gt;"Yes"),"Missing timestamp metadata",""),IF(AND(H58="Yes",K58=""),"Missing file link","")))</x:f>
      </x:c>
    </x:row>
    <x:row r="59" ht="20" customHeight="1">
      <x:c r="A59" s="15"/>
      <x:c r="B59" s="28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 t="str">
        <x:f>IF(COUNTA(B59:K59)=0,"",IF(AND(G59="Yes",H59="Yes",I59="Yes",J59="Yes"),"Verified",IF(G59="No","Not Required","Needs Review")))</x:f>
      </x:c>
      <x:c r="M59" s="15" t="str">
        <x:f>IF(COUNTA(B59:K59)=0,"",TEXTJOIN("; ",TRUE,IF(B59="","Missing work date",""),IF(C59="","Missing project",""),IF(F59="","Missing asset type",""),IF(AND(G59="Yes",H59&lt;&gt;"Yes"),"Required asset not uploaded",""),IF(AND(H59="Yes",I59&lt;&gt;"Yes"),"Missing GPS metadata",""),IF(AND(H59="Yes",J59&lt;&gt;"Yes"),"Missing timestamp metadata",""),IF(AND(H59="Yes",K59=""),"Missing file link","")))</x:f>
      </x:c>
    </x:row>
    <x:row r="60" ht="20" customHeight="1">
      <x:c r="A60" s="15"/>
      <x:c r="B60" s="28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 t="str">
        <x:f>IF(COUNTA(B60:K60)=0,"",IF(AND(G60="Yes",H60="Yes",I60="Yes",J60="Yes"),"Verified",IF(G60="No","Not Required","Needs Review")))</x:f>
      </x:c>
      <x:c r="M60" s="15" t="str">
        <x:f>IF(COUNTA(B60:K60)=0,"",TEXTJOIN("; ",TRUE,IF(B60="","Missing work date",""),IF(C60="","Missing project",""),IF(F60="","Missing asset type",""),IF(AND(G60="Yes",H60&lt;&gt;"Yes"),"Required asset not uploaded",""),IF(AND(H60="Yes",I60&lt;&gt;"Yes"),"Missing GPS metadata",""),IF(AND(H60="Yes",J60&lt;&gt;"Yes"),"Missing timestamp metadata",""),IF(AND(H60="Yes",K60=""),"Missing file link","")))</x:f>
      </x:c>
    </x:row>
    <x:row r="61" ht="20" customHeight="1">
      <x:c r="A61" s="15"/>
      <x:c r="B61" s="28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 t="str">
        <x:f>IF(COUNTA(B61:K61)=0,"",IF(AND(G61="Yes",H61="Yes",I61="Yes",J61="Yes"),"Verified",IF(G61="No","Not Required","Needs Review")))</x:f>
      </x:c>
      <x:c r="M61" s="15" t="str">
        <x:f>IF(COUNTA(B61:K61)=0,"",TEXTJOIN("; ",TRUE,IF(B61="","Missing work date",""),IF(C61="","Missing project",""),IF(F61="","Missing asset type",""),IF(AND(G61="Yes",H61&lt;&gt;"Yes"),"Required asset not uploaded",""),IF(AND(H61="Yes",I61&lt;&gt;"Yes"),"Missing GPS metadata",""),IF(AND(H61="Yes",J61&lt;&gt;"Yes"),"Missing timestamp metadata",""),IF(AND(H61="Yes",K61=""),"Missing file link","")))</x:f>
      </x:c>
    </x:row>
    <x:row r="62" ht="20" customHeight="1">
      <x:c r="A62" s="15"/>
      <x:c r="B62" s="28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 t="str">
        <x:f>IF(COUNTA(B62:K62)=0,"",IF(AND(G62="Yes",H62="Yes",I62="Yes",J62="Yes"),"Verified",IF(G62="No","Not Required","Needs Review")))</x:f>
      </x:c>
      <x:c r="M62" s="15" t="str">
        <x:f>IF(COUNTA(B62:K62)=0,"",TEXTJOIN("; ",TRUE,IF(B62="","Missing work date",""),IF(C62="","Missing project",""),IF(F62="","Missing asset type",""),IF(AND(G62="Yes",H62&lt;&gt;"Yes"),"Required asset not uploaded",""),IF(AND(H62="Yes",I62&lt;&gt;"Yes"),"Missing GPS metadata",""),IF(AND(H62="Yes",J62&lt;&gt;"Yes"),"Missing timestamp metadata",""),IF(AND(H62="Yes",K62=""),"Missing file link","")))</x:f>
      </x:c>
    </x:row>
    <x:row r="63" ht="20" customHeight="1">
      <x:c r="A63" s="15"/>
      <x:c r="B63" s="28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 t="str">
        <x:f>IF(COUNTA(B63:K63)=0,"",IF(AND(G63="Yes",H63="Yes",I63="Yes",J63="Yes"),"Verified",IF(G63="No","Not Required","Needs Review")))</x:f>
      </x:c>
      <x:c r="M63" s="15" t="str">
        <x:f>IF(COUNTA(B63:K63)=0,"",TEXTJOIN("; ",TRUE,IF(B63="","Missing work date",""),IF(C63="","Missing project",""),IF(F63="","Missing asset type",""),IF(AND(G63="Yes",H63&lt;&gt;"Yes"),"Required asset not uploaded",""),IF(AND(H63="Yes",I63&lt;&gt;"Yes"),"Missing GPS metadata",""),IF(AND(H63="Yes",J63&lt;&gt;"Yes"),"Missing timestamp metadata",""),IF(AND(H63="Yes",K63=""),"Missing file link","")))</x:f>
      </x:c>
    </x:row>
    <x:row r="64" ht="20" customHeight="1">
      <x:c r="A64" s="15"/>
      <x:c r="B64" s="28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 t="str">
        <x:f>IF(COUNTA(B64:K64)=0,"",IF(AND(G64="Yes",H64="Yes",I64="Yes",J64="Yes"),"Verified",IF(G64="No","Not Required","Needs Review")))</x:f>
      </x:c>
      <x:c r="M64" s="15" t="str">
        <x:f>IF(COUNTA(B64:K64)=0,"",TEXTJOIN("; ",TRUE,IF(B64="","Missing work date",""),IF(C64="","Missing project",""),IF(F64="","Missing asset type",""),IF(AND(G64="Yes",H64&lt;&gt;"Yes"),"Required asset not uploaded",""),IF(AND(H64="Yes",I64&lt;&gt;"Yes"),"Missing GPS metadata",""),IF(AND(H64="Yes",J64&lt;&gt;"Yes"),"Missing timestamp metadata",""),IF(AND(H64="Yes",K64=""),"Missing file link","")))</x:f>
      </x:c>
    </x:row>
    <x:row r="65" ht="20" customHeight="1">
      <x:c r="A65" s="15"/>
      <x:c r="B65" s="28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 t="str">
        <x:f>IF(COUNTA(B65:K65)=0,"",IF(AND(G65="Yes",H65="Yes",I65="Yes",J65="Yes"),"Verified",IF(G65="No","Not Required","Needs Review")))</x:f>
      </x:c>
      <x:c r="M65" s="15" t="str">
        <x:f>IF(COUNTA(B65:K65)=0,"",TEXTJOIN("; ",TRUE,IF(B65="","Missing work date",""),IF(C65="","Missing project",""),IF(F65="","Missing asset type",""),IF(AND(G65="Yes",H65&lt;&gt;"Yes"),"Required asset not uploaded",""),IF(AND(H65="Yes",I65&lt;&gt;"Yes"),"Missing GPS metadata",""),IF(AND(H65="Yes",J65&lt;&gt;"Yes"),"Missing timestamp metadata",""),IF(AND(H65="Yes",K65=""),"Missing file link","")))</x:f>
      </x:c>
    </x:row>
    <x:row r="66" ht="20" customHeight="1">
      <x:c r="A66" s="15"/>
      <x:c r="B66" s="28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 t="str">
        <x:f>IF(COUNTA(B66:K66)=0,"",IF(AND(G66="Yes",H66="Yes",I66="Yes",J66="Yes"),"Verified",IF(G66="No","Not Required","Needs Review")))</x:f>
      </x:c>
      <x:c r="M66" s="15" t="str">
        <x:f>IF(COUNTA(B66:K66)=0,"",TEXTJOIN("; ",TRUE,IF(B66="","Missing work date",""),IF(C66="","Missing project",""),IF(F66="","Missing asset type",""),IF(AND(G66="Yes",H66&lt;&gt;"Yes"),"Required asset not uploaded",""),IF(AND(H66="Yes",I66&lt;&gt;"Yes"),"Missing GPS metadata",""),IF(AND(H66="Yes",J66&lt;&gt;"Yes"),"Missing timestamp metadata",""),IF(AND(H66="Yes",K66=""),"Missing file link","")))</x:f>
      </x:c>
    </x:row>
    <x:row r="67" ht="20" customHeight="1">
      <x:c r="A67" s="15"/>
      <x:c r="B67" s="28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 t="str">
        <x:f>IF(COUNTA(B67:K67)=0,"",IF(AND(G67="Yes",H67="Yes",I67="Yes",J67="Yes"),"Verified",IF(G67="No","Not Required","Needs Review")))</x:f>
      </x:c>
      <x:c r="M67" s="15" t="str">
        <x:f>IF(COUNTA(B67:K67)=0,"",TEXTJOIN("; ",TRUE,IF(B67="","Missing work date",""),IF(C67="","Missing project",""),IF(F67="","Missing asset type",""),IF(AND(G67="Yes",H67&lt;&gt;"Yes"),"Required asset not uploaded",""),IF(AND(H67="Yes",I67&lt;&gt;"Yes"),"Missing GPS metadata",""),IF(AND(H67="Yes",J67&lt;&gt;"Yes"),"Missing timestamp metadata",""),IF(AND(H67="Yes",K67=""),"Missing file link","")))</x:f>
      </x:c>
    </x:row>
    <x:row r="68" ht="20" customHeight="1">
      <x:c r="A68" s="15"/>
      <x:c r="B68" s="28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 t="str">
        <x:f>IF(COUNTA(B68:K68)=0,"",IF(AND(G68="Yes",H68="Yes",I68="Yes",J68="Yes"),"Verified",IF(G68="No","Not Required","Needs Review")))</x:f>
      </x:c>
      <x:c r="M68" s="15" t="str">
        <x:f>IF(COUNTA(B68:K68)=0,"",TEXTJOIN("; ",TRUE,IF(B68="","Missing work date",""),IF(C68="","Missing project",""),IF(F68="","Missing asset type",""),IF(AND(G68="Yes",H68&lt;&gt;"Yes"),"Required asset not uploaded",""),IF(AND(H68="Yes",I68&lt;&gt;"Yes"),"Missing GPS metadata",""),IF(AND(H68="Yes",J68&lt;&gt;"Yes"),"Missing timestamp metadata",""),IF(AND(H68="Yes",K68=""),"Missing file link","")))</x:f>
      </x:c>
    </x:row>
    <x:row r="69" ht="20" customHeight="1">
      <x:c r="A69" s="15"/>
      <x:c r="B69" s="28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 t="str">
        <x:f>IF(COUNTA(B69:K69)=0,"",IF(AND(G69="Yes",H69="Yes",I69="Yes",J69="Yes"),"Verified",IF(G69="No","Not Required","Needs Review")))</x:f>
      </x:c>
      <x:c r="M69" s="15" t="str">
        <x:f>IF(COUNTA(B69:K69)=0,"",TEXTJOIN("; ",TRUE,IF(B69="","Missing work date",""),IF(C69="","Missing project",""),IF(F69="","Missing asset type",""),IF(AND(G69="Yes",H69&lt;&gt;"Yes"),"Required asset not uploaded",""),IF(AND(H69="Yes",I69&lt;&gt;"Yes"),"Missing GPS metadata",""),IF(AND(H69="Yes",J69&lt;&gt;"Yes"),"Missing timestamp metadata",""),IF(AND(H69="Yes",K69=""),"Missing file link","")))</x:f>
      </x:c>
    </x:row>
    <x:row r="70" ht="20" customHeight="1">
      <x:c r="A70" s="15"/>
      <x:c r="B70" s="28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 t="str">
        <x:f>IF(COUNTA(B70:K70)=0,"",IF(AND(G70="Yes",H70="Yes",I70="Yes",J70="Yes"),"Verified",IF(G70="No","Not Required","Needs Review")))</x:f>
      </x:c>
      <x:c r="M70" s="15" t="str">
        <x:f>IF(COUNTA(B70:K70)=0,"",TEXTJOIN("; ",TRUE,IF(B70="","Missing work date",""),IF(C70="","Missing project",""),IF(F70="","Missing asset type",""),IF(AND(G70="Yes",H70&lt;&gt;"Yes"),"Required asset not uploaded",""),IF(AND(H70="Yes",I70&lt;&gt;"Yes"),"Missing GPS metadata",""),IF(AND(H70="Yes",J70&lt;&gt;"Yes"),"Missing timestamp metadata",""),IF(AND(H70="Yes",K70=""),"Missing file link","")))</x:f>
      </x:c>
    </x:row>
    <x:row r="71" ht="20" customHeight="1">
      <x:c r="A71" s="15"/>
      <x:c r="B71" s="28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 t="str">
        <x:f>IF(COUNTA(B71:K71)=0,"",IF(AND(G71="Yes",H71="Yes",I71="Yes",J71="Yes"),"Verified",IF(G71="No","Not Required","Needs Review")))</x:f>
      </x:c>
      <x:c r="M71" s="15" t="str">
        <x:f>IF(COUNTA(B71:K71)=0,"",TEXTJOIN("; ",TRUE,IF(B71="","Missing work date",""),IF(C71="","Missing project",""),IF(F71="","Missing asset type",""),IF(AND(G71="Yes",H71&lt;&gt;"Yes"),"Required asset not uploaded",""),IF(AND(H71="Yes",I71&lt;&gt;"Yes"),"Missing GPS metadata",""),IF(AND(H71="Yes",J71&lt;&gt;"Yes"),"Missing timestamp metadata",""),IF(AND(H71="Yes",K71=""),"Missing file link","")))</x:f>
      </x:c>
    </x:row>
    <x:row r="72" ht="20" customHeight="1">
      <x:c r="A72" s="15"/>
      <x:c r="B72" s="28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 t="str">
        <x:f>IF(COUNTA(B72:K72)=0,"",IF(AND(G72="Yes",H72="Yes",I72="Yes",J72="Yes"),"Verified",IF(G72="No","Not Required","Needs Review")))</x:f>
      </x:c>
      <x:c r="M72" s="15" t="str">
        <x:f>IF(COUNTA(B72:K72)=0,"",TEXTJOIN("; ",TRUE,IF(B72="","Missing work date",""),IF(C72="","Missing project",""),IF(F72="","Missing asset type",""),IF(AND(G72="Yes",H72&lt;&gt;"Yes"),"Required asset not uploaded",""),IF(AND(H72="Yes",I72&lt;&gt;"Yes"),"Missing GPS metadata",""),IF(AND(H72="Yes",J72&lt;&gt;"Yes"),"Missing timestamp metadata",""),IF(AND(H72="Yes",K72=""),"Missing file link","")))</x:f>
      </x:c>
    </x:row>
    <x:row r="73" ht="20" customHeight="1">
      <x:c r="A73" s="15"/>
      <x:c r="B73" s="28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 t="str">
        <x:f>IF(COUNTA(B73:K73)=0,"",IF(AND(G73="Yes",H73="Yes",I73="Yes",J73="Yes"),"Verified",IF(G73="No","Not Required","Needs Review")))</x:f>
      </x:c>
      <x:c r="M73" s="15" t="str">
        <x:f>IF(COUNTA(B73:K73)=0,"",TEXTJOIN("; ",TRUE,IF(B73="","Missing work date",""),IF(C73="","Missing project",""),IF(F73="","Missing asset type",""),IF(AND(G73="Yes",H73&lt;&gt;"Yes"),"Required asset not uploaded",""),IF(AND(H73="Yes",I73&lt;&gt;"Yes"),"Missing GPS metadata",""),IF(AND(H73="Yes",J73&lt;&gt;"Yes"),"Missing timestamp metadata",""),IF(AND(H73="Yes",K73=""),"Missing file link","")))</x:f>
      </x:c>
    </x:row>
    <x:row r="74" ht="20" customHeight="1">
      <x:c r="A74" s="15"/>
      <x:c r="B74" s="28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 t="str">
        <x:f>IF(COUNTA(B74:K74)=0,"",IF(AND(G74="Yes",H74="Yes",I74="Yes",J74="Yes"),"Verified",IF(G74="No","Not Required","Needs Review")))</x:f>
      </x:c>
      <x:c r="M74" s="15" t="str">
        <x:f>IF(COUNTA(B74:K74)=0,"",TEXTJOIN("; ",TRUE,IF(B74="","Missing work date",""),IF(C74="","Missing project",""),IF(F74="","Missing asset type",""),IF(AND(G74="Yes",H74&lt;&gt;"Yes"),"Required asset not uploaded",""),IF(AND(H74="Yes",I74&lt;&gt;"Yes"),"Missing GPS metadata",""),IF(AND(H74="Yes",J74&lt;&gt;"Yes"),"Missing timestamp metadata",""),IF(AND(H74="Yes",K74=""),"Missing file link","")))</x:f>
      </x:c>
    </x:row>
    <x:row r="75" ht="20" customHeight="1">
      <x:c r="A75" s="15"/>
      <x:c r="B75" s="28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 t="str">
        <x:f>IF(COUNTA(B75:K75)=0,"",IF(AND(G75="Yes",H75="Yes",I75="Yes",J75="Yes"),"Verified",IF(G75="No","Not Required","Needs Review")))</x:f>
      </x:c>
      <x:c r="M75" s="15" t="str">
        <x:f>IF(COUNTA(B75:K75)=0,"",TEXTJOIN("; ",TRUE,IF(B75="","Missing work date",""),IF(C75="","Missing project",""),IF(F75="","Missing asset type",""),IF(AND(G75="Yes",H75&lt;&gt;"Yes"),"Required asset not uploaded",""),IF(AND(H75="Yes",I75&lt;&gt;"Yes"),"Missing GPS metadata",""),IF(AND(H75="Yes",J75&lt;&gt;"Yes"),"Missing timestamp metadata",""),IF(AND(H75="Yes",K75=""),"Missing file link","")))</x:f>
      </x:c>
    </x:row>
    <x:row r="76" ht="20" customHeight="1">
      <x:c r="A76" s="15"/>
      <x:c r="B76" s="28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 t="str">
        <x:f>IF(COUNTA(B76:K76)=0,"",IF(AND(G76="Yes",H76="Yes",I76="Yes",J76="Yes"),"Verified",IF(G76="No","Not Required","Needs Review")))</x:f>
      </x:c>
      <x:c r="M76" s="15" t="str">
        <x:f>IF(COUNTA(B76:K76)=0,"",TEXTJOIN("; ",TRUE,IF(B76="","Missing work date",""),IF(C76="","Missing project",""),IF(F76="","Missing asset type",""),IF(AND(G76="Yes",H76&lt;&gt;"Yes"),"Required asset not uploaded",""),IF(AND(H76="Yes",I76&lt;&gt;"Yes"),"Missing GPS metadata",""),IF(AND(H76="Yes",J76&lt;&gt;"Yes"),"Missing timestamp metadata",""),IF(AND(H76="Yes",K76=""),"Missing file link","")))</x:f>
      </x:c>
    </x:row>
    <x:row r="77" ht="20" customHeight="1">
      <x:c r="A77" s="15"/>
      <x:c r="B77" s="28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 t="str">
        <x:f>IF(COUNTA(B77:K77)=0,"",IF(AND(G77="Yes",H77="Yes",I77="Yes",J77="Yes"),"Verified",IF(G77="No","Not Required","Needs Review")))</x:f>
      </x:c>
      <x:c r="M77" s="15" t="str">
        <x:f>IF(COUNTA(B77:K77)=0,"",TEXTJOIN("; ",TRUE,IF(B77="","Missing work date",""),IF(C77="","Missing project",""),IF(F77="","Missing asset type",""),IF(AND(G77="Yes",H77&lt;&gt;"Yes"),"Required asset not uploaded",""),IF(AND(H77="Yes",I77&lt;&gt;"Yes"),"Missing GPS metadata",""),IF(AND(H77="Yes",J77&lt;&gt;"Yes"),"Missing timestamp metadata",""),IF(AND(H77="Yes",K77=""),"Missing file link","")))</x:f>
      </x:c>
    </x:row>
    <x:row r="78" ht="20" customHeight="1">
      <x:c r="A78" s="15"/>
      <x:c r="B78" s="28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 t="str">
        <x:f>IF(COUNTA(B78:K78)=0,"",IF(AND(G78="Yes",H78="Yes",I78="Yes",J78="Yes"),"Verified",IF(G78="No","Not Required","Needs Review")))</x:f>
      </x:c>
      <x:c r="M78" s="15" t="str">
        <x:f>IF(COUNTA(B78:K78)=0,"",TEXTJOIN("; ",TRUE,IF(B78="","Missing work date",""),IF(C78="","Missing project",""),IF(F78="","Missing asset type",""),IF(AND(G78="Yes",H78&lt;&gt;"Yes"),"Required asset not uploaded",""),IF(AND(H78="Yes",I78&lt;&gt;"Yes"),"Missing GPS metadata",""),IF(AND(H78="Yes",J78&lt;&gt;"Yes"),"Missing timestamp metadata",""),IF(AND(H78="Yes",K78=""),"Missing file link","")))</x:f>
      </x:c>
    </x:row>
    <x:row r="79" ht="20" customHeight="1">
      <x:c r="A79" s="15"/>
      <x:c r="B79" s="28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 t="str">
        <x:f>IF(COUNTA(B79:K79)=0,"",IF(AND(G79="Yes",H79="Yes",I79="Yes",J79="Yes"),"Verified",IF(G79="No","Not Required","Needs Review")))</x:f>
      </x:c>
      <x:c r="M79" s="15" t="str">
        <x:f>IF(COUNTA(B79:K79)=0,"",TEXTJOIN("; ",TRUE,IF(B79="","Missing work date",""),IF(C79="","Missing project",""),IF(F79="","Missing asset type",""),IF(AND(G79="Yes",H79&lt;&gt;"Yes"),"Required asset not uploaded",""),IF(AND(H79="Yes",I79&lt;&gt;"Yes"),"Missing GPS metadata",""),IF(AND(H79="Yes",J79&lt;&gt;"Yes"),"Missing timestamp metadata",""),IF(AND(H79="Yes",K79=""),"Missing file link","")))</x:f>
      </x:c>
    </x:row>
    <x:row r="80" ht="20" customHeight="1">
      <x:c r="A80" s="15"/>
      <x:c r="B80" s="28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 t="str">
        <x:f>IF(COUNTA(B80:K80)=0,"",IF(AND(G80="Yes",H80="Yes",I80="Yes",J80="Yes"),"Verified",IF(G80="No","Not Required","Needs Review")))</x:f>
      </x:c>
      <x:c r="M80" s="15" t="str">
        <x:f>IF(COUNTA(B80:K80)=0,"",TEXTJOIN("; ",TRUE,IF(B80="","Missing work date",""),IF(C80="","Missing project",""),IF(F80="","Missing asset type",""),IF(AND(G80="Yes",H80&lt;&gt;"Yes"),"Required asset not uploaded",""),IF(AND(H80="Yes",I80&lt;&gt;"Yes"),"Missing GPS metadata",""),IF(AND(H80="Yes",J80&lt;&gt;"Yes"),"Missing timestamp metadata",""),IF(AND(H80="Yes",K80=""),"Missing file link","")))</x:f>
      </x:c>
    </x:row>
    <x:row r="81" ht="20" customHeight="1">
      <x:c r="A81" s="15"/>
      <x:c r="B81" s="28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 t="str">
        <x:f>IF(COUNTA(B81:K81)=0,"",IF(AND(G81="Yes",H81="Yes",I81="Yes",J81="Yes"),"Verified",IF(G81="No","Not Required","Needs Review")))</x:f>
      </x:c>
      <x:c r="M81" s="15" t="str">
        <x:f>IF(COUNTA(B81:K81)=0,"",TEXTJOIN("; ",TRUE,IF(B81="","Missing work date",""),IF(C81="","Missing project",""),IF(F81="","Missing asset type",""),IF(AND(G81="Yes",H81&lt;&gt;"Yes"),"Required asset not uploaded",""),IF(AND(H81="Yes",I81&lt;&gt;"Yes"),"Missing GPS metadata",""),IF(AND(H81="Yes",J81&lt;&gt;"Yes"),"Missing timestamp metadata",""),IF(AND(H81="Yes",K81=""),"Missing file link","")))</x:f>
      </x:c>
    </x:row>
    <x:row r="82" ht="20" customHeight="1">
      <x:c r="A82" s="15"/>
      <x:c r="B82" s="28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 t="str">
        <x:f>IF(COUNTA(B82:K82)=0,"",IF(AND(G82="Yes",H82="Yes",I82="Yes",J82="Yes"),"Verified",IF(G82="No","Not Required","Needs Review")))</x:f>
      </x:c>
      <x:c r="M82" s="15" t="str">
        <x:f>IF(COUNTA(B82:K82)=0,"",TEXTJOIN("; ",TRUE,IF(B82="","Missing work date",""),IF(C82="","Missing project",""),IF(F82="","Missing asset type",""),IF(AND(G82="Yes",H82&lt;&gt;"Yes"),"Required asset not uploaded",""),IF(AND(H82="Yes",I82&lt;&gt;"Yes"),"Missing GPS metadata",""),IF(AND(H82="Yes",J82&lt;&gt;"Yes"),"Missing timestamp metadata",""),IF(AND(H82="Yes",K82=""),"Missing file link","")))</x:f>
      </x:c>
    </x:row>
    <x:row r="83" ht="20" customHeight="1">
      <x:c r="A83" s="15"/>
      <x:c r="B83" s="28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 t="str">
        <x:f>IF(COUNTA(B83:K83)=0,"",IF(AND(G83="Yes",H83="Yes",I83="Yes",J83="Yes"),"Verified",IF(G83="No","Not Required","Needs Review")))</x:f>
      </x:c>
      <x:c r="M83" s="15" t="str">
        <x:f>IF(COUNTA(B83:K83)=0,"",TEXTJOIN("; ",TRUE,IF(B83="","Missing work date",""),IF(C83="","Missing project",""),IF(F83="","Missing asset type",""),IF(AND(G83="Yes",H83&lt;&gt;"Yes"),"Required asset not uploaded",""),IF(AND(H83="Yes",I83&lt;&gt;"Yes"),"Missing GPS metadata",""),IF(AND(H83="Yes",J83&lt;&gt;"Yes"),"Missing timestamp metadata",""),IF(AND(H83="Yes",K83=""),"Missing file link","")))</x:f>
      </x:c>
    </x:row>
    <x:row r="84" ht="20" customHeight="1">
      <x:c r="A84" s="15"/>
      <x:c r="B84" s="28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 t="str">
        <x:f>IF(COUNTA(B84:K84)=0,"",IF(AND(G84="Yes",H84="Yes",I84="Yes",J84="Yes"),"Verified",IF(G84="No","Not Required","Needs Review")))</x:f>
      </x:c>
      <x:c r="M84" s="15" t="str">
        <x:f>IF(COUNTA(B84:K84)=0,"",TEXTJOIN("; ",TRUE,IF(B84="","Missing work date",""),IF(C84="","Missing project",""),IF(F84="","Missing asset type",""),IF(AND(G84="Yes",H84&lt;&gt;"Yes"),"Required asset not uploaded",""),IF(AND(H84="Yes",I84&lt;&gt;"Yes"),"Missing GPS metadata",""),IF(AND(H84="Yes",J84&lt;&gt;"Yes"),"Missing timestamp metadata",""),IF(AND(H84="Yes",K84=""),"Missing file link","")))</x:f>
      </x:c>
    </x:row>
    <x:row r="85" ht="20" customHeight="1">
      <x:c r="A85" s="15"/>
      <x:c r="B85" s="28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 t="str">
        <x:f>IF(COUNTA(B85:K85)=0,"",IF(AND(G85="Yes",H85="Yes",I85="Yes",J85="Yes"),"Verified",IF(G85="No","Not Required","Needs Review")))</x:f>
      </x:c>
      <x:c r="M85" s="15" t="str">
        <x:f>IF(COUNTA(B85:K85)=0,"",TEXTJOIN("; ",TRUE,IF(B85="","Missing work date",""),IF(C85="","Missing project",""),IF(F85="","Missing asset type",""),IF(AND(G85="Yes",H85&lt;&gt;"Yes"),"Required asset not uploaded",""),IF(AND(H85="Yes",I85&lt;&gt;"Yes"),"Missing GPS metadata",""),IF(AND(H85="Yes",J85&lt;&gt;"Yes"),"Missing timestamp metadata",""),IF(AND(H85="Yes",K85=""),"Missing file link","")))</x:f>
      </x:c>
    </x:row>
    <x:row r="86" ht="20" customHeight="1">
      <x:c r="A86" s="15"/>
      <x:c r="B86" s="28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 t="str">
        <x:f>IF(COUNTA(B86:K86)=0,"",IF(AND(G86="Yes",H86="Yes",I86="Yes",J86="Yes"),"Verified",IF(G86="No","Not Required","Needs Review")))</x:f>
      </x:c>
      <x:c r="M86" s="15" t="str">
        <x:f>IF(COUNTA(B86:K86)=0,"",TEXTJOIN("; ",TRUE,IF(B86="","Missing work date",""),IF(C86="","Missing project",""),IF(F86="","Missing asset type",""),IF(AND(G86="Yes",H86&lt;&gt;"Yes"),"Required asset not uploaded",""),IF(AND(H86="Yes",I86&lt;&gt;"Yes"),"Missing GPS metadata",""),IF(AND(H86="Yes",J86&lt;&gt;"Yes"),"Missing timestamp metadata",""),IF(AND(H86="Yes",K86=""),"Missing file link","")))</x:f>
      </x:c>
    </x:row>
    <x:row r="87" ht="20" customHeight="1">
      <x:c r="A87" s="15"/>
      <x:c r="B87" s="28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 t="str">
        <x:f>IF(COUNTA(B87:K87)=0,"",IF(AND(G87="Yes",H87="Yes",I87="Yes",J87="Yes"),"Verified",IF(G87="No","Not Required","Needs Review")))</x:f>
      </x:c>
      <x:c r="M87" s="15" t="str">
        <x:f>IF(COUNTA(B87:K87)=0,"",TEXTJOIN("; ",TRUE,IF(B87="","Missing work date",""),IF(C87="","Missing project",""),IF(F87="","Missing asset type",""),IF(AND(G87="Yes",H87&lt;&gt;"Yes"),"Required asset not uploaded",""),IF(AND(H87="Yes",I87&lt;&gt;"Yes"),"Missing GPS metadata",""),IF(AND(H87="Yes",J87&lt;&gt;"Yes"),"Missing timestamp metadata",""),IF(AND(H87="Yes",K87=""),"Missing file link","")))</x:f>
      </x:c>
    </x:row>
    <x:row r="88" ht="20" customHeight="1">
      <x:c r="A88" s="15"/>
      <x:c r="B88" s="28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 t="str">
        <x:f>IF(COUNTA(B88:K88)=0,"",IF(AND(G88="Yes",H88="Yes",I88="Yes",J88="Yes"),"Verified",IF(G88="No","Not Required","Needs Review")))</x:f>
      </x:c>
      <x:c r="M88" s="15" t="str">
        <x:f>IF(COUNTA(B88:K88)=0,"",TEXTJOIN("; ",TRUE,IF(B88="","Missing work date",""),IF(C88="","Missing project",""),IF(F88="","Missing asset type",""),IF(AND(G88="Yes",H88&lt;&gt;"Yes"),"Required asset not uploaded",""),IF(AND(H88="Yes",I88&lt;&gt;"Yes"),"Missing GPS metadata",""),IF(AND(H88="Yes",J88&lt;&gt;"Yes"),"Missing timestamp metadata",""),IF(AND(H88="Yes",K88=""),"Missing file link","")))</x:f>
      </x:c>
    </x:row>
    <x:row r="89" ht="20" customHeight="1">
      <x:c r="A89" s="15"/>
      <x:c r="B89" s="28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 t="str">
        <x:f>IF(COUNTA(B89:K89)=0,"",IF(AND(G89="Yes",H89="Yes",I89="Yes",J89="Yes"),"Verified",IF(G89="No","Not Required","Needs Review")))</x:f>
      </x:c>
      <x:c r="M89" s="15" t="str">
        <x:f>IF(COUNTA(B89:K89)=0,"",TEXTJOIN("; ",TRUE,IF(B89="","Missing work date",""),IF(C89="","Missing project",""),IF(F89="","Missing asset type",""),IF(AND(G89="Yes",H89&lt;&gt;"Yes"),"Required asset not uploaded",""),IF(AND(H89="Yes",I89&lt;&gt;"Yes"),"Missing GPS metadata",""),IF(AND(H89="Yes",J89&lt;&gt;"Yes"),"Missing timestamp metadata",""),IF(AND(H89="Yes",K89=""),"Missing file link","")))</x:f>
      </x:c>
    </x:row>
    <x:row r="90" ht="20" customHeight="1">
      <x:c r="A90" s="15"/>
      <x:c r="B90" s="28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 t="str">
        <x:f>IF(COUNTA(B90:K90)=0,"",IF(AND(G90="Yes",H90="Yes",I90="Yes",J90="Yes"),"Verified",IF(G90="No","Not Required","Needs Review")))</x:f>
      </x:c>
      <x:c r="M90" s="15" t="str">
        <x:f>IF(COUNTA(B90:K90)=0,"",TEXTJOIN("; ",TRUE,IF(B90="","Missing work date",""),IF(C90="","Missing project",""),IF(F90="","Missing asset type",""),IF(AND(G90="Yes",H90&lt;&gt;"Yes"),"Required asset not uploaded",""),IF(AND(H90="Yes",I90&lt;&gt;"Yes"),"Missing GPS metadata",""),IF(AND(H90="Yes",J90&lt;&gt;"Yes"),"Missing timestamp metadata",""),IF(AND(H90="Yes",K90=""),"Missing file link","")))</x:f>
      </x:c>
    </x:row>
    <x:row r="91" ht="20" customHeight="1">
      <x:c r="A91" s="15"/>
      <x:c r="B91" s="28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 t="str">
        <x:f>IF(COUNTA(B91:K91)=0,"",IF(AND(G91="Yes",H91="Yes",I91="Yes",J91="Yes"),"Verified",IF(G91="No","Not Required","Needs Review")))</x:f>
      </x:c>
      <x:c r="M91" s="15" t="str">
        <x:f>IF(COUNTA(B91:K91)=0,"",TEXTJOIN("; ",TRUE,IF(B91="","Missing work date",""),IF(C91="","Missing project",""),IF(F91="","Missing asset type",""),IF(AND(G91="Yes",H91&lt;&gt;"Yes"),"Required asset not uploaded",""),IF(AND(H91="Yes",I91&lt;&gt;"Yes"),"Missing GPS metadata",""),IF(AND(H91="Yes",J91&lt;&gt;"Yes"),"Missing timestamp metadata",""),IF(AND(H91="Yes",K91=""),"Missing file link","")))</x:f>
      </x:c>
    </x:row>
    <x:row r="92" ht="20" customHeight="1">
      <x:c r="A92" s="15"/>
      <x:c r="B92" s="28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 t="str">
        <x:f>IF(COUNTA(B92:K92)=0,"",IF(AND(G92="Yes",H92="Yes",I92="Yes",J92="Yes"),"Verified",IF(G92="No","Not Required","Needs Review")))</x:f>
      </x:c>
      <x:c r="M92" s="15" t="str">
        <x:f>IF(COUNTA(B92:K92)=0,"",TEXTJOIN("; ",TRUE,IF(B92="","Missing work date",""),IF(C92="","Missing project",""),IF(F92="","Missing asset type",""),IF(AND(G92="Yes",H92&lt;&gt;"Yes"),"Required asset not uploaded",""),IF(AND(H92="Yes",I92&lt;&gt;"Yes"),"Missing GPS metadata",""),IF(AND(H92="Yes",J92&lt;&gt;"Yes"),"Missing timestamp metadata",""),IF(AND(H92="Yes",K92=""),"Missing file link","")))</x:f>
      </x:c>
    </x:row>
    <x:row r="93" ht="20" customHeight="1">
      <x:c r="A93" s="15"/>
      <x:c r="B93" s="28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 t="str">
        <x:f>IF(COUNTA(B93:K93)=0,"",IF(AND(G93="Yes",H93="Yes",I93="Yes",J93="Yes"),"Verified",IF(G93="No","Not Required","Needs Review")))</x:f>
      </x:c>
      <x:c r="M93" s="15" t="str">
        <x:f>IF(COUNTA(B93:K93)=0,"",TEXTJOIN("; ",TRUE,IF(B93="","Missing work date",""),IF(C93="","Missing project",""),IF(F93="","Missing asset type",""),IF(AND(G93="Yes",H93&lt;&gt;"Yes"),"Required asset not uploaded",""),IF(AND(H93="Yes",I93&lt;&gt;"Yes"),"Missing GPS metadata",""),IF(AND(H93="Yes",J93&lt;&gt;"Yes"),"Missing timestamp metadata",""),IF(AND(H93="Yes",K93=""),"Missing file link","")))</x:f>
      </x:c>
    </x:row>
    <x:row r="94" ht="20" customHeight="1">
      <x:c r="A94" s="15"/>
      <x:c r="B94" s="28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 t="str">
        <x:f>IF(COUNTA(B94:K94)=0,"",IF(AND(G94="Yes",H94="Yes",I94="Yes",J94="Yes"),"Verified",IF(G94="No","Not Required","Needs Review")))</x:f>
      </x:c>
      <x:c r="M94" s="15" t="str">
        <x:f>IF(COUNTA(B94:K94)=0,"",TEXTJOIN("; ",TRUE,IF(B94="","Missing work date",""),IF(C94="","Missing project",""),IF(F94="","Missing asset type",""),IF(AND(G94="Yes",H94&lt;&gt;"Yes"),"Required asset not uploaded",""),IF(AND(H94="Yes",I94&lt;&gt;"Yes"),"Missing GPS metadata",""),IF(AND(H94="Yes",J94&lt;&gt;"Yes"),"Missing timestamp metadata",""),IF(AND(H94="Yes",K94=""),"Missing file link","")))</x:f>
      </x:c>
    </x:row>
    <x:row r="95" ht="20" customHeight="1">
      <x:c r="A95" s="15"/>
      <x:c r="B95" s="28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 t="str">
        <x:f>IF(COUNTA(B95:K95)=0,"",IF(AND(G95="Yes",H95="Yes",I95="Yes",J95="Yes"),"Verified",IF(G95="No","Not Required","Needs Review")))</x:f>
      </x:c>
      <x:c r="M95" s="15" t="str">
        <x:f>IF(COUNTA(B95:K95)=0,"",TEXTJOIN("; ",TRUE,IF(B95="","Missing work date",""),IF(C95="","Missing project",""),IF(F95="","Missing asset type",""),IF(AND(G95="Yes",H95&lt;&gt;"Yes"),"Required asset not uploaded",""),IF(AND(H95="Yes",I95&lt;&gt;"Yes"),"Missing GPS metadata",""),IF(AND(H95="Yes",J95&lt;&gt;"Yes"),"Missing timestamp metadata",""),IF(AND(H95="Yes",K95=""),"Missing file link","")))</x:f>
      </x:c>
    </x:row>
    <x:row r="96" ht="20" customHeight="1">
      <x:c r="A96" s="15"/>
      <x:c r="B96" s="28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 t="str">
        <x:f>IF(COUNTA(B96:K96)=0,"",IF(AND(G96="Yes",H96="Yes",I96="Yes",J96="Yes"),"Verified",IF(G96="No","Not Required","Needs Review")))</x:f>
      </x:c>
      <x:c r="M96" s="15" t="str">
        <x:f>IF(COUNTA(B96:K96)=0,"",TEXTJOIN("; ",TRUE,IF(B96="","Missing work date",""),IF(C96="","Missing project",""),IF(F96="","Missing asset type",""),IF(AND(G96="Yes",H96&lt;&gt;"Yes"),"Required asset not uploaded",""),IF(AND(H96="Yes",I96&lt;&gt;"Yes"),"Missing GPS metadata",""),IF(AND(H96="Yes",J96&lt;&gt;"Yes"),"Missing timestamp metadata",""),IF(AND(H96="Yes",K96=""),"Missing file link","")))</x:f>
      </x:c>
    </x:row>
    <x:row r="97" ht="20" customHeight="1">
      <x:c r="A97" s="15"/>
      <x:c r="B97" s="28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 t="str">
        <x:f>IF(COUNTA(B97:K97)=0,"",IF(AND(G97="Yes",H97="Yes",I97="Yes",J97="Yes"),"Verified",IF(G97="No","Not Required","Needs Review")))</x:f>
      </x:c>
      <x:c r="M97" s="15" t="str">
        <x:f>IF(COUNTA(B97:K97)=0,"",TEXTJOIN("; ",TRUE,IF(B97="","Missing work date",""),IF(C97="","Missing project",""),IF(F97="","Missing asset type",""),IF(AND(G97="Yes",H97&lt;&gt;"Yes"),"Required asset not uploaded",""),IF(AND(H97="Yes",I97&lt;&gt;"Yes"),"Missing GPS metadata",""),IF(AND(H97="Yes",J97&lt;&gt;"Yes"),"Missing timestamp metadata",""),IF(AND(H97="Yes",K97=""),"Missing file link","")))</x:f>
      </x:c>
    </x:row>
    <x:row r="98" ht="20" customHeight="1">
      <x:c r="A98" s="15"/>
      <x:c r="B98" s="28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 t="str">
        <x:f>IF(COUNTA(B98:K98)=0,"",IF(AND(G98="Yes",H98="Yes",I98="Yes",J98="Yes"),"Verified",IF(G98="No","Not Required","Needs Review")))</x:f>
      </x:c>
      <x:c r="M98" s="15" t="str">
        <x:f>IF(COUNTA(B98:K98)=0,"",TEXTJOIN("; ",TRUE,IF(B98="","Missing work date",""),IF(C98="","Missing project",""),IF(F98="","Missing asset type",""),IF(AND(G98="Yes",H98&lt;&gt;"Yes"),"Required asset not uploaded",""),IF(AND(H98="Yes",I98&lt;&gt;"Yes"),"Missing GPS metadata",""),IF(AND(H98="Yes",J98&lt;&gt;"Yes"),"Missing timestamp metadata",""),IF(AND(H98="Yes",K98=""),"Missing file link","")))</x:f>
      </x:c>
    </x:row>
    <x:row r="99" ht="20" customHeight="1">
      <x:c r="A99" s="15"/>
      <x:c r="B99" s="28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 t="str">
        <x:f>IF(COUNTA(B99:K99)=0,"",IF(AND(G99="Yes",H99="Yes",I99="Yes",J99="Yes"),"Verified",IF(G99="No","Not Required","Needs Review")))</x:f>
      </x:c>
      <x:c r="M99" s="15" t="str">
        <x:f>IF(COUNTA(B99:K99)=0,"",TEXTJOIN("; ",TRUE,IF(B99="","Missing work date",""),IF(C99="","Missing project",""),IF(F99="","Missing asset type",""),IF(AND(G99="Yes",H99&lt;&gt;"Yes"),"Required asset not uploaded",""),IF(AND(H99="Yes",I99&lt;&gt;"Yes"),"Missing GPS metadata",""),IF(AND(H99="Yes",J99&lt;&gt;"Yes"),"Missing timestamp metadata",""),IF(AND(H99="Yes",K99=""),"Missing file link","")))</x:f>
      </x:c>
    </x:row>
    <x:row r="100" ht="20" customHeight="1">
      <x:c r="A100" s="15"/>
      <x:c r="B100" s="28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 t="str">
        <x:f>IF(COUNTA(B100:K100)=0,"",IF(AND(G100="Yes",H100="Yes",I100="Yes",J100="Yes"),"Verified",IF(G100="No","Not Required","Needs Review")))</x:f>
      </x:c>
      <x:c r="M100" s="15" t="str">
        <x:f>IF(COUNTA(B100:K100)=0,"",TEXTJOIN("; ",TRUE,IF(B100="","Missing work date",""),IF(C100="","Missing project",""),IF(F100="","Missing asset type",""),IF(AND(G100="Yes",H100&lt;&gt;"Yes"),"Required asset not uploaded",""),IF(AND(H100="Yes",I100&lt;&gt;"Yes"),"Missing GPS metadata",""),IF(AND(H100="Yes",J100&lt;&gt;"Yes"),"Missing timestamp metadata",""),IF(AND(H100="Yes",K100=""),"Missing file link","")))</x:f>
      </x:c>
    </x:row>
    <x:row r="101" ht="20" customHeight="1">
      <x:c r="A101" s="15"/>
      <x:c r="B101" s="28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 t="str">
        <x:f>IF(COUNTA(B101:K101)=0,"",IF(AND(G101="Yes",H101="Yes",I101="Yes",J101="Yes"),"Verified",IF(G101="No","Not Required","Needs Review")))</x:f>
      </x:c>
      <x:c r="M101" s="15" t="str">
        <x:f>IF(COUNTA(B101:K101)=0,"",TEXTJOIN("; ",TRUE,IF(B101="","Missing work date",""),IF(C101="","Missing project",""),IF(F101="","Missing asset type",""),IF(AND(G101="Yes",H101&lt;&gt;"Yes"),"Required asset not uploaded",""),IF(AND(H101="Yes",I101&lt;&gt;"Yes"),"Missing GPS metadata",""),IF(AND(H101="Yes",J101&lt;&gt;"Yes"),"Missing timestamp metadata",""),IF(AND(H101="Yes",K101=""),"Missing file link","")))</x:f>
      </x:c>
    </x:row>
    <x:row r="102" ht="20" customHeight="1">
      <x:c r="A102" s="15"/>
      <x:c r="B102" s="28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 t="str">
        <x:f>IF(COUNTA(B102:K102)=0,"",IF(AND(G102="Yes",H102="Yes",I102="Yes",J102="Yes"),"Verified",IF(G102="No","Not Required","Needs Review")))</x:f>
      </x:c>
      <x:c r="M102" s="15" t="str">
        <x:f>IF(COUNTA(B102:K102)=0,"",TEXTJOIN("; ",TRUE,IF(B102="","Missing work date",""),IF(C102="","Missing project",""),IF(F102="","Missing asset type",""),IF(AND(G102="Yes",H102&lt;&gt;"Yes"),"Required asset not uploaded",""),IF(AND(H102="Yes",I102&lt;&gt;"Yes"),"Missing GPS metadata",""),IF(AND(H102="Yes",J102&lt;&gt;"Yes"),"Missing timestamp metadata",""),IF(AND(H102="Yes",K102=""),"Missing file link","")))</x:f>
      </x:c>
    </x:row>
    <x:row r="103" ht="20" customHeight="1">
      <x:c r="A103" s="15"/>
      <x:c r="B103" s="28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 t="str">
        <x:f>IF(COUNTA(B103:K103)=0,"",IF(AND(G103="Yes",H103="Yes",I103="Yes",J103="Yes"),"Verified",IF(G103="No","Not Required","Needs Review")))</x:f>
      </x:c>
      <x:c r="M103" s="15" t="str">
        <x:f>IF(COUNTA(B103:K103)=0,"",TEXTJOIN("; ",TRUE,IF(B103="","Missing work date",""),IF(C103="","Missing project",""),IF(F103="","Missing asset type",""),IF(AND(G103="Yes",H103&lt;&gt;"Yes"),"Required asset not uploaded",""),IF(AND(H103="Yes",I103&lt;&gt;"Yes"),"Missing GPS metadata",""),IF(AND(H103="Yes",J103&lt;&gt;"Yes"),"Missing timestamp metadata",""),IF(AND(H103="Yes",K103=""),"Missing file link","")))</x:f>
      </x:c>
    </x:row>
    <x:row r="104" ht="20" customHeight="1">
      <x:c r="A104" s="15"/>
      <x:c r="B104" s="28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 t="str">
        <x:f>IF(COUNTA(B104:K104)=0,"",IF(AND(G104="Yes",H104="Yes",I104="Yes",J104="Yes"),"Verified",IF(G104="No","Not Required","Needs Review")))</x:f>
      </x:c>
      <x:c r="M104" s="15" t="str">
        <x:f>IF(COUNTA(B104:K104)=0,"",TEXTJOIN("; ",TRUE,IF(B104="","Missing work date",""),IF(C104="","Missing project",""),IF(F104="","Missing asset type",""),IF(AND(G104="Yes",H104&lt;&gt;"Yes"),"Required asset not uploaded",""),IF(AND(H104="Yes",I104&lt;&gt;"Yes"),"Missing GPS metadata",""),IF(AND(H104="Yes",J104&lt;&gt;"Yes"),"Missing timestamp metadata",""),IF(AND(H104="Yes",K104=""),"Missing file link","")))</x:f>
      </x:c>
    </x:row>
    <x:row r="105" ht="20" customHeight="1">
      <x:c r="A105" s="15"/>
      <x:c r="B105" s="28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 t="str">
        <x:f>IF(COUNTA(B105:K105)=0,"",IF(AND(G105="Yes",H105="Yes",I105="Yes",J105="Yes"),"Verified",IF(G105="No","Not Required","Needs Review")))</x:f>
      </x:c>
      <x:c r="M105" s="15" t="str">
        <x:f>IF(COUNTA(B105:K105)=0,"",TEXTJOIN("; ",TRUE,IF(B105="","Missing work date",""),IF(C105="","Missing project",""),IF(F105="","Missing asset type",""),IF(AND(G105="Yes",H105&lt;&gt;"Yes"),"Required asset not uploaded",""),IF(AND(H105="Yes",I105&lt;&gt;"Yes"),"Missing GPS metadata",""),IF(AND(H105="Yes",J105&lt;&gt;"Yes"),"Missing timestamp metadata",""),IF(AND(H105="Yes",K105=""),"Missing file link","")))</x:f>
      </x:c>
    </x:row>
    <x:row r="106" ht="20" customHeight="1">
      <x:c r="A106" s="15"/>
      <x:c r="B106" s="28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 t="str">
        <x:f>IF(COUNTA(B106:K106)=0,"",IF(AND(G106="Yes",H106="Yes",I106="Yes",J106="Yes"),"Verified",IF(G106="No","Not Required","Needs Review")))</x:f>
      </x:c>
      <x:c r="M106" s="15" t="str">
        <x:f>IF(COUNTA(B106:K106)=0,"",TEXTJOIN("; ",TRUE,IF(B106="","Missing work date",""),IF(C106="","Missing project",""),IF(F106="","Missing asset type",""),IF(AND(G106="Yes",H106&lt;&gt;"Yes"),"Required asset not uploaded",""),IF(AND(H106="Yes",I106&lt;&gt;"Yes"),"Missing GPS metadata",""),IF(AND(H106="Yes",J106&lt;&gt;"Yes"),"Missing timestamp metadata",""),IF(AND(H106="Yes",K106=""),"Missing file link","")))</x:f>
      </x:c>
    </x:row>
    <x:row r="107" ht="20" customHeight="1">
      <x:c r="A107" s="15"/>
      <x:c r="B107" s="28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 t="str">
        <x:f>IF(COUNTA(B107:K107)=0,"",IF(AND(G107="Yes",H107="Yes",I107="Yes",J107="Yes"),"Verified",IF(G107="No","Not Required","Needs Review")))</x:f>
      </x:c>
      <x:c r="M107" s="15" t="str">
        <x:f>IF(COUNTA(B107:K107)=0,"",TEXTJOIN("; ",TRUE,IF(B107="","Missing work date",""),IF(C107="","Missing project",""),IF(F107="","Missing asset type",""),IF(AND(G107="Yes",H107&lt;&gt;"Yes"),"Required asset not uploaded",""),IF(AND(H107="Yes",I107&lt;&gt;"Yes"),"Missing GPS metadata",""),IF(AND(H107="Yes",J107&lt;&gt;"Yes"),"Missing timestamp metadata",""),IF(AND(H107="Yes",K107=""),"Missing file link","")))</x:f>
      </x:c>
    </x:row>
    <x:row r="108" ht="20" customHeight="1">
      <x:c r="A108" s="15"/>
      <x:c r="B108" s="28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 t="str">
        <x:f>IF(COUNTA(B108:K108)=0,"",IF(AND(G108="Yes",H108="Yes",I108="Yes",J108="Yes"),"Verified",IF(G108="No","Not Required","Needs Review")))</x:f>
      </x:c>
      <x:c r="M108" s="15" t="str">
        <x:f>IF(COUNTA(B108:K108)=0,"",TEXTJOIN("; ",TRUE,IF(B108="","Missing work date",""),IF(C108="","Missing project",""),IF(F108="","Missing asset type",""),IF(AND(G108="Yes",H108&lt;&gt;"Yes"),"Required asset not uploaded",""),IF(AND(H108="Yes",I108&lt;&gt;"Yes"),"Missing GPS metadata",""),IF(AND(H108="Yes",J108&lt;&gt;"Yes"),"Missing timestamp metadata",""),IF(AND(H108="Yes",K108=""),"Missing file link","")))</x:f>
      </x:c>
    </x:row>
    <x:row r="109" ht="20" customHeight="1">
      <x:c r="A109" s="15"/>
      <x:c r="B109" s="28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 t="str">
        <x:f>IF(COUNTA(B109:K109)=0,"",IF(AND(G109="Yes",H109="Yes",I109="Yes",J109="Yes"),"Verified",IF(G109="No","Not Required","Needs Review")))</x:f>
      </x:c>
      <x:c r="M109" s="15" t="str">
        <x:f>IF(COUNTA(B109:K109)=0,"",TEXTJOIN("; ",TRUE,IF(B109="","Missing work date",""),IF(C109="","Missing project",""),IF(F109="","Missing asset type",""),IF(AND(G109="Yes",H109&lt;&gt;"Yes"),"Required asset not uploaded",""),IF(AND(H109="Yes",I109&lt;&gt;"Yes"),"Missing GPS metadata",""),IF(AND(H109="Yes",J109&lt;&gt;"Yes"),"Missing timestamp metadata",""),IF(AND(H109="Yes",K109=""),"Missing file link","")))</x:f>
      </x:c>
    </x:row>
    <x:row r="110" ht="20" customHeight="1">
      <x:c r="A110" s="15"/>
      <x:c r="B110" s="28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 t="str">
        <x:f>IF(COUNTA(B110:K110)=0,"",IF(AND(G110="Yes",H110="Yes",I110="Yes",J110="Yes"),"Verified",IF(G110="No","Not Required","Needs Review")))</x:f>
      </x:c>
      <x:c r="M110" s="15" t="str">
        <x:f>IF(COUNTA(B110:K110)=0,"",TEXTJOIN("; ",TRUE,IF(B110="","Missing work date",""),IF(C110="","Missing project",""),IF(F110="","Missing asset type",""),IF(AND(G110="Yes",H110&lt;&gt;"Yes"),"Required asset not uploaded",""),IF(AND(H110="Yes",I110&lt;&gt;"Yes"),"Missing GPS metadata",""),IF(AND(H110="Yes",J110&lt;&gt;"Yes"),"Missing timestamp metadata",""),IF(AND(H110="Yes",K110=""),"Missing file link","")))</x:f>
      </x:c>
    </x:row>
    <x:row r="111" ht="20" customHeight="1">
      <x:c r="A111" s="15"/>
      <x:c r="B111" s="28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 t="str">
        <x:f>IF(COUNTA(B111:K111)=0,"",IF(AND(G111="Yes",H111="Yes",I111="Yes",J111="Yes"),"Verified",IF(G111="No","Not Required","Needs Review")))</x:f>
      </x:c>
      <x:c r="M111" s="15" t="str">
        <x:f>IF(COUNTA(B111:K111)=0,"",TEXTJOIN("; ",TRUE,IF(B111="","Missing work date",""),IF(C111="","Missing project",""),IF(F111="","Missing asset type",""),IF(AND(G111="Yes",H111&lt;&gt;"Yes"),"Required asset not uploaded",""),IF(AND(H111="Yes",I111&lt;&gt;"Yes"),"Missing GPS metadata",""),IF(AND(H111="Yes",J111&lt;&gt;"Yes"),"Missing timestamp metadata",""),IF(AND(H111="Yes",K111=""),"Missing file link","")))</x:f>
      </x:c>
    </x:row>
    <x:row r="112" ht="20" customHeight="1">
      <x:c r="A112" s="15"/>
      <x:c r="B112" s="28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 t="str">
        <x:f>IF(COUNTA(B112:K112)=0,"",IF(AND(G112="Yes",H112="Yes",I112="Yes",J112="Yes"),"Verified",IF(G112="No","Not Required","Needs Review")))</x:f>
      </x:c>
      <x:c r="M112" s="15" t="str">
        <x:f>IF(COUNTA(B112:K112)=0,"",TEXTJOIN("; ",TRUE,IF(B112="","Missing work date",""),IF(C112="","Missing project",""),IF(F112="","Missing asset type",""),IF(AND(G112="Yes",H112&lt;&gt;"Yes"),"Required asset not uploaded",""),IF(AND(H112="Yes",I112&lt;&gt;"Yes"),"Missing GPS metadata",""),IF(AND(H112="Yes",J112&lt;&gt;"Yes"),"Missing timestamp metadata",""),IF(AND(H112="Yes",K112=""),"Missing file link","")))</x:f>
      </x:c>
    </x:row>
    <x:row r="113" ht="20" customHeight="1">
      <x:c r="A113" s="15"/>
      <x:c r="B113" s="28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 t="str">
        <x:f>IF(COUNTA(B113:K113)=0,"",IF(AND(G113="Yes",H113="Yes",I113="Yes",J113="Yes"),"Verified",IF(G113="No","Not Required","Needs Review")))</x:f>
      </x:c>
      <x:c r="M113" s="15" t="str">
        <x:f>IF(COUNTA(B113:K113)=0,"",TEXTJOIN("; ",TRUE,IF(B113="","Missing work date",""),IF(C113="","Missing project",""),IF(F113="","Missing asset type",""),IF(AND(G113="Yes",H113&lt;&gt;"Yes"),"Required asset not uploaded",""),IF(AND(H113="Yes",I113&lt;&gt;"Yes"),"Missing GPS metadata",""),IF(AND(H113="Yes",J113&lt;&gt;"Yes"),"Missing timestamp metadata",""),IF(AND(H113="Yes",K113=""),"Missing file link","")))</x:f>
      </x:c>
    </x:row>
    <x:row r="114" ht="20" customHeight="1">
      <x:c r="A114" s="15"/>
      <x:c r="B114" s="28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 t="str">
        <x:f>IF(COUNTA(B114:K114)=0,"",IF(AND(G114="Yes",H114="Yes",I114="Yes",J114="Yes"),"Verified",IF(G114="No","Not Required","Needs Review")))</x:f>
      </x:c>
      <x:c r="M114" s="15" t="str">
        <x:f>IF(COUNTA(B114:K114)=0,"",TEXTJOIN("; ",TRUE,IF(B114="","Missing work date",""),IF(C114="","Missing project",""),IF(F114="","Missing asset type",""),IF(AND(G114="Yes",H114&lt;&gt;"Yes"),"Required asset not uploaded",""),IF(AND(H114="Yes",I114&lt;&gt;"Yes"),"Missing GPS metadata",""),IF(AND(H114="Yes",J114&lt;&gt;"Yes"),"Missing timestamp metadata",""),IF(AND(H114="Yes",K114=""),"Missing file link","")))</x:f>
      </x:c>
    </x:row>
    <x:row r="115" ht="20" customHeight="1">
      <x:c r="A115" s="15"/>
      <x:c r="B115" s="28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 t="str">
        <x:f>IF(COUNTA(B115:K115)=0,"",IF(AND(G115="Yes",H115="Yes",I115="Yes",J115="Yes"),"Verified",IF(G115="No","Not Required","Needs Review")))</x:f>
      </x:c>
      <x:c r="M115" s="15" t="str">
        <x:f>IF(COUNTA(B115:K115)=0,"",TEXTJOIN("; ",TRUE,IF(B115="","Missing work date",""),IF(C115="","Missing project",""),IF(F115="","Missing asset type",""),IF(AND(G115="Yes",H115&lt;&gt;"Yes"),"Required asset not uploaded",""),IF(AND(H115="Yes",I115&lt;&gt;"Yes"),"Missing GPS metadata",""),IF(AND(H115="Yes",J115&lt;&gt;"Yes"),"Missing timestamp metadata",""),IF(AND(H115="Yes",K115=""),"Missing file link","")))</x:f>
      </x:c>
    </x:row>
    <x:row r="116" ht="20" customHeight="1">
      <x:c r="A116" s="15"/>
      <x:c r="B116" s="28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 t="str">
        <x:f>IF(COUNTA(B116:K116)=0,"",IF(AND(G116="Yes",H116="Yes",I116="Yes",J116="Yes"),"Verified",IF(G116="No","Not Required","Needs Review")))</x:f>
      </x:c>
      <x:c r="M116" s="15" t="str">
        <x:f>IF(COUNTA(B116:K116)=0,"",TEXTJOIN("; ",TRUE,IF(B116="","Missing work date",""),IF(C116="","Missing project",""),IF(F116="","Missing asset type",""),IF(AND(G116="Yes",H116&lt;&gt;"Yes"),"Required asset not uploaded",""),IF(AND(H116="Yes",I116&lt;&gt;"Yes"),"Missing GPS metadata",""),IF(AND(H116="Yes",J116&lt;&gt;"Yes"),"Missing timestamp metadata",""),IF(AND(H116="Yes",K116=""),"Missing file link","")))</x:f>
      </x:c>
    </x:row>
    <x:row r="117" ht="20" customHeight="1">
      <x:c r="A117" s="15"/>
      <x:c r="B117" s="28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 t="str">
        <x:f>IF(COUNTA(B117:K117)=0,"",IF(AND(G117="Yes",H117="Yes",I117="Yes",J117="Yes"),"Verified",IF(G117="No","Not Required","Needs Review")))</x:f>
      </x:c>
      <x:c r="M117" s="15" t="str">
        <x:f>IF(COUNTA(B117:K117)=0,"",TEXTJOIN("; ",TRUE,IF(B117="","Missing work date",""),IF(C117="","Missing project",""),IF(F117="","Missing asset type",""),IF(AND(G117="Yes",H117&lt;&gt;"Yes"),"Required asset not uploaded",""),IF(AND(H117="Yes",I117&lt;&gt;"Yes"),"Missing GPS metadata",""),IF(AND(H117="Yes",J117&lt;&gt;"Yes"),"Missing timestamp metadata",""),IF(AND(H117="Yes",K117=""),"Missing file link","")))</x:f>
      </x:c>
    </x:row>
    <x:row r="118" ht="20" customHeight="1">
      <x:c r="A118" s="15"/>
      <x:c r="B118" s="28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 t="str">
        <x:f>IF(COUNTA(B118:K118)=0,"",IF(AND(G118="Yes",H118="Yes",I118="Yes",J118="Yes"),"Verified",IF(G118="No","Not Required","Needs Review")))</x:f>
      </x:c>
      <x:c r="M118" s="15" t="str">
        <x:f>IF(COUNTA(B118:K118)=0,"",TEXTJOIN("; ",TRUE,IF(B118="","Missing work date",""),IF(C118="","Missing project",""),IF(F118="","Missing asset type",""),IF(AND(G118="Yes",H118&lt;&gt;"Yes"),"Required asset not uploaded",""),IF(AND(H118="Yes",I118&lt;&gt;"Yes"),"Missing GPS metadata",""),IF(AND(H118="Yes",J118&lt;&gt;"Yes"),"Missing timestamp metadata",""),IF(AND(H118="Yes",K118=""),"Missing file link","")))</x:f>
      </x:c>
    </x:row>
    <x:row r="119" ht="20" customHeight="1">
      <x:c r="A119" s="15"/>
      <x:c r="B119" s="28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 t="str">
        <x:f>IF(COUNTA(B119:K119)=0,"",IF(AND(G119="Yes",H119="Yes",I119="Yes",J119="Yes"),"Verified",IF(G119="No","Not Required","Needs Review")))</x:f>
      </x:c>
      <x:c r="M119" s="15" t="str">
        <x:f>IF(COUNTA(B119:K119)=0,"",TEXTJOIN("; ",TRUE,IF(B119="","Missing work date",""),IF(C119="","Missing project",""),IF(F119="","Missing asset type",""),IF(AND(G119="Yes",H119&lt;&gt;"Yes"),"Required asset not uploaded",""),IF(AND(H119="Yes",I119&lt;&gt;"Yes"),"Missing GPS metadata",""),IF(AND(H119="Yes",J119&lt;&gt;"Yes"),"Missing timestamp metadata",""),IF(AND(H119="Yes",K119=""),"Missing file link","")))</x:f>
      </x:c>
    </x:row>
    <x:row r="120" ht="20" customHeight="1">
      <x:c r="A120" s="15"/>
      <x:c r="B120" s="28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 t="str">
        <x:f>IF(COUNTA(B120:K120)=0,"",IF(AND(G120="Yes",H120="Yes",I120="Yes",J120="Yes"),"Verified",IF(G120="No","Not Required","Needs Review")))</x:f>
      </x:c>
      <x:c r="M120" s="15" t="str">
        <x:f>IF(COUNTA(B120:K120)=0,"",TEXTJOIN("; ",TRUE,IF(B120="","Missing work date",""),IF(C120="","Missing project",""),IF(F120="","Missing asset type",""),IF(AND(G120="Yes",H120&lt;&gt;"Yes"),"Required asset not uploaded",""),IF(AND(H120="Yes",I120&lt;&gt;"Yes"),"Missing GPS metadata",""),IF(AND(H120="Yes",J120&lt;&gt;"Yes"),"Missing timestamp metadata",""),IF(AND(H120="Yes",K120=""),"Missing file link","")))</x:f>
      </x:c>
    </x:row>
    <x:row r="121" ht="20" customHeight="1">
      <x:c r="A121" s="15"/>
      <x:c r="B121" s="28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 t="str">
        <x:f>IF(COUNTA(B121:K121)=0,"",IF(AND(G121="Yes",H121="Yes",I121="Yes",J121="Yes"),"Verified",IF(G121="No","Not Required","Needs Review")))</x:f>
      </x:c>
      <x:c r="M121" s="15" t="str">
        <x:f>IF(COUNTA(B121:K121)=0,"",TEXTJOIN("; ",TRUE,IF(B121="","Missing work date",""),IF(C121="","Missing project",""),IF(F121="","Missing asset type",""),IF(AND(G121="Yes",H121&lt;&gt;"Yes"),"Required asset not uploaded",""),IF(AND(H121="Yes",I121&lt;&gt;"Yes"),"Missing GPS metadata",""),IF(AND(H121="Yes",J121&lt;&gt;"Yes"),"Missing timestamp metadata",""),IF(AND(H121="Yes",K121=""),"Missing file link","")))</x:f>
      </x:c>
    </x:row>
    <x:row r="122" ht="20" customHeight="1">
      <x:c r="A122" s="15"/>
      <x:c r="B122" s="28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 t="str">
        <x:f>IF(COUNTA(B122:K122)=0,"",IF(AND(G122="Yes",H122="Yes",I122="Yes",J122="Yes"),"Verified",IF(G122="No","Not Required","Needs Review")))</x:f>
      </x:c>
      <x:c r="M122" s="15" t="str">
        <x:f>IF(COUNTA(B122:K122)=0,"",TEXTJOIN("; ",TRUE,IF(B122="","Missing work date",""),IF(C122="","Missing project",""),IF(F122="","Missing asset type",""),IF(AND(G122="Yes",H122&lt;&gt;"Yes"),"Required asset not uploaded",""),IF(AND(H122="Yes",I122&lt;&gt;"Yes"),"Missing GPS metadata",""),IF(AND(H122="Yes",J122&lt;&gt;"Yes"),"Missing timestamp metadata",""),IF(AND(H122="Yes",K122=""),"Missing file link","")))</x:f>
      </x:c>
    </x:row>
    <x:row r="123" ht="20" customHeight="1">
      <x:c r="A123" s="15"/>
      <x:c r="B123" s="28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 t="str">
        <x:f>IF(COUNTA(B123:K123)=0,"",IF(AND(G123="Yes",H123="Yes",I123="Yes",J123="Yes"),"Verified",IF(G123="No","Not Required","Needs Review")))</x:f>
      </x:c>
      <x:c r="M123" s="15" t="str">
        <x:f>IF(COUNTA(B123:K123)=0,"",TEXTJOIN("; ",TRUE,IF(B123="","Missing work date",""),IF(C123="","Missing project",""),IF(F123="","Missing asset type",""),IF(AND(G123="Yes",H123&lt;&gt;"Yes"),"Required asset not uploaded",""),IF(AND(H123="Yes",I123&lt;&gt;"Yes"),"Missing GPS metadata",""),IF(AND(H123="Yes",J123&lt;&gt;"Yes"),"Missing timestamp metadata",""),IF(AND(H123="Yes",K123=""),"Missing file link","")))</x:f>
      </x:c>
    </x:row>
    <x:row r="124" ht="20" customHeight="1">
      <x:c r="A124" s="15"/>
      <x:c r="B124" s="28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 t="str">
        <x:f>IF(COUNTA(B124:K124)=0,"",IF(AND(G124="Yes",H124="Yes",I124="Yes",J124="Yes"),"Verified",IF(G124="No","Not Required","Needs Review")))</x:f>
      </x:c>
      <x:c r="M124" s="15" t="str">
        <x:f>IF(COUNTA(B124:K124)=0,"",TEXTJOIN("; ",TRUE,IF(B124="","Missing work date",""),IF(C124="","Missing project",""),IF(F124="","Missing asset type",""),IF(AND(G124="Yes",H124&lt;&gt;"Yes"),"Required asset not uploaded",""),IF(AND(H124="Yes",I124&lt;&gt;"Yes"),"Missing GPS metadata",""),IF(AND(H124="Yes",J124&lt;&gt;"Yes"),"Missing timestamp metadata",""),IF(AND(H124="Yes",K124=""),"Missing file link","")))</x:f>
      </x:c>
    </x:row>
    <x:row r="125" ht="20" customHeight="1">
      <x:c r="A125" s="15"/>
      <x:c r="B125" s="28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 t="str">
        <x:f>IF(COUNTA(B125:K125)=0,"",IF(AND(G125="Yes",H125="Yes",I125="Yes",J125="Yes"),"Verified",IF(G125="No","Not Required","Needs Review")))</x:f>
      </x:c>
      <x:c r="M125" s="15" t="str">
        <x:f>IF(COUNTA(B125:K125)=0,"",TEXTJOIN("; ",TRUE,IF(B125="","Missing work date",""),IF(C125="","Missing project",""),IF(F125="","Missing asset type",""),IF(AND(G125="Yes",H125&lt;&gt;"Yes"),"Required asset not uploaded",""),IF(AND(H125="Yes",I125&lt;&gt;"Yes"),"Missing GPS metadata",""),IF(AND(H125="Yes",J125&lt;&gt;"Yes"),"Missing timestamp metadata",""),IF(AND(H125="Yes",K125=""),"Missing file link","")))</x:f>
      </x:c>
    </x:row>
    <x:row r="126" ht="20" customHeight="1">
      <x:c r="A126" s="15"/>
      <x:c r="B126" s="28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 t="str">
        <x:f>IF(COUNTA(B126:K126)=0,"",IF(AND(G126="Yes",H126="Yes",I126="Yes",J126="Yes"),"Verified",IF(G126="No","Not Required","Needs Review")))</x:f>
      </x:c>
      <x:c r="M126" s="15" t="str">
        <x:f>IF(COUNTA(B126:K126)=0,"",TEXTJOIN("; ",TRUE,IF(B126="","Missing work date",""),IF(C126="","Missing project",""),IF(F126="","Missing asset type",""),IF(AND(G126="Yes",H126&lt;&gt;"Yes"),"Required asset not uploaded",""),IF(AND(H126="Yes",I126&lt;&gt;"Yes"),"Missing GPS metadata",""),IF(AND(H126="Yes",J126&lt;&gt;"Yes"),"Missing timestamp metadata",""),IF(AND(H126="Yes",K126=""),"Missing file link","")))</x:f>
      </x:c>
    </x:row>
    <x:row r="127" ht="20" customHeight="1">
      <x:c r="A127" s="15"/>
      <x:c r="B127" s="28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 t="str">
        <x:f>IF(COUNTA(B127:K127)=0,"",IF(AND(G127="Yes",H127="Yes",I127="Yes",J127="Yes"),"Verified",IF(G127="No","Not Required","Needs Review")))</x:f>
      </x:c>
      <x:c r="M127" s="15" t="str">
        <x:f>IF(COUNTA(B127:K127)=0,"",TEXTJOIN("; ",TRUE,IF(B127="","Missing work date",""),IF(C127="","Missing project",""),IF(F127="","Missing asset type",""),IF(AND(G127="Yes",H127&lt;&gt;"Yes"),"Required asset not uploaded",""),IF(AND(H127="Yes",I127&lt;&gt;"Yes"),"Missing GPS metadata",""),IF(AND(H127="Yes",J127&lt;&gt;"Yes"),"Missing timestamp metadata",""),IF(AND(H127="Yes",K127=""),"Missing file link","")))</x:f>
      </x:c>
    </x:row>
    <x:row r="128" ht="20" customHeight="1">
      <x:c r="A128" s="15"/>
      <x:c r="B128" s="28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 t="str">
        <x:f>IF(COUNTA(B128:K128)=0,"",IF(AND(G128="Yes",H128="Yes",I128="Yes",J128="Yes"),"Verified",IF(G128="No","Not Required","Needs Review")))</x:f>
      </x:c>
      <x:c r="M128" s="15" t="str">
        <x:f>IF(COUNTA(B128:K128)=0,"",TEXTJOIN("; ",TRUE,IF(B128="","Missing work date",""),IF(C128="","Missing project",""),IF(F128="","Missing asset type",""),IF(AND(G128="Yes",H128&lt;&gt;"Yes"),"Required asset not uploaded",""),IF(AND(H128="Yes",I128&lt;&gt;"Yes"),"Missing GPS metadata",""),IF(AND(H128="Yes",J128&lt;&gt;"Yes"),"Missing timestamp metadata",""),IF(AND(H128="Yes",K128=""),"Missing file link","")))</x:f>
      </x:c>
    </x:row>
    <x:row r="129" ht="20" customHeight="1">
      <x:c r="A129" s="15"/>
      <x:c r="B129" s="28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 t="str">
        <x:f>IF(COUNTA(B129:K129)=0,"",IF(AND(G129="Yes",H129="Yes",I129="Yes",J129="Yes"),"Verified",IF(G129="No","Not Required","Needs Review")))</x:f>
      </x:c>
      <x:c r="M129" s="15" t="str">
        <x:f>IF(COUNTA(B129:K129)=0,"",TEXTJOIN("; ",TRUE,IF(B129="","Missing work date",""),IF(C129="","Missing project",""),IF(F129="","Missing asset type",""),IF(AND(G129="Yes",H129&lt;&gt;"Yes"),"Required asset not uploaded",""),IF(AND(H129="Yes",I129&lt;&gt;"Yes"),"Missing GPS metadata",""),IF(AND(H129="Yes",J129&lt;&gt;"Yes"),"Missing timestamp metadata",""),IF(AND(H129="Yes",K129=""),"Missing file link","")))</x:f>
      </x:c>
    </x:row>
    <x:row r="130" ht="20" customHeight="1">
      <x:c r="A130" s="15"/>
      <x:c r="B130" s="28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 t="str">
        <x:f>IF(COUNTA(B130:K130)=0,"",IF(AND(G130="Yes",H130="Yes",I130="Yes",J130="Yes"),"Verified",IF(G130="No","Not Required","Needs Review")))</x:f>
      </x:c>
      <x:c r="M130" s="15" t="str">
        <x:f>IF(COUNTA(B130:K130)=0,"",TEXTJOIN("; ",TRUE,IF(B130="","Missing work date",""),IF(C130="","Missing project",""),IF(F130="","Missing asset type",""),IF(AND(G130="Yes",H130&lt;&gt;"Yes"),"Required asset not uploaded",""),IF(AND(H130="Yes",I130&lt;&gt;"Yes"),"Missing GPS metadata",""),IF(AND(H130="Yes",J130&lt;&gt;"Yes"),"Missing timestamp metadata",""),IF(AND(H130="Yes",K130=""),"Missing file link","")))</x:f>
      </x:c>
    </x:row>
    <x:row r="131" ht="20" customHeight="1">
      <x:c r="A131" s="15"/>
      <x:c r="B131" s="28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 t="str">
        <x:f>IF(COUNTA(B131:K131)=0,"",IF(AND(G131="Yes",H131="Yes",I131="Yes",J131="Yes"),"Verified",IF(G131="No","Not Required","Needs Review")))</x:f>
      </x:c>
      <x:c r="M131" s="15" t="str">
        <x:f>IF(COUNTA(B131:K131)=0,"",TEXTJOIN("; ",TRUE,IF(B131="","Missing work date",""),IF(C131="","Missing project",""),IF(F131="","Missing asset type",""),IF(AND(G131="Yes",H131&lt;&gt;"Yes"),"Required asset not uploaded",""),IF(AND(H131="Yes",I131&lt;&gt;"Yes"),"Missing GPS metadata",""),IF(AND(H131="Yes",J131&lt;&gt;"Yes"),"Missing timestamp metadata",""),IF(AND(H131="Yes",K131=""),"Missing file link","")))</x:f>
      </x:c>
    </x:row>
    <x:row r="132" ht="20" customHeight="1">
      <x:c r="A132" s="15"/>
      <x:c r="B132" s="28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 t="str">
        <x:f>IF(COUNTA(B132:K132)=0,"",IF(AND(G132="Yes",H132="Yes",I132="Yes",J132="Yes"),"Verified",IF(G132="No","Not Required","Needs Review")))</x:f>
      </x:c>
      <x:c r="M132" s="15" t="str">
        <x:f>IF(COUNTA(B132:K132)=0,"",TEXTJOIN("; ",TRUE,IF(B132="","Missing work date",""),IF(C132="","Missing project",""),IF(F132="","Missing asset type",""),IF(AND(G132="Yes",H132&lt;&gt;"Yes"),"Required asset not uploaded",""),IF(AND(H132="Yes",I132&lt;&gt;"Yes"),"Missing GPS metadata",""),IF(AND(H132="Yes",J132&lt;&gt;"Yes"),"Missing timestamp metadata",""),IF(AND(H132="Yes",K132=""),"Missing file link","")))</x:f>
      </x:c>
    </x:row>
    <x:row r="133" ht="20" customHeight="1">
      <x:c r="A133" s="15"/>
      <x:c r="B133" s="28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 t="str">
        <x:f>IF(COUNTA(B133:K133)=0,"",IF(AND(G133="Yes",H133="Yes",I133="Yes",J133="Yes"),"Verified",IF(G133="No","Not Required","Needs Review")))</x:f>
      </x:c>
      <x:c r="M133" s="15" t="str">
        <x:f>IF(COUNTA(B133:K133)=0,"",TEXTJOIN("; ",TRUE,IF(B133="","Missing work date",""),IF(C133="","Missing project",""),IF(F133="","Missing asset type",""),IF(AND(G133="Yes",H133&lt;&gt;"Yes"),"Required asset not uploaded",""),IF(AND(H133="Yes",I133&lt;&gt;"Yes"),"Missing GPS metadata",""),IF(AND(H133="Yes",J133&lt;&gt;"Yes"),"Missing timestamp metadata",""),IF(AND(H133="Yes",K133=""),"Missing file link","")))</x:f>
      </x:c>
    </x:row>
    <x:row r="134" ht="20" customHeight="1">
      <x:c r="A134" s="15"/>
      <x:c r="B134" s="28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 t="str">
        <x:f>IF(COUNTA(B134:K134)=0,"",IF(AND(G134="Yes",H134="Yes",I134="Yes",J134="Yes"),"Verified",IF(G134="No","Not Required","Needs Review")))</x:f>
      </x:c>
      <x:c r="M134" s="15" t="str">
        <x:f>IF(COUNTA(B134:K134)=0,"",TEXTJOIN("; ",TRUE,IF(B134="","Missing work date",""),IF(C134="","Missing project",""),IF(F134="","Missing asset type",""),IF(AND(G134="Yes",H134&lt;&gt;"Yes"),"Required asset not uploaded",""),IF(AND(H134="Yes",I134&lt;&gt;"Yes"),"Missing GPS metadata",""),IF(AND(H134="Yes",J134&lt;&gt;"Yes"),"Missing timestamp metadata",""),IF(AND(H134="Yes",K134=""),"Missing file link","")))</x:f>
      </x:c>
    </x:row>
    <x:row r="135" ht="20" customHeight="1">
      <x:c r="A135" s="15"/>
      <x:c r="B135" s="28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 t="str">
        <x:f>IF(COUNTA(B135:K135)=0,"",IF(AND(G135="Yes",H135="Yes",I135="Yes",J135="Yes"),"Verified",IF(G135="No","Not Required","Needs Review")))</x:f>
      </x:c>
      <x:c r="M135" s="15" t="str">
        <x:f>IF(COUNTA(B135:K135)=0,"",TEXTJOIN("; ",TRUE,IF(B135="","Missing work date",""),IF(C135="","Missing project",""),IF(F135="","Missing asset type",""),IF(AND(G135="Yes",H135&lt;&gt;"Yes"),"Required asset not uploaded",""),IF(AND(H135="Yes",I135&lt;&gt;"Yes"),"Missing GPS metadata",""),IF(AND(H135="Yes",J135&lt;&gt;"Yes"),"Missing timestamp metadata",""),IF(AND(H135="Yes",K135=""),"Missing file link","")))</x:f>
      </x:c>
    </x:row>
    <x:row r="136" ht="20" customHeight="1">
      <x:c r="A136" s="15"/>
      <x:c r="B136" s="28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 t="str">
        <x:f>IF(COUNTA(B136:K136)=0,"",IF(AND(G136="Yes",H136="Yes",I136="Yes",J136="Yes"),"Verified",IF(G136="No","Not Required","Needs Review")))</x:f>
      </x:c>
      <x:c r="M136" s="15" t="str">
        <x:f>IF(COUNTA(B136:K136)=0,"",TEXTJOIN("; ",TRUE,IF(B136="","Missing work date",""),IF(C136="","Missing project",""),IF(F136="","Missing asset type",""),IF(AND(G136="Yes",H136&lt;&gt;"Yes"),"Required asset not uploaded",""),IF(AND(H136="Yes",I136&lt;&gt;"Yes"),"Missing GPS metadata",""),IF(AND(H136="Yes",J136&lt;&gt;"Yes"),"Missing timestamp metadata",""),IF(AND(H136="Yes",K136=""),"Missing file link","")))</x:f>
      </x:c>
    </x:row>
    <x:row r="137" ht="20" customHeight="1">
      <x:c r="A137" s="15"/>
      <x:c r="B137" s="28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 t="str">
        <x:f>IF(COUNTA(B137:K137)=0,"",IF(AND(G137="Yes",H137="Yes",I137="Yes",J137="Yes"),"Verified",IF(G137="No","Not Required","Needs Review")))</x:f>
      </x:c>
      <x:c r="M137" s="15" t="str">
        <x:f>IF(COUNTA(B137:K137)=0,"",TEXTJOIN("; ",TRUE,IF(B137="","Missing work date",""),IF(C137="","Missing project",""),IF(F137="","Missing asset type",""),IF(AND(G137="Yes",H137&lt;&gt;"Yes"),"Required asset not uploaded",""),IF(AND(H137="Yes",I137&lt;&gt;"Yes"),"Missing GPS metadata",""),IF(AND(H137="Yes",J137&lt;&gt;"Yes"),"Missing timestamp metadata",""),IF(AND(H137="Yes",K137=""),"Missing file link","")))</x:f>
      </x:c>
    </x:row>
    <x:row r="138" ht="20" customHeight="1">
      <x:c r="A138" s="15"/>
      <x:c r="B138" s="28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 t="str">
        <x:f>IF(COUNTA(B138:K138)=0,"",IF(AND(G138="Yes",H138="Yes",I138="Yes",J138="Yes"),"Verified",IF(G138="No","Not Required","Needs Review")))</x:f>
      </x:c>
      <x:c r="M138" s="15" t="str">
        <x:f>IF(COUNTA(B138:K138)=0,"",TEXTJOIN("; ",TRUE,IF(B138="","Missing work date",""),IF(C138="","Missing project",""),IF(F138="","Missing asset type",""),IF(AND(G138="Yes",H138&lt;&gt;"Yes"),"Required asset not uploaded",""),IF(AND(H138="Yes",I138&lt;&gt;"Yes"),"Missing GPS metadata",""),IF(AND(H138="Yes",J138&lt;&gt;"Yes"),"Missing timestamp metadata",""),IF(AND(H138="Yes",K138=""),"Missing file link","")))</x:f>
      </x:c>
    </x:row>
    <x:row r="139" ht="20" customHeight="1">
      <x:c r="A139" s="15"/>
      <x:c r="B139" s="28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 t="str">
        <x:f>IF(COUNTA(B139:K139)=0,"",IF(AND(G139="Yes",H139="Yes",I139="Yes",J139="Yes"),"Verified",IF(G139="No","Not Required","Needs Review")))</x:f>
      </x:c>
      <x:c r="M139" s="15" t="str">
        <x:f>IF(COUNTA(B139:K139)=0,"",TEXTJOIN("; ",TRUE,IF(B139="","Missing work date",""),IF(C139="","Missing project",""),IF(F139="","Missing asset type",""),IF(AND(G139="Yes",H139&lt;&gt;"Yes"),"Required asset not uploaded",""),IF(AND(H139="Yes",I139&lt;&gt;"Yes"),"Missing GPS metadata",""),IF(AND(H139="Yes",J139&lt;&gt;"Yes"),"Missing timestamp metadata",""),IF(AND(H139="Yes",K139=""),"Missing file link","")))</x:f>
      </x:c>
    </x:row>
    <x:row r="140" ht="20" customHeight="1">
      <x:c r="A140" s="15"/>
      <x:c r="B140" s="28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 t="str">
        <x:f>IF(COUNTA(B140:K140)=0,"",IF(AND(G140="Yes",H140="Yes",I140="Yes",J140="Yes"),"Verified",IF(G140="No","Not Required","Needs Review")))</x:f>
      </x:c>
      <x:c r="M140" s="15" t="str">
        <x:f>IF(COUNTA(B140:K140)=0,"",TEXTJOIN("; ",TRUE,IF(B140="","Missing work date",""),IF(C140="","Missing project",""),IF(F140="","Missing asset type",""),IF(AND(G140="Yes",H140&lt;&gt;"Yes"),"Required asset not uploaded",""),IF(AND(H140="Yes",I140&lt;&gt;"Yes"),"Missing GPS metadata",""),IF(AND(H140="Yes",J140&lt;&gt;"Yes"),"Missing timestamp metadata",""),IF(AND(H140="Yes",K140=""),"Missing file link","")))</x:f>
      </x:c>
    </x:row>
    <x:row r="141" ht="20" customHeight="1">
      <x:c r="A141" s="15"/>
      <x:c r="B141" s="28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 t="str">
        <x:f>IF(COUNTA(B141:K141)=0,"",IF(AND(G141="Yes",H141="Yes",I141="Yes",J141="Yes"),"Verified",IF(G141="No","Not Required","Needs Review")))</x:f>
      </x:c>
      <x:c r="M141" s="15" t="str">
        <x:f>IF(COUNTA(B141:K141)=0,"",TEXTJOIN("; ",TRUE,IF(B141="","Missing work date",""),IF(C141="","Missing project",""),IF(F141="","Missing asset type",""),IF(AND(G141="Yes",H141&lt;&gt;"Yes"),"Required asset not uploaded",""),IF(AND(H141="Yes",I141&lt;&gt;"Yes"),"Missing GPS metadata",""),IF(AND(H141="Yes",J141&lt;&gt;"Yes"),"Missing timestamp metadata",""),IF(AND(H141="Yes",K141=""),"Missing file link","")))</x:f>
      </x:c>
    </x:row>
    <x:row r="142" ht="20" customHeight="1">
      <x:c r="A142" s="15"/>
      <x:c r="B142" s="28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 t="str">
        <x:f>IF(COUNTA(B142:K142)=0,"",IF(AND(G142="Yes",H142="Yes",I142="Yes",J142="Yes"),"Verified",IF(G142="No","Not Required","Needs Review")))</x:f>
      </x:c>
      <x:c r="M142" s="15" t="str">
        <x:f>IF(COUNTA(B142:K142)=0,"",TEXTJOIN("; ",TRUE,IF(B142="","Missing work date",""),IF(C142="","Missing project",""),IF(F142="","Missing asset type",""),IF(AND(G142="Yes",H142&lt;&gt;"Yes"),"Required asset not uploaded",""),IF(AND(H142="Yes",I142&lt;&gt;"Yes"),"Missing GPS metadata",""),IF(AND(H142="Yes",J142&lt;&gt;"Yes"),"Missing timestamp metadata",""),IF(AND(H142="Yes",K142=""),"Missing file link","")))</x:f>
      </x:c>
    </x:row>
    <x:row r="143" ht="20" customHeight="1">
      <x:c r="A143" s="15"/>
      <x:c r="B143" s="28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 t="str">
        <x:f>IF(COUNTA(B143:K143)=0,"",IF(AND(G143="Yes",H143="Yes",I143="Yes",J143="Yes"),"Verified",IF(G143="No","Not Required","Needs Review")))</x:f>
      </x:c>
      <x:c r="M143" s="15" t="str">
        <x:f>IF(COUNTA(B143:K143)=0,"",TEXTJOIN("; ",TRUE,IF(B143="","Missing work date",""),IF(C143="","Missing project",""),IF(F143="","Missing asset type",""),IF(AND(G143="Yes",H143&lt;&gt;"Yes"),"Required asset not uploaded",""),IF(AND(H143="Yes",I143&lt;&gt;"Yes"),"Missing GPS metadata",""),IF(AND(H143="Yes",J143&lt;&gt;"Yes"),"Missing timestamp metadata",""),IF(AND(H143="Yes",K143=""),"Missing file link","")))</x:f>
      </x:c>
    </x:row>
    <x:row r="144" ht="20" customHeight="1">
      <x:c r="A144" s="15"/>
      <x:c r="B144" s="28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 t="str">
        <x:f>IF(COUNTA(B144:K144)=0,"",IF(AND(G144="Yes",H144="Yes",I144="Yes",J144="Yes"),"Verified",IF(G144="No","Not Required","Needs Review")))</x:f>
      </x:c>
      <x:c r="M144" s="15" t="str">
        <x:f>IF(COUNTA(B144:K144)=0,"",TEXTJOIN("; ",TRUE,IF(B144="","Missing work date",""),IF(C144="","Missing project",""),IF(F144="","Missing asset type",""),IF(AND(G144="Yes",H144&lt;&gt;"Yes"),"Required asset not uploaded",""),IF(AND(H144="Yes",I144&lt;&gt;"Yes"),"Missing GPS metadata",""),IF(AND(H144="Yes",J144&lt;&gt;"Yes"),"Missing timestamp metadata",""),IF(AND(H144="Yes",K144=""),"Missing file link","")))</x:f>
      </x:c>
    </x:row>
    <x:row r="145" ht="20" customHeight="1">
      <x:c r="A145" s="15"/>
      <x:c r="B145" s="28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 t="str">
        <x:f>IF(COUNTA(B145:K145)=0,"",IF(AND(G145="Yes",H145="Yes",I145="Yes",J145="Yes"),"Verified",IF(G145="No","Not Required","Needs Review")))</x:f>
      </x:c>
      <x:c r="M145" s="15" t="str">
        <x:f>IF(COUNTA(B145:K145)=0,"",TEXTJOIN("; ",TRUE,IF(B145="","Missing work date",""),IF(C145="","Missing project",""),IF(F145="","Missing asset type",""),IF(AND(G145="Yes",H145&lt;&gt;"Yes"),"Required asset not uploaded",""),IF(AND(H145="Yes",I145&lt;&gt;"Yes"),"Missing GPS metadata",""),IF(AND(H145="Yes",J145&lt;&gt;"Yes"),"Missing timestamp metadata",""),IF(AND(H145="Yes",K145=""),"Missing file link","")))</x:f>
      </x:c>
    </x:row>
    <x:row r="146" ht="20" customHeight="1">
      <x:c r="A146" s="15"/>
      <x:c r="B146" s="28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 t="str">
        <x:f>IF(COUNTA(B146:K146)=0,"",IF(AND(G146="Yes",H146="Yes",I146="Yes",J146="Yes"),"Verified",IF(G146="No","Not Required","Needs Review")))</x:f>
      </x:c>
      <x:c r="M146" s="15" t="str">
        <x:f>IF(COUNTA(B146:K146)=0,"",TEXTJOIN("; ",TRUE,IF(B146="","Missing work date",""),IF(C146="","Missing project",""),IF(F146="","Missing asset type",""),IF(AND(G146="Yes",H146&lt;&gt;"Yes"),"Required asset not uploaded",""),IF(AND(H146="Yes",I146&lt;&gt;"Yes"),"Missing GPS metadata",""),IF(AND(H146="Yes",J146&lt;&gt;"Yes"),"Missing timestamp metadata",""),IF(AND(H146="Yes",K146=""),"Missing file link","")))</x:f>
      </x:c>
    </x:row>
    <x:row r="147" ht="20" customHeight="1">
      <x:c r="A147" s="15"/>
      <x:c r="B147" s="28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 t="str">
        <x:f>IF(COUNTA(B147:K147)=0,"",IF(AND(G147="Yes",H147="Yes",I147="Yes",J147="Yes"),"Verified",IF(G147="No","Not Required","Needs Review")))</x:f>
      </x:c>
      <x:c r="M147" s="15" t="str">
        <x:f>IF(COUNTA(B147:K147)=0,"",TEXTJOIN("; ",TRUE,IF(B147="","Missing work date",""),IF(C147="","Missing project",""),IF(F147="","Missing asset type",""),IF(AND(G147="Yes",H147&lt;&gt;"Yes"),"Required asset not uploaded",""),IF(AND(H147="Yes",I147&lt;&gt;"Yes"),"Missing GPS metadata",""),IF(AND(H147="Yes",J147&lt;&gt;"Yes"),"Missing timestamp metadata",""),IF(AND(H147="Yes",K147=""),"Missing file link","")))</x:f>
      </x:c>
    </x:row>
    <x:row r="148" ht="20" customHeight="1">
      <x:c r="A148" s="15"/>
      <x:c r="B148" s="28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 t="str">
        <x:f>IF(COUNTA(B148:K148)=0,"",IF(AND(G148="Yes",H148="Yes",I148="Yes",J148="Yes"),"Verified",IF(G148="No","Not Required","Needs Review")))</x:f>
      </x:c>
      <x:c r="M148" s="15" t="str">
        <x:f>IF(COUNTA(B148:K148)=0,"",TEXTJOIN("; ",TRUE,IF(B148="","Missing work date",""),IF(C148="","Missing project",""),IF(F148="","Missing asset type",""),IF(AND(G148="Yes",H148&lt;&gt;"Yes"),"Required asset not uploaded",""),IF(AND(H148="Yes",I148&lt;&gt;"Yes"),"Missing GPS metadata",""),IF(AND(H148="Yes",J148&lt;&gt;"Yes"),"Missing timestamp metadata",""),IF(AND(H148="Yes",K148=""),"Missing file link","")))</x:f>
      </x:c>
    </x:row>
    <x:row r="149" ht="20" customHeight="1">
      <x:c r="A149" s="15"/>
      <x:c r="B149" s="28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 t="str">
        <x:f>IF(COUNTA(B149:K149)=0,"",IF(AND(G149="Yes",H149="Yes",I149="Yes",J149="Yes"),"Verified",IF(G149="No","Not Required","Needs Review")))</x:f>
      </x:c>
      <x:c r="M149" s="15" t="str">
        <x:f>IF(COUNTA(B149:K149)=0,"",TEXTJOIN("; ",TRUE,IF(B149="","Missing work date",""),IF(C149="","Missing project",""),IF(F149="","Missing asset type",""),IF(AND(G149="Yes",H149&lt;&gt;"Yes"),"Required asset not uploaded",""),IF(AND(H149="Yes",I149&lt;&gt;"Yes"),"Missing GPS metadata",""),IF(AND(H149="Yes",J149&lt;&gt;"Yes"),"Missing timestamp metadata",""),IF(AND(H149="Yes",K149=""),"Missing file link","")))</x:f>
      </x:c>
    </x:row>
    <x:row r="150" ht="20" customHeight="1">
      <x:c r="A150" s="15"/>
      <x:c r="B150" s="28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 t="str">
        <x:f>IF(COUNTA(B150:K150)=0,"",IF(AND(G150="Yes",H150="Yes",I150="Yes",J150="Yes"),"Verified",IF(G150="No","Not Required","Needs Review")))</x:f>
      </x:c>
      <x:c r="M150" s="15" t="str">
        <x:f>IF(COUNTA(B150:K150)=0,"",TEXTJOIN("; ",TRUE,IF(B150="","Missing work date",""),IF(C150="","Missing project",""),IF(F150="","Missing asset type",""),IF(AND(G150="Yes",H150&lt;&gt;"Yes"),"Required asset not uploaded",""),IF(AND(H150="Yes",I150&lt;&gt;"Yes"),"Missing GPS metadata",""),IF(AND(H150="Yes",J150&lt;&gt;"Yes"),"Missing timestamp metadata",""),IF(AND(H150="Yes",K150=""),"Missing file link","")))</x:f>
      </x:c>
    </x:row>
    <x:row r="151" ht="20" customHeight="1">
      <x:c r="A151" s="15"/>
      <x:c r="B151" s="28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 t="str">
        <x:f>IF(COUNTA(B151:K151)=0,"",IF(AND(G151="Yes",H151="Yes",I151="Yes",J151="Yes"),"Verified",IF(G151="No","Not Required","Needs Review")))</x:f>
      </x:c>
      <x:c r="M151" s="15" t="str">
        <x:f>IF(COUNTA(B151:K151)=0,"",TEXTJOIN("; ",TRUE,IF(B151="","Missing work date",""),IF(C151="","Missing project",""),IF(F151="","Missing asset type",""),IF(AND(G151="Yes",H151&lt;&gt;"Yes"),"Required asset not uploaded",""),IF(AND(H151="Yes",I151&lt;&gt;"Yes"),"Missing GPS metadata",""),IF(AND(H151="Yes",J151&lt;&gt;"Yes"),"Missing timestamp metadata",""),IF(AND(H151="Yes",K151=""),"Missing file link","")))</x:f>
      </x:c>
    </x:row>
    <x:row r="152" ht="20" customHeight="1">
      <x:c r="A152" s="15"/>
      <x:c r="B152" s="28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 t="str">
        <x:f>IF(COUNTA(B152:K152)=0,"",IF(AND(G152="Yes",H152="Yes",I152="Yes",J152="Yes"),"Verified",IF(G152="No","Not Required","Needs Review")))</x:f>
      </x:c>
      <x:c r="M152" s="15" t="str">
        <x:f>IF(COUNTA(B152:K152)=0,"",TEXTJOIN("; ",TRUE,IF(B152="","Missing work date",""),IF(C152="","Missing project",""),IF(F152="","Missing asset type",""),IF(AND(G152="Yes",H152&lt;&gt;"Yes"),"Required asset not uploaded",""),IF(AND(H152="Yes",I152&lt;&gt;"Yes"),"Missing GPS metadata",""),IF(AND(H152="Yes",J152&lt;&gt;"Yes"),"Missing timestamp metadata",""),IF(AND(H152="Yes",K152=""),"Missing file link","")))</x:f>
      </x:c>
    </x:row>
    <x:row r="153" ht="20" customHeight="1">
      <x:c r="A153" s="15"/>
      <x:c r="B153" s="28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 t="str">
        <x:f>IF(COUNTA(B153:K153)=0,"",IF(AND(G153="Yes",H153="Yes",I153="Yes",J153="Yes"),"Verified",IF(G153="No","Not Required","Needs Review")))</x:f>
      </x:c>
      <x:c r="M153" s="15" t="str">
        <x:f>IF(COUNTA(B153:K153)=0,"",TEXTJOIN("; ",TRUE,IF(B153="","Missing work date",""),IF(C153="","Missing project",""),IF(F153="","Missing asset type",""),IF(AND(G153="Yes",H153&lt;&gt;"Yes"),"Required asset not uploaded",""),IF(AND(H153="Yes",I153&lt;&gt;"Yes"),"Missing GPS metadata",""),IF(AND(H153="Yes",J153&lt;&gt;"Yes"),"Missing timestamp metadata",""),IF(AND(H153="Yes",K153=""),"Missing file link","")))</x:f>
      </x:c>
    </x:row>
    <x:row r="154" ht="20" customHeight="1">
      <x:c r="A154" s="15"/>
      <x:c r="B154" s="28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 t="str">
        <x:f>IF(COUNTA(B154:K154)=0,"",IF(AND(G154="Yes",H154="Yes",I154="Yes",J154="Yes"),"Verified",IF(G154="No","Not Required","Needs Review")))</x:f>
      </x:c>
      <x:c r="M154" s="15" t="str">
        <x:f>IF(COUNTA(B154:K154)=0,"",TEXTJOIN("; ",TRUE,IF(B154="","Missing work date",""),IF(C154="","Missing project",""),IF(F154="","Missing asset type",""),IF(AND(G154="Yes",H154&lt;&gt;"Yes"),"Required asset not uploaded",""),IF(AND(H154="Yes",I154&lt;&gt;"Yes"),"Missing GPS metadata",""),IF(AND(H154="Yes",J154&lt;&gt;"Yes"),"Missing timestamp metadata",""),IF(AND(H154="Yes",K154=""),"Missing file link","")))</x:f>
      </x:c>
    </x:row>
    <x:row r="155" ht="20" customHeight="1">
      <x:c r="A155" s="15"/>
      <x:c r="B155" s="28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 t="str">
        <x:f>IF(COUNTA(B155:K155)=0,"",IF(AND(G155="Yes",H155="Yes",I155="Yes",J155="Yes"),"Verified",IF(G155="No","Not Required","Needs Review")))</x:f>
      </x:c>
      <x:c r="M155" s="15" t="str">
        <x:f>IF(COUNTA(B155:K155)=0,"",TEXTJOIN("; ",TRUE,IF(B155="","Missing work date",""),IF(C155="","Missing project",""),IF(F155="","Missing asset type",""),IF(AND(G155="Yes",H155&lt;&gt;"Yes"),"Required asset not uploaded",""),IF(AND(H155="Yes",I155&lt;&gt;"Yes"),"Missing GPS metadata",""),IF(AND(H155="Yes",J155&lt;&gt;"Yes"),"Missing timestamp metadata",""),IF(AND(H155="Yes",K155=""),"Missing file link","")))</x:f>
      </x:c>
    </x:row>
    <x:row r="156" ht="20" customHeight="1">
      <x:c r="A156" s="15"/>
      <x:c r="B156" s="28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 t="str">
        <x:f>IF(COUNTA(B156:K156)=0,"",IF(AND(G156="Yes",H156="Yes",I156="Yes",J156="Yes"),"Verified",IF(G156="No","Not Required","Needs Review")))</x:f>
      </x:c>
      <x:c r="M156" s="15" t="str">
        <x:f>IF(COUNTA(B156:K156)=0,"",TEXTJOIN("; ",TRUE,IF(B156="","Missing work date",""),IF(C156="","Missing project",""),IF(F156="","Missing asset type",""),IF(AND(G156="Yes",H156&lt;&gt;"Yes"),"Required asset not uploaded",""),IF(AND(H156="Yes",I156&lt;&gt;"Yes"),"Missing GPS metadata",""),IF(AND(H156="Yes",J156&lt;&gt;"Yes"),"Missing timestamp metadata",""),IF(AND(H156="Yes",K156=""),"Missing file link","")))</x:f>
      </x:c>
    </x:row>
    <x:row r="157" ht="20" customHeight="1">
      <x:c r="A157" s="15"/>
      <x:c r="B157" s="28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 t="str">
        <x:f>IF(COUNTA(B157:K157)=0,"",IF(AND(G157="Yes",H157="Yes",I157="Yes",J157="Yes"),"Verified",IF(G157="No","Not Required","Needs Review")))</x:f>
      </x:c>
      <x:c r="M157" s="15" t="str">
        <x:f>IF(COUNTA(B157:K157)=0,"",TEXTJOIN("; ",TRUE,IF(B157="","Missing work date",""),IF(C157="","Missing project",""),IF(F157="","Missing asset type",""),IF(AND(G157="Yes",H157&lt;&gt;"Yes"),"Required asset not uploaded",""),IF(AND(H157="Yes",I157&lt;&gt;"Yes"),"Missing GPS metadata",""),IF(AND(H157="Yes",J157&lt;&gt;"Yes"),"Missing timestamp metadata",""),IF(AND(H157="Yes",K157=""),"Missing file link","")))</x:f>
      </x:c>
    </x:row>
    <x:row r="158" ht="20" customHeight="1">
      <x:c r="A158" s="15"/>
      <x:c r="B158" s="28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 t="str">
        <x:f>IF(COUNTA(B158:K158)=0,"",IF(AND(G158="Yes",H158="Yes",I158="Yes",J158="Yes"),"Verified",IF(G158="No","Not Required","Needs Review")))</x:f>
      </x:c>
      <x:c r="M158" s="15" t="str">
        <x:f>IF(COUNTA(B158:K158)=0,"",TEXTJOIN("; ",TRUE,IF(B158="","Missing work date",""),IF(C158="","Missing project",""),IF(F158="","Missing asset type",""),IF(AND(G158="Yes",H158&lt;&gt;"Yes"),"Required asset not uploaded",""),IF(AND(H158="Yes",I158&lt;&gt;"Yes"),"Missing GPS metadata",""),IF(AND(H158="Yes",J158&lt;&gt;"Yes"),"Missing timestamp metadata",""),IF(AND(H158="Yes",K158=""),"Missing file link","")))</x:f>
      </x:c>
    </x:row>
    <x:row r="159" ht="20" customHeight="1">
      <x:c r="A159" s="15"/>
      <x:c r="B159" s="28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 t="str">
        <x:f>IF(COUNTA(B159:K159)=0,"",IF(AND(G159="Yes",H159="Yes",I159="Yes",J159="Yes"),"Verified",IF(G159="No","Not Required","Needs Review")))</x:f>
      </x:c>
      <x:c r="M159" s="15" t="str">
        <x:f>IF(COUNTA(B159:K159)=0,"",TEXTJOIN("; ",TRUE,IF(B159="","Missing work date",""),IF(C159="","Missing project",""),IF(F159="","Missing asset type",""),IF(AND(G159="Yes",H159&lt;&gt;"Yes"),"Required asset not uploaded",""),IF(AND(H159="Yes",I159&lt;&gt;"Yes"),"Missing GPS metadata",""),IF(AND(H159="Yes",J159&lt;&gt;"Yes"),"Missing timestamp metadata",""),IF(AND(H159="Yes",K159=""),"Missing file link","")))</x:f>
      </x:c>
    </x:row>
    <x:row r="160" ht="20" customHeight="1">
      <x:c r="A160" s="15"/>
      <x:c r="B160" s="28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 t="str">
        <x:f>IF(COUNTA(B160:K160)=0,"",IF(AND(G160="Yes",H160="Yes",I160="Yes",J160="Yes"),"Verified",IF(G160="No","Not Required","Needs Review")))</x:f>
      </x:c>
      <x:c r="M160" s="15" t="str">
        <x:f>IF(COUNTA(B160:K160)=0,"",TEXTJOIN("; ",TRUE,IF(B160="","Missing work date",""),IF(C160="","Missing project",""),IF(F160="","Missing asset type",""),IF(AND(G160="Yes",H160&lt;&gt;"Yes"),"Required asset not uploaded",""),IF(AND(H160="Yes",I160&lt;&gt;"Yes"),"Missing GPS metadata",""),IF(AND(H160="Yes",J160&lt;&gt;"Yes"),"Missing timestamp metadata",""),IF(AND(H160="Yes",K160=""),"Missing file link","")))</x:f>
      </x:c>
    </x:row>
    <x:row r="161" ht="20" customHeight="1">
      <x:c r="A161" s="15"/>
      <x:c r="B161" s="28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 t="str">
        <x:f>IF(COUNTA(B161:K161)=0,"",IF(AND(G161="Yes",H161="Yes",I161="Yes",J161="Yes"),"Verified",IF(G161="No","Not Required","Needs Review")))</x:f>
      </x:c>
      <x:c r="M161" s="15" t="str">
        <x:f>IF(COUNTA(B161:K161)=0,"",TEXTJOIN("; ",TRUE,IF(B161="","Missing work date",""),IF(C161="","Missing project",""),IF(F161="","Missing asset type",""),IF(AND(G161="Yes",H161&lt;&gt;"Yes"),"Required asset not uploaded",""),IF(AND(H161="Yes",I161&lt;&gt;"Yes"),"Missing GPS metadata",""),IF(AND(H161="Yes",J161&lt;&gt;"Yes"),"Missing timestamp metadata",""),IF(AND(H161="Yes",K161=""),"Missing file link","")))</x:f>
      </x:c>
    </x:row>
    <x:row r="162" ht="20" customHeight="1">
      <x:c r="A162" s="15"/>
      <x:c r="B162" s="28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 t="str">
        <x:f>IF(COUNTA(B162:K162)=0,"",IF(AND(G162="Yes",H162="Yes",I162="Yes",J162="Yes"),"Verified",IF(G162="No","Not Required","Needs Review")))</x:f>
      </x:c>
      <x:c r="M162" s="15" t="str">
        <x:f>IF(COUNTA(B162:K162)=0,"",TEXTJOIN("; ",TRUE,IF(B162="","Missing work date",""),IF(C162="","Missing project",""),IF(F162="","Missing asset type",""),IF(AND(G162="Yes",H162&lt;&gt;"Yes"),"Required asset not uploaded",""),IF(AND(H162="Yes",I162&lt;&gt;"Yes"),"Missing GPS metadata",""),IF(AND(H162="Yes",J162&lt;&gt;"Yes"),"Missing timestamp metadata",""),IF(AND(H162="Yes",K162=""),"Missing file link","")))</x:f>
      </x:c>
    </x:row>
    <x:row r="163" ht="20" customHeight="1">
      <x:c r="A163" s="15"/>
      <x:c r="B163" s="28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 t="str">
        <x:f>IF(COUNTA(B163:K163)=0,"",IF(AND(G163="Yes",H163="Yes",I163="Yes",J163="Yes"),"Verified",IF(G163="No","Not Required","Needs Review")))</x:f>
      </x:c>
      <x:c r="M163" s="15" t="str">
        <x:f>IF(COUNTA(B163:K163)=0,"",TEXTJOIN("; ",TRUE,IF(B163="","Missing work date",""),IF(C163="","Missing project",""),IF(F163="","Missing asset type",""),IF(AND(G163="Yes",H163&lt;&gt;"Yes"),"Required asset not uploaded",""),IF(AND(H163="Yes",I163&lt;&gt;"Yes"),"Missing GPS metadata",""),IF(AND(H163="Yes",J163&lt;&gt;"Yes"),"Missing timestamp metadata",""),IF(AND(H163="Yes",K163=""),"Missing file link","")))</x:f>
      </x:c>
    </x:row>
    <x:row r="164" ht="20" customHeight="1">
      <x:c r="A164" s="15"/>
      <x:c r="B164" s="28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 t="str">
        <x:f>IF(COUNTA(B164:K164)=0,"",IF(AND(G164="Yes",H164="Yes",I164="Yes",J164="Yes"),"Verified",IF(G164="No","Not Required","Needs Review")))</x:f>
      </x:c>
      <x:c r="M164" s="15" t="str">
        <x:f>IF(COUNTA(B164:K164)=0,"",TEXTJOIN("; ",TRUE,IF(B164="","Missing work date",""),IF(C164="","Missing project",""),IF(F164="","Missing asset type",""),IF(AND(G164="Yes",H164&lt;&gt;"Yes"),"Required asset not uploaded",""),IF(AND(H164="Yes",I164&lt;&gt;"Yes"),"Missing GPS metadata",""),IF(AND(H164="Yes",J164&lt;&gt;"Yes"),"Missing timestamp metadata",""),IF(AND(H164="Yes",K164=""),"Missing file link","")))</x:f>
      </x:c>
    </x:row>
    <x:row r="165" ht="20" customHeight="1">
      <x:c r="A165" s="15"/>
      <x:c r="B165" s="28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 t="str">
        <x:f>IF(COUNTA(B165:K165)=0,"",IF(AND(G165="Yes",H165="Yes",I165="Yes",J165="Yes"),"Verified",IF(G165="No","Not Required","Needs Review")))</x:f>
      </x:c>
      <x:c r="M165" s="15" t="str">
        <x:f>IF(COUNTA(B165:K165)=0,"",TEXTJOIN("; ",TRUE,IF(B165="","Missing work date",""),IF(C165="","Missing project",""),IF(F165="","Missing asset type",""),IF(AND(G165="Yes",H165&lt;&gt;"Yes"),"Required asset not uploaded",""),IF(AND(H165="Yes",I165&lt;&gt;"Yes"),"Missing GPS metadata",""),IF(AND(H165="Yes",J165&lt;&gt;"Yes"),"Missing timestamp metadata",""),IF(AND(H165="Yes",K165=""),"Missing file link","")))</x:f>
      </x:c>
    </x:row>
    <x:row r="166" ht="20" customHeight="1">
      <x:c r="A166" s="15"/>
      <x:c r="B166" s="28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 t="str">
        <x:f>IF(COUNTA(B166:K166)=0,"",IF(AND(G166="Yes",H166="Yes",I166="Yes",J166="Yes"),"Verified",IF(G166="No","Not Required","Needs Review")))</x:f>
      </x:c>
      <x:c r="M166" s="15" t="str">
        <x:f>IF(COUNTA(B166:K166)=0,"",TEXTJOIN("; ",TRUE,IF(B166="","Missing work date",""),IF(C166="","Missing project",""),IF(F166="","Missing asset type",""),IF(AND(G166="Yes",H166&lt;&gt;"Yes"),"Required asset not uploaded",""),IF(AND(H166="Yes",I166&lt;&gt;"Yes"),"Missing GPS metadata",""),IF(AND(H166="Yes",J166&lt;&gt;"Yes"),"Missing timestamp metadata",""),IF(AND(H166="Yes",K166=""),"Missing file link","")))</x:f>
      </x:c>
    </x:row>
    <x:row r="167" ht="20" customHeight="1">
      <x:c r="A167" s="15"/>
      <x:c r="B167" s="28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 t="str">
        <x:f>IF(COUNTA(B167:K167)=0,"",IF(AND(G167="Yes",H167="Yes",I167="Yes",J167="Yes"),"Verified",IF(G167="No","Not Required","Needs Review")))</x:f>
      </x:c>
      <x:c r="M167" s="15" t="str">
        <x:f>IF(COUNTA(B167:K167)=0,"",TEXTJOIN("; ",TRUE,IF(B167="","Missing work date",""),IF(C167="","Missing project",""),IF(F167="","Missing asset type",""),IF(AND(G167="Yes",H167&lt;&gt;"Yes"),"Required asset not uploaded",""),IF(AND(H167="Yes",I167&lt;&gt;"Yes"),"Missing GPS metadata",""),IF(AND(H167="Yes",J167&lt;&gt;"Yes"),"Missing timestamp metadata",""),IF(AND(H167="Yes",K167=""),"Missing file link","")))</x:f>
      </x:c>
    </x:row>
    <x:row r="168" ht="20" customHeight="1">
      <x:c r="A168" s="15"/>
      <x:c r="B168" s="28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 t="str">
        <x:f>IF(COUNTA(B168:K168)=0,"",IF(AND(G168="Yes",H168="Yes",I168="Yes",J168="Yes"),"Verified",IF(G168="No","Not Required","Needs Review")))</x:f>
      </x:c>
      <x:c r="M168" s="15" t="str">
        <x:f>IF(COUNTA(B168:K168)=0,"",TEXTJOIN("; ",TRUE,IF(B168="","Missing work date",""),IF(C168="","Missing project",""),IF(F168="","Missing asset type",""),IF(AND(G168="Yes",H168&lt;&gt;"Yes"),"Required asset not uploaded",""),IF(AND(H168="Yes",I168&lt;&gt;"Yes"),"Missing GPS metadata",""),IF(AND(H168="Yes",J168&lt;&gt;"Yes"),"Missing timestamp metadata",""),IF(AND(H168="Yes",K168=""),"Missing file link","")))</x:f>
      </x:c>
    </x:row>
    <x:row r="169" ht="20" customHeight="1">
      <x:c r="A169" s="15"/>
      <x:c r="B169" s="28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 t="str">
        <x:f>IF(COUNTA(B169:K169)=0,"",IF(AND(G169="Yes",H169="Yes",I169="Yes",J169="Yes"),"Verified",IF(G169="No","Not Required","Needs Review")))</x:f>
      </x:c>
      <x:c r="M169" s="15" t="str">
        <x:f>IF(COUNTA(B169:K169)=0,"",TEXTJOIN("; ",TRUE,IF(B169="","Missing work date",""),IF(C169="","Missing project",""),IF(F169="","Missing asset type",""),IF(AND(G169="Yes",H169&lt;&gt;"Yes"),"Required asset not uploaded",""),IF(AND(H169="Yes",I169&lt;&gt;"Yes"),"Missing GPS metadata",""),IF(AND(H169="Yes",J169&lt;&gt;"Yes"),"Missing timestamp metadata",""),IF(AND(H169="Yes",K169=""),"Missing file link","")))</x:f>
      </x:c>
    </x:row>
    <x:row r="170" ht="20" customHeight="1">
      <x:c r="A170" s="15"/>
      <x:c r="B170" s="28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 t="str">
        <x:f>IF(COUNTA(B170:K170)=0,"",IF(AND(G170="Yes",H170="Yes",I170="Yes",J170="Yes"),"Verified",IF(G170="No","Not Required","Needs Review")))</x:f>
      </x:c>
      <x:c r="M170" s="15" t="str">
        <x:f>IF(COUNTA(B170:K170)=0,"",TEXTJOIN("; ",TRUE,IF(B170="","Missing work date",""),IF(C170="","Missing project",""),IF(F170="","Missing asset type",""),IF(AND(G170="Yes",H170&lt;&gt;"Yes"),"Required asset not uploaded",""),IF(AND(H170="Yes",I170&lt;&gt;"Yes"),"Missing GPS metadata",""),IF(AND(H170="Yes",J170&lt;&gt;"Yes"),"Missing timestamp metadata",""),IF(AND(H170="Yes",K170=""),"Missing file link","")))</x:f>
      </x:c>
    </x:row>
    <x:row r="171" ht="20" customHeight="1">
      <x:c r="A171" s="15"/>
      <x:c r="B171" s="28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 t="str">
        <x:f>IF(COUNTA(B171:K171)=0,"",IF(AND(G171="Yes",H171="Yes",I171="Yes",J171="Yes"),"Verified",IF(G171="No","Not Required","Needs Review")))</x:f>
      </x:c>
      <x:c r="M171" s="15" t="str">
        <x:f>IF(COUNTA(B171:K171)=0,"",TEXTJOIN("; ",TRUE,IF(B171="","Missing work date",""),IF(C171="","Missing project",""),IF(F171="","Missing asset type",""),IF(AND(G171="Yes",H171&lt;&gt;"Yes"),"Required asset not uploaded",""),IF(AND(H171="Yes",I171&lt;&gt;"Yes"),"Missing GPS metadata",""),IF(AND(H171="Yes",J171&lt;&gt;"Yes"),"Missing timestamp metadata",""),IF(AND(H171="Yes",K171=""),"Missing file link","")))</x:f>
      </x:c>
    </x:row>
    <x:row r="172" ht="20" customHeight="1">
      <x:c r="A172" s="15"/>
      <x:c r="B172" s="28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 t="str">
        <x:f>IF(COUNTA(B172:K172)=0,"",IF(AND(G172="Yes",H172="Yes",I172="Yes",J172="Yes"),"Verified",IF(G172="No","Not Required","Needs Review")))</x:f>
      </x:c>
      <x:c r="M172" s="15" t="str">
        <x:f>IF(COUNTA(B172:K172)=0,"",TEXTJOIN("; ",TRUE,IF(B172="","Missing work date",""),IF(C172="","Missing project",""),IF(F172="","Missing asset type",""),IF(AND(G172="Yes",H172&lt;&gt;"Yes"),"Required asset not uploaded",""),IF(AND(H172="Yes",I172&lt;&gt;"Yes"),"Missing GPS metadata",""),IF(AND(H172="Yes",J172&lt;&gt;"Yes"),"Missing timestamp metadata",""),IF(AND(H172="Yes",K172=""),"Missing file link","")))</x:f>
      </x:c>
    </x:row>
    <x:row r="173" ht="20" customHeight="1">
      <x:c r="A173" s="15"/>
      <x:c r="B173" s="28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 t="str">
        <x:f>IF(COUNTA(B173:K173)=0,"",IF(AND(G173="Yes",H173="Yes",I173="Yes",J173="Yes"),"Verified",IF(G173="No","Not Required","Needs Review")))</x:f>
      </x:c>
      <x:c r="M173" s="15" t="str">
        <x:f>IF(COUNTA(B173:K173)=0,"",TEXTJOIN("; ",TRUE,IF(B173="","Missing work date",""),IF(C173="","Missing project",""),IF(F173="","Missing asset type",""),IF(AND(G173="Yes",H173&lt;&gt;"Yes"),"Required asset not uploaded",""),IF(AND(H173="Yes",I173&lt;&gt;"Yes"),"Missing GPS metadata",""),IF(AND(H173="Yes",J173&lt;&gt;"Yes"),"Missing timestamp metadata",""),IF(AND(H173="Yes",K173=""),"Missing file link","")))</x:f>
      </x:c>
    </x:row>
    <x:row r="174" ht="20" customHeight="1">
      <x:c r="A174" s="15"/>
      <x:c r="B174" s="28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 t="str">
        <x:f>IF(COUNTA(B174:K174)=0,"",IF(AND(G174="Yes",H174="Yes",I174="Yes",J174="Yes"),"Verified",IF(G174="No","Not Required","Needs Review")))</x:f>
      </x:c>
      <x:c r="M174" s="15" t="str">
        <x:f>IF(COUNTA(B174:K174)=0,"",TEXTJOIN("; ",TRUE,IF(B174="","Missing work date",""),IF(C174="","Missing project",""),IF(F174="","Missing asset type",""),IF(AND(G174="Yes",H174&lt;&gt;"Yes"),"Required asset not uploaded",""),IF(AND(H174="Yes",I174&lt;&gt;"Yes"),"Missing GPS metadata",""),IF(AND(H174="Yes",J174&lt;&gt;"Yes"),"Missing timestamp metadata",""),IF(AND(H174="Yes",K174=""),"Missing file link","")))</x:f>
      </x:c>
    </x:row>
    <x:row r="175" ht="20" customHeight="1">
      <x:c r="A175" s="15"/>
      <x:c r="B175" s="28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 t="str">
        <x:f>IF(COUNTA(B175:K175)=0,"",IF(AND(G175="Yes",H175="Yes",I175="Yes",J175="Yes"),"Verified",IF(G175="No","Not Required","Needs Review")))</x:f>
      </x:c>
      <x:c r="M175" s="15" t="str">
        <x:f>IF(COUNTA(B175:K175)=0,"",TEXTJOIN("; ",TRUE,IF(B175="","Missing work date",""),IF(C175="","Missing project",""),IF(F175="","Missing asset type",""),IF(AND(G175="Yes",H175&lt;&gt;"Yes"),"Required asset not uploaded",""),IF(AND(H175="Yes",I175&lt;&gt;"Yes"),"Missing GPS metadata",""),IF(AND(H175="Yes",J175&lt;&gt;"Yes"),"Missing timestamp metadata",""),IF(AND(H175="Yes",K175=""),"Missing file link","")))</x:f>
      </x:c>
    </x:row>
    <x:row r="176" ht="20" customHeight="1">
      <x:c r="A176" s="15"/>
      <x:c r="B176" s="28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 t="str">
        <x:f>IF(COUNTA(B176:K176)=0,"",IF(AND(G176="Yes",H176="Yes",I176="Yes",J176="Yes"),"Verified",IF(G176="No","Not Required","Needs Review")))</x:f>
      </x:c>
      <x:c r="M176" s="15" t="str">
        <x:f>IF(COUNTA(B176:K176)=0,"",TEXTJOIN("; ",TRUE,IF(B176="","Missing work date",""),IF(C176="","Missing project",""),IF(F176="","Missing asset type",""),IF(AND(G176="Yes",H176&lt;&gt;"Yes"),"Required asset not uploaded",""),IF(AND(H176="Yes",I176&lt;&gt;"Yes"),"Missing GPS metadata",""),IF(AND(H176="Yes",J176&lt;&gt;"Yes"),"Missing timestamp metadata",""),IF(AND(H176="Yes",K176=""),"Missing file link","")))</x:f>
      </x:c>
    </x:row>
    <x:row r="177" ht="20" customHeight="1">
      <x:c r="A177" s="15"/>
      <x:c r="B177" s="28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 t="str">
        <x:f>IF(COUNTA(B177:K177)=0,"",IF(AND(G177="Yes",H177="Yes",I177="Yes",J177="Yes"),"Verified",IF(G177="No","Not Required","Needs Review")))</x:f>
      </x:c>
      <x:c r="M177" s="15" t="str">
        <x:f>IF(COUNTA(B177:K177)=0,"",TEXTJOIN("; ",TRUE,IF(B177="","Missing work date",""),IF(C177="","Missing project",""),IF(F177="","Missing asset type",""),IF(AND(G177="Yes",H177&lt;&gt;"Yes"),"Required asset not uploaded",""),IF(AND(H177="Yes",I177&lt;&gt;"Yes"),"Missing GPS metadata",""),IF(AND(H177="Yes",J177&lt;&gt;"Yes"),"Missing timestamp metadata",""),IF(AND(H177="Yes",K177=""),"Missing file link","")))</x:f>
      </x:c>
    </x:row>
    <x:row r="178" ht="20" customHeight="1">
      <x:c r="A178" s="15"/>
      <x:c r="B178" s="28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 t="str">
        <x:f>IF(COUNTA(B178:K178)=0,"",IF(AND(G178="Yes",H178="Yes",I178="Yes",J178="Yes"),"Verified",IF(G178="No","Not Required","Needs Review")))</x:f>
      </x:c>
      <x:c r="M178" s="15" t="str">
        <x:f>IF(COUNTA(B178:K178)=0,"",TEXTJOIN("; ",TRUE,IF(B178="","Missing work date",""),IF(C178="","Missing project",""),IF(F178="","Missing asset type",""),IF(AND(G178="Yes",H178&lt;&gt;"Yes"),"Required asset not uploaded",""),IF(AND(H178="Yes",I178&lt;&gt;"Yes"),"Missing GPS metadata",""),IF(AND(H178="Yes",J178&lt;&gt;"Yes"),"Missing timestamp metadata",""),IF(AND(H178="Yes",K178=""),"Missing file link","")))</x:f>
      </x:c>
    </x:row>
    <x:row r="179" ht="20" customHeight="1">
      <x:c r="A179" s="15"/>
      <x:c r="B179" s="28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 t="str">
        <x:f>IF(COUNTA(B179:K179)=0,"",IF(AND(G179="Yes",H179="Yes",I179="Yes",J179="Yes"),"Verified",IF(G179="No","Not Required","Needs Review")))</x:f>
      </x:c>
      <x:c r="M179" s="15" t="str">
        <x:f>IF(COUNTA(B179:K179)=0,"",TEXTJOIN("; ",TRUE,IF(B179="","Missing work date",""),IF(C179="","Missing project",""),IF(F179="","Missing asset type",""),IF(AND(G179="Yes",H179&lt;&gt;"Yes"),"Required asset not uploaded",""),IF(AND(H179="Yes",I179&lt;&gt;"Yes"),"Missing GPS metadata",""),IF(AND(H179="Yes",J179&lt;&gt;"Yes"),"Missing timestamp metadata",""),IF(AND(H179="Yes",K179=""),"Missing file link","")))</x:f>
      </x:c>
    </x:row>
    <x:row r="180" ht="20" customHeight="1">
      <x:c r="A180" s="15"/>
      <x:c r="B180" s="28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 t="str">
        <x:f>IF(COUNTA(B180:K180)=0,"",IF(AND(G180="Yes",H180="Yes",I180="Yes",J180="Yes"),"Verified",IF(G180="No","Not Required","Needs Review")))</x:f>
      </x:c>
      <x:c r="M180" s="15" t="str">
        <x:f>IF(COUNTA(B180:K180)=0,"",TEXTJOIN("; ",TRUE,IF(B180="","Missing work date",""),IF(C180="","Missing project",""),IF(F180="","Missing asset type",""),IF(AND(G180="Yes",H180&lt;&gt;"Yes"),"Required asset not uploaded",""),IF(AND(H180="Yes",I180&lt;&gt;"Yes"),"Missing GPS metadata",""),IF(AND(H180="Yes",J180&lt;&gt;"Yes"),"Missing timestamp metadata",""),IF(AND(H180="Yes",K180=""),"Missing file link","")))</x:f>
      </x:c>
    </x:row>
    <x:row r="181" ht="20" customHeight="1">
      <x:c r="A181" s="15"/>
      <x:c r="B181" s="28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 t="str">
        <x:f>IF(COUNTA(B181:K181)=0,"",IF(AND(G181="Yes",H181="Yes",I181="Yes",J181="Yes"),"Verified",IF(G181="No","Not Required","Needs Review")))</x:f>
      </x:c>
      <x:c r="M181" s="15" t="str">
        <x:f>IF(COUNTA(B181:K181)=0,"",TEXTJOIN("; ",TRUE,IF(B181="","Missing work date",""),IF(C181="","Missing project",""),IF(F181="","Missing asset type",""),IF(AND(G181="Yes",H181&lt;&gt;"Yes"),"Required asset not uploaded",""),IF(AND(H181="Yes",I181&lt;&gt;"Yes"),"Missing GPS metadata",""),IF(AND(H181="Yes",J181&lt;&gt;"Yes"),"Missing timestamp metadata",""),IF(AND(H181="Yes",K181=""),"Missing file link","")))</x:f>
      </x:c>
    </x:row>
    <x:row r="182" ht="20" customHeight="1">
      <x:c r="A182" s="15"/>
      <x:c r="B182" s="28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 t="str">
        <x:f>IF(COUNTA(B182:K182)=0,"",IF(AND(G182="Yes",H182="Yes",I182="Yes",J182="Yes"),"Verified",IF(G182="No","Not Required","Needs Review")))</x:f>
      </x:c>
      <x:c r="M182" s="15" t="str">
        <x:f>IF(COUNTA(B182:K182)=0,"",TEXTJOIN("; ",TRUE,IF(B182="","Missing work date",""),IF(C182="","Missing project",""),IF(F182="","Missing asset type",""),IF(AND(G182="Yes",H182&lt;&gt;"Yes"),"Required asset not uploaded",""),IF(AND(H182="Yes",I182&lt;&gt;"Yes"),"Missing GPS metadata",""),IF(AND(H182="Yes",J182&lt;&gt;"Yes"),"Missing timestamp metadata",""),IF(AND(H182="Yes",K182=""),"Missing file link","")))</x:f>
      </x:c>
    </x:row>
    <x:row r="183" ht="20" customHeight="1">
      <x:c r="A183" s="15"/>
      <x:c r="B183" s="28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 t="str">
        <x:f>IF(COUNTA(B183:K183)=0,"",IF(AND(G183="Yes",H183="Yes",I183="Yes",J183="Yes"),"Verified",IF(G183="No","Not Required","Needs Review")))</x:f>
      </x:c>
      <x:c r="M183" s="15" t="str">
        <x:f>IF(COUNTA(B183:K183)=0,"",TEXTJOIN("; ",TRUE,IF(B183="","Missing work date",""),IF(C183="","Missing project",""),IF(F183="","Missing asset type",""),IF(AND(G183="Yes",H183&lt;&gt;"Yes"),"Required asset not uploaded",""),IF(AND(H183="Yes",I183&lt;&gt;"Yes"),"Missing GPS metadata",""),IF(AND(H183="Yes",J183&lt;&gt;"Yes"),"Missing timestamp metadata",""),IF(AND(H183="Yes",K183=""),"Missing file link","")))</x:f>
      </x:c>
    </x:row>
    <x:row r="184" ht="20" customHeight="1">
      <x:c r="A184" s="15"/>
      <x:c r="B184" s="28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 t="str">
        <x:f>IF(COUNTA(B184:K184)=0,"",IF(AND(G184="Yes",H184="Yes",I184="Yes",J184="Yes"),"Verified",IF(G184="No","Not Required","Needs Review")))</x:f>
      </x:c>
      <x:c r="M184" s="15" t="str">
        <x:f>IF(COUNTA(B184:K184)=0,"",TEXTJOIN("; ",TRUE,IF(B184="","Missing work date",""),IF(C184="","Missing project",""),IF(F184="","Missing asset type",""),IF(AND(G184="Yes",H184&lt;&gt;"Yes"),"Required asset not uploaded",""),IF(AND(H184="Yes",I184&lt;&gt;"Yes"),"Missing GPS metadata",""),IF(AND(H184="Yes",J184&lt;&gt;"Yes"),"Missing timestamp metadata",""),IF(AND(H184="Yes",K184=""),"Missing file link","")))</x:f>
      </x:c>
    </x:row>
    <x:row r="185" ht="20" customHeight="1">
      <x:c r="A185" s="15"/>
      <x:c r="B185" s="28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 t="str">
        <x:f>IF(COUNTA(B185:K185)=0,"",IF(AND(G185="Yes",H185="Yes",I185="Yes",J185="Yes"),"Verified",IF(G185="No","Not Required","Needs Review")))</x:f>
      </x:c>
      <x:c r="M185" s="15" t="str">
        <x:f>IF(COUNTA(B185:K185)=0,"",TEXTJOIN("; ",TRUE,IF(B185="","Missing work date",""),IF(C185="","Missing project",""),IF(F185="","Missing asset type",""),IF(AND(G185="Yes",H185&lt;&gt;"Yes"),"Required asset not uploaded",""),IF(AND(H185="Yes",I185&lt;&gt;"Yes"),"Missing GPS metadata",""),IF(AND(H185="Yes",J185&lt;&gt;"Yes"),"Missing timestamp metadata",""),IF(AND(H185="Yes",K185=""),"Missing file link","")))</x:f>
      </x:c>
    </x:row>
    <x:row r="186" ht="20" customHeight="1">
      <x:c r="A186" s="15"/>
      <x:c r="B186" s="28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 t="str">
        <x:f>IF(COUNTA(B186:K186)=0,"",IF(AND(G186="Yes",H186="Yes",I186="Yes",J186="Yes"),"Verified",IF(G186="No","Not Required","Needs Review")))</x:f>
      </x:c>
      <x:c r="M186" s="15" t="str">
        <x:f>IF(COUNTA(B186:K186)=0,"",TEXTJOIN("; ",TRUE,IF(B186="","Missing work date",""),IF(C186="","Missing project",""),IF(F186="","Missing asset type",""),IF(AND(G186="Yes",H186&lt;&gt;"Yes"),"Required asset not uploaded",""),IF(AND(H186="Yes",I186&lt;&gt;"Yes"),"Missing GPS metadata",""),IF(AND(H186="Yes",J186&lt;&gt;"Yes"),"Missing timestamp metadata",""),IF(AND(H186="Yes",K186=""),"Missing file link","")))</x:f>
      </x:c>
    </x:row>
    <x:row r="187" ht="20" customHeight="1">
      <x:c r="A187" s="15"/>
      <x:c r="B187" s="28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 t="str">
        <x:f>IF(COUNTA(B187:K187)=0,"",IF(AND(G187="Yes",H187="Yes",I187="Yes",J187="Yes"),"Verified",IF(G187="No","Not Required","Needs Review")))</x:f>
      </x:c>
      <x:c r="M187" s="15" t="str">
        <x:f>IF(COUNTA(B187:K187)=0,"",TEXTJOIN("; ",TRUE,IF(B187="","Missing work date",""),IF(C187="","Missing project",""),IF(F187="","Missing asset type",""),IF(AND(G187="Yes",H187&lt;&gt;"Yes"),"Required asset not uploaded",""),IF(AND(H187="Yes",I187&lt;&gt;"Yes"),"Missing GPS metadata",""),IF(AND(H187="Yes",J187&lt;&gt;"Yes"),"Missing timestamp metadata",""),IF(AND(H187="Yes",K187=""),"Missing file link","")))</x:f>
      </x:c>
    </x:row>
    <x:row r="188" ht="20" customHeight="1">
      <x:c r="A188" s="15"/>
      <x:c r="B188" s="28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 t="str">
        <x:f>IF(COUNTA(B188:K188)=0,"",IF(AND(G188="Yes",H188="Yes",I188="Yes",J188="Yes"),"Verified",IF(G188="No","Not Required","Needs Review")))</x:f>
      </x:c>
      <x:c r="M188" s="15" t="str">
        <x:f>IF(COUNTA(B188:K188)=0,"",TEXTJOIN("; ",TRUE,IF(B188="","Missing work date",""),IF(C188="","Missing project",""),IF(F188="","Missing asset type",""),IF(AND(G188="Yes",H188&lt;&gt;"Yes"),"Required asset not uploaded",""),IF(AND(H188="Yes",I188&lt;&gt;"Yes"),"Missing GPS metadata",""),IF(AND(H188="Yes",J188&lt;&gt;"Yes"),"Missing timestamp metadata",""),IF(AND(H188="Yes",K188=""),"Missing file link","")))</x:f>
      </x:c>
    </x:row>
    <x:row r="189" ht="20" customHeight="1">
      <x:c r="A189" s="15"/>
      <x:c r="B189" s="28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 t="str">
        <x:f>IF(COUNTA(B189:K189)=0,"",IF(AND(G189="Yes",H189="Yes",I189="Yes",J189="Yes"),"Verified",IF(G189="No","Not Required","Needs Review")))</x:f>
      </x:c>
      <x:c r="M189" s="15" t="str">
        <x:f>IF(COUNTA(B189:K189)=0,"",TEXTJOIN("; ",TRUE,IF(B189="","Missing work date",""),IF(C189="","Missing project",""),IF(F189="","Missing asset type",""),IF(AND(G189="Yes",H189&lt;&gt;"Yes"),"Required asset not uploaded",""),IF(AND(H189="Yes",I189&lt;&gt;"Yes"),"Missing GPS metadata",""),IF(AND(H189="Yes",J189&lt;&gt;"Yes"),"Missing timestamp metadata",""),IF(AND(H189="Yes",K189=""),"Missing file link","")))</x:f>
      </x:c>
    </x:row>
    <x:row r="190" ht="20" customHeight="1">
      <x:c r="A190" s="15"/>
      <x:c r="B190" s="28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 t="str">
        <x:f>IF(COUNTA(B190:K190)=0,"",IF(AND(G190="Yes",H190="Yes",I190="Yes",J190="Yes"),"Verified",IF(G190="No","Not Required","Needs Review")))</x:f>
      </x:c>
      <x:c r="M190" s="15" t="str">
        <x:f>IF(COUNTA(B190:K190)=0,"",TEXTJOIN("; ",TRUE,IF(B190="","Missing work date",""),IF(C190="","Missing project",""),IF(F190="","Missing asset type",""),IF(AND(G190="Yes",H190&lt;&gt;"Yes"),"Required asset not uploaded",""),IF(AND(H190="Yes",I190&lt;&gt;"Yes"),"Missing GPS metadata",""),IF(AND(H190="Yes",J190&lt;&gt;"Yes"),"Missing timestamp metadata",""),IF(AND(H190="Yes",K190=""),"Missing file link","")))</x:f>
      </x:c>
    </x:row>
    <x:row r="191" ht="20" customHeight="1">
      <x:c r="A191" s="15"/>
      <x:c r="B191" s="28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 t="str">
        <x:f>IF(COUNTA(B191:K191)=0,"",IF(AND(G191="Yes",H191="Yes",I191="Yes",J191="Yes"),"Verified",IF(G191="No","Not Required","Needs Review")))</x:f>
      </x:c>
      <x:c r="M191" s="15" t="str">
        <x:f>IF(COUNTA(B191:K191)=0,"",TEXTJOIN("; ",TRUE,IF(B191="","Missing work date",""),IF(C191="","Missing project",""),IF(F191="","Missing asset type",""),IF(AND(G191="Yes",H191&lt;&gt;"Yes"),"Required asset not uploaded",""),IF(AND(H191="Yes",I191&lt;&gt;"Yes"),"Missing GPS metadata",""),IF(AND(H191="Yes",J191&lt;&gt;"Yes"),"Missing timestamp metadata",""),IF(AND(H191="Yes",K191=""),"Missing file link","")))</x:f>
      </x:c>
    </x:row>
    <x:row r="192" ht="20" customHeight="1">
      <x:c r="A192" s="15"/>
      <x:c r="B192" s="28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 t="str">
        <x:f>IF(COUNTA(B192:K192)=0,"",IF(AND(G192="Yes",H192="Yes",I192="Yes",J192="Yes"),"Verified",IF(G192="No","Not Required","Needs Review")))</x:f>
      </x:c>
      <x:c r="M192" s="15" t="str">
        <x:f>IF(COUNTA(B192:K192)=0,"",TEXTJOIN("; ",TRUE,IF(B192="","Missing work date",""),IF(C192="","Missing project",""),IF(F192="","Missing asset type",""),IF(AND(G192="Yes",H192&lt;&gt;"Yes"),"Required asset not uploaded",""),IF(AND(H192="Yes",I192&lt;&gt;"Yes"),"Missing GPS metadata",""),IF(AND(H192="Yes",J192&lt;&gt;"Yes"),"Missing timestamp metadata",""),IF(AND(H192="Yes",K192=""),"Missing file link","")))</x:f>
      </x:c>
    </x:row>
    <x:row r="193" ht="20" customHeight="1">
      <x:c r="A193" s="15"/>
      <x:c r="B193" s="28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 t="str">
        <x:f>IF(COUNTA(B193:K193)=0,"",IF(AND(G193="Yes",H193="Yes",I193="Yes",J193="Yes"),"Verified",IF(G193="No","Not Required","Needs Review")))</x:f>
      </x:c>
      <x:c r="M193" s="15" t="str">
        <x:f>IF(COUNTA(B193:K193)=0,"",TEXTJOIN("; ",TRUE,IF(B193="","Missing work date",""),IF(C193="","Missing project",""),IF(F193="","Missing asset type",""),IF(AND(G193="Yes",H193&lt;&gt;"Yes"),"Required asset not uploaded",""),IF(AND(H193="Yes",I193&lt;&gt;"Yes"),"Missing GPS metadata",""),IF(AND(H193="Yes",J193&lt;&gt;"Yes"),"Missing timestamp metadata",""),IF(AND(H193="Yes",K193=""),"Missing file link","")))</x:f>
      </x:c>
    </x:row>
    <x:row r="194" ht="20" customHeight="1">
      <x:c r="A194" s="15"/>
      <x:c r="B194" s="28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 t="str">
        <x:f>IF(COUNTA(B194:K194)=0,"",IF(AND(G194="Yes",H194="Yes",I194="Yes",J194="Yes"),"Verified",IF(G194="No","Not Required","Needs Review")))</x:f>
      </x:c>
      <x:c r="M194" s="15" t="str">
        <x:f>IF(COUNTA(B194:K194)=0,"",TEXTJOIN("; ",TRUE,IF(B194="","Missing work date",""),IF(C194="","Missing project",""),IF(F194="","Missing asset type",""),IF(AND(G194="Yes",H194&lt;&gt;"Yes"),"Required asset not uploaded",""),IF(AND(H194="Yes",I194&lt;&gt;"Yes"),"Missing GPS metadata",""),IF(AND(H194="Yes",J194&lt;&gt;"Yes"),"Missing timestamp metadata",""),IF(AND(H194="Yes",K194=""),"Missing file link","")))</x:f>
      </x:c>
    </x:row>
    <x:row r="195" ht="20" customHeight="1">
      <x:c r="A195" s="15"/>
      <x:c r="B195" s="28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 t="str">
        <x:f>IF(COUNTA(B195:K195)=0,"",IF(AND(G195="Yes",H195="Yes",I195="Yes",J195="Yes"),"Verified",IF(G195="No","Not Required","Needs Review")))</x:f>
      </x:c>
      <x:c r="M195" s="15" t="str">
        <x:f>IF(COUNTA(B195:K195)=0,"",TEXTJOIN("; ",TRUE,IF(B195="","Missing work date",""),IF(C195="","Missing project",""),IF(F195="","Missing asset type",""),IF(AND(G195="Yes",H195&lt;&gt;"Yes"),"Required asset not uploaded",""),IF(AND(H195="Yes",I195&lt;&gt;"Yes"),"Missing GPS metadata",""),IF(AND(H195="Yes",J195&lt;&gt;"Yes"),"Missing timestamp metadata",""),IF(AND(H195="Yes",K195=""),"Missing file link","")))</x:f>
      </x:c>
    </x:row>
    <x:row r="196" ht="20" customHeight="1">
      <x:c r="A196" s="15"/>
      <x:c r="B196" s="28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 t="str">
        <x:f>IF(COUNTA(B196:K196)=0,"",IF(AND(G196="Yes",H196="Yes",I196="Yes",J196="Yes"),"Verified",IF(G196="No","Not Required","Needs Review")))</x:f>
      </x:c>
      <x:c r="M196" s="15" t="str">
        <x:f>IF(COUNTA(B196:K196)=0,"",TEXTJOIN("; ",TRUE,IF(B196="","Missing work date",""),IF(C196="","Missing project",""),IF(F196="","Missing asset type",""),IF(AND(G196="Yes",H196&lt;&gt;"Yes"),"Required asset not uploaded",""),IF(AND(H196="Yes",I196&lt;&gt;"Yes"),"Missing GPS metadata",""),IF(AND(H196="Yes",J196&lt;&gt;"Yes"),"Missing timestamp metadata",""),IF(AND(H196="Yes",K196=""),"Missing file link","")))</x:f>
      </x:c>
    </x:row>
    <x:row r="197" ht="20" customHeight="1">
      <x:c r="A197" s="15"/>
      <x:c r="B197" s="28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 t="str">
        <x:f>IF(COUNTA(B197:K197)=0,"",IF(AND(G197="Yes",H197="Yes",I197="Yes",J197="Yes"),"Verified",IF(G197="No","Not Required","Needs Review")))</x:f>
      </x:c>
      <x:c r="M197" s="15" t="str">
        <x:f>IF(COUNTA(B197:K197)=0,"",TEXTJOIN("; ",TRUE,IF(B197="","Missing work date",""),IF(C197="","Missing project",""),IF(F197="","Missing asset type",""),IF(AND(G197="Yes",H197&lt;&gt;"Yes"),"Required asset not uploaded",""),IF(AND(H197="Yes",I197&lt;&gt;"Yes"),"Missing GPS metadata",""),IF(AND(H197="Yes",J197&lt;&gt;"Yes"),"Missing timestamp metadata",""),IF(AND(H197="Yes",K197=""),"Missing file link","")))</x:f>
      </x:c>
    </x:row>
    <x:row r="198" ht="20" customHeight="1">
      <x:c r="A198" s="15"/>
      <x:c r="B198" s="28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 t="str">
        <x:f>IF(COUNTA(B198:K198)=0,"",IF(AND(G198="Yes",H198="Yes",I198="Yes",J198="Yes"),"Verified",IF(G198="No","Not Required","Needs Review")))</x:f>
      </x:c>
      <x:c r="M198" s="15" t="str">
        <x:f>IF(COUNTA(B198:K198)=0,"",TEXTJOIN("; ",TRUE,IF(B198="","Missing work date",""),IF(C198="","Missing project",""),IF(F198="","Missing asset type",""),IF(AND(G198="Yes",H198&lt;&gt;"Yes"),"Required asset not uploaded",""),IF(AND(H198="Yes",I198&lt;&gt;"Yes"),"Missing GPS metadata",""),IF(AND(H198="Yes",J198&lt;&gt;"Yes"),"Missing timestamp metadata",""),IF(AND(H198="Yes",K198=""),"Missing file link","")))</x:f>
      </x:c>
    </x:row>
    <x:row r="199" ht="20" customHeight="1">
      <x:c r="A199" s="15"/>
      <x:c r="B199" s="28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 t="str">
        <x:f>IF(COUNTA(B199:K199)=0,"",IF(AND(G199="Yes",H199="Yes",I199="Yes",J199="Yes"),"Verified",IF(G199="No","Not Required","Needs Review")))</x:f>
      </x:c>
      <x:c r="M199" s="15" t="str">
        <x:f>IF(COUNTA(B199:K199)=0,"",TEXTJOIN("; ",TRUE,IF(B199="","Missing work date",""),IF(C199="","Missing project",""),IF(F199="","Missing asset type",""),IF(AND(G199="Yes",H199&lt;&gt;"Yes"),"Required asset not uploaded",""),IF(AND(H199="Yes",I199&lt;&gt;"Yes"),"Missing GPS metadata",""),IF(AND(H199="Yes",J199&lt;&gt;"Yes"),"Missing timestamp metadata",""),IF(AND(H199="Yes",K199=""),"Missing file link","")))</x:f>
      </x:c>
    </x:row>
    <x:row r="200" ht="20" customHeight="1">
      <x:c r="A200" s="15"/>
      <x:c r="B200" s="28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 t="str">
        <x:f>IF(COUNTA(B200:K200)=0,"",IF(AND(G200="Yes",H200="Yes",I200="Yes",J200="Yes"),"Verified",IF(G200="No","Not Required","Needs Review")))</x:f>
      </x:c>
      <x:c r="M200" s="15" t="str">
        <x:f>IF(COUNTA(B200:K200)=0,"",TEXTJOIN("; ",TRUE,IF(B200="","Missing work date",""),IF(C200="","Missing project",""),IF(F200="","Missing asset type",""),IF(AND(G200="Yes",H200&lt;&gt;"Yes"),"Required asset not uploaded",""),IF(AND(H200="Yes",I200&lt;&gt;"Yes"),"Missing GPS metadata",""),IF(AND(H200="Yes",J200&lt;&gt;"Yes"),"Missing timestamp metadata",""),IF(AND(H200="Yes",K200=""),"Missing file link","")))</x:f>
      </x:c>
    </x:row>
    <x:row r="201" ht="20" customHeight="1">
      <x:c r="A201" s="15"/>
      <x:c r="B201" s="28"/>
      <x:c r="C201" s="15"/>
      <x:c r="D201" s="15"/>
      <x:c r="E201" s="15"/>
      <x:c r="F201" s="15"/>
      <x:c r="G201" s="15"/>
      <x:c r="H201" s="15"/>
      <x:c r="I201" s="15"/>
      <x:c r="J201" s="15"/>
      <x:c r="K201" s="15"/>
      <x:c r="L201" s="15" t="str">
        <x:f>IF(COUNTA(B201:K201)=0,"",IF(AND(G201="Yes",H201="Yes",I201="Yes",J201="Yes"),"Verified",IF(G201="No","Not Required","Needs Review")))</x:f>
      </x:c>
      <x:c r="M201" s="15" t="str">
        <x:f>IF(COUNTA(B201:K201)=0,"",TEXTJOIN("; ",TRUE,IF(B201="","Missing work date",""),IF(C201="","Missing project",""),IF(F201="","Missing asset type",""),IF(AND(G201="Yes",H201&lt;&gt;"Yes"),"Required asset not uploaded",""),IF(AND(H201="Yes",I201&lt;&gt;"Yes"),"Missing GPS metadata",""),IF(AND(H201="Yes",J201&lt;&gt;"Yes"),"Missing timestamp metadata",""),IF(AND(H201="Yes",K201=""),"Missing file link","")))</x:f>
      </x:c>
    </x:row>
    <x:row r="202" ht="20" customHeight="1">
      <x:c r="A202" s="15"/>
      <x:c r="B202" s="28"/>
      <x:c r="C202" s="15"/>
      <x:c r="D202" s="15"/>
      <x:c r="E202" s="15"/>
      <x:c r="F202" s="15"/>
      <x:c r="G202" s="15"/>
      <x:c r="H202" s="15"/>
      <x:c r="I202" s="15"/>
      <x:c r="J202" s="15"/>
      <x:c r="K202" s="15"/>
      <x:c r="L202" s="15" t="str">
        <x:f>IF(COUNTA(B202:K202)=0,"",IF(AND(G202="Yes",H202="Yes",I202="Yes",J202="Yes"),"Verified",IF(G202="No","Not Required","Needs Review")))</x:f>
      </x:c>
      <x:c r="M202" s="15" t="str">
        <x:f>IF(COUNTA(B202:K202)=0,"",TEXTJOIN("; ",TRUE,IF(B202="","Missing work date",""),IF(C202="","Missing project",""),IF(F202="","Missing asset type",""),IF(AND(G202="Yes",H202&lt;&gt;"Yes"),"Required asset not uploaded",""),IF(AND(H202="Yes",I202&lt;&gt;"Yes"),"Missing GPS metadata",""),IF(AND(H202="Yes",J202&lt;&gt;"Yes"),"Missing timestamp metadata",""),IF(AND(H202="Yes",K202=""),"Missing file link","")))</x:f>
      </x:c>
    </x:row>
    <x:row r="203" ht="20" customHeight="1">
      <x:c r="A203" s="15"/>
      <x:c r="B203" s="28"/>
      <x:c r="C203" s="15"/>
      <x:c r="D203" s="15"/>
      <x:c r="E203" s="15"/>
      <x:c r="F203" s="15"/>
      <x:c r="G203" s="15"/>
      <x:c r="H203" s="15"/>
      <x:c r="I203" s="15"/>
      <x:c r="J203" s="15"/>
      <x:c r="K203" s="15"/>
      <x:c r="L203" s="15" t="str">
        <x:f>IF(COUNTA(B203:K203)=0,"",IF(AND(G203="Yes",H203="Yes",I203="Yes",J203="Yes"),"Verified",IF(G203="No","Not Required","Needs Review")))</x:f>
      </x:c>
      <x:c r="M203" s="15" t="str">
        <x:f>IF(COUNTA(B203:K203)=0,"",TEXTJOIN("; ",TRUE,IF(B203="","Missing work date",""),IF(C203="","Missing project",""),IF(F203="","Missing asset type",""),IF(AND(G203="Yes",H203&lt;&gt;"Yes"),"Required asset not uploaded",""),IF(AND(H203="Yes",I203&lt;&gt;"Yes"),"Missing GPS metadata",""),IF(AND(H203="Yes",J203&lt;&gt;"Yes"),"Missing timestamp metadata",""),IF(AND(H203="Yes",K203=""),"Missing file link","")))</x:f>
      </x:c>
    </x:row>
    <x:row r="204" ht="20" customHeight="1">
      <x:c r="A204" s="15"/>
      <x:c r="B204" s="28"/>
      <x:c r="C204" s="15"/>
      <x:c r="D204" s="15"/>
      <x:c r="E204" s="15"/>
      <x:c r="F204" s="15"/>
      <x:c r="G204" s="15"/>
      <x:c r="H204" s="15"/>
      <x:c r="I204" s="15"/>
      <x:c r="J204" s="15"/>
      <x:c r="K204" s="15"/>
      <x:c r="L204" s="15" t="str">
        <x:f>IF(COUNTA(B204:K204)=0,"",IF(AND(G204="Yes",H204="Yes",I204="Yes",J204="Yes"),"Verified",IF(G204="No","Not Required","Needs Review")))</x:f>
      </x:c>
      <x:c r="M204" s="15" t="str">
        <x:f>IF(COUNTA(B204:K204)=0,"",TEXTJOIN("; ",TRUE,IF(B204="","Missing work date",""),IF(C204="","Missing project",""),IF(F204="","Missing asset type",""),IF(AND(G204="Yes",H204&lt;&gt;"Yes"),"Required asset not uploaded",""),IF(AND(H204="Yes",I204&lt;&gt;"Yes"),"Missing GPS metadata",""),IF(AND(H204="Yes",J204&lt;&gt;"Yes"),"Missing timestamp metadata",""),IF(AND(H204="Yes",K204=""),"Missing file link","")))</x:f>
      </x:c>
    </x:row>
    <x:row r="205" ht="20" customHeight="1">
      <x:c r="A205" s="15"/>
      <x:c r="B205" s="28"/>
      <x:c r="C205" s="15"/>
      <x:c r="D205" s="15"/>
      <x:c r="E205" s="15"/>
      <x:c r="F205" s="15"/>
      <x:c r="G205" s="15"/>
      <x:c r="H205" s="15"/>
      <x:c r="I205" s="15"/>
      <x:c r="J205" s="15"/>
      <x:c r="K205" s="15"/>
      <x:c r="L205" s="15" t="str">
        <x:f>IF(COUNTA(B205:K205)=0,"",IF(AND(G205="Yes",H205="Yes",I205="Yes",J205="Yes"),"Verified",IF(G205="No","Not Required","Needs Review")))</x:f>
      </x:c>
      <x:c r="M205" s="15" t="str">
        <x:f>IF(COUNTA(B205:K205)=0,"",TEXTJOIN("; ",TRUE,IF(B205="","Missing work date",""),IF(C205="","Missing project",""),IF(F205="","Missing asset type",""),IF(AND(G205="Yes",H205&lt;&gt;"Yes"),"Required asset not uploaded",""),IF(AND(H205="Yes",I205&lt;&gt;"Yes"),"Missing GPS metadata",""),IF(AND(H205="Yes",J205&lt;&gt;"Yes"),"Missing timestamp metadata",""),IF(AND(H205="Yes",K205=""),"Missing file link","")))</x:f>
      </x:c>
    </x:row>
    <x:row r="206" ht="20" customHeight="1">
      <x:c r="A206" s="15"/>
      <x:c r="B206" s="28"/>
      <x:c r="C206" s="15"/>
      <x:c r="D206" s="15"/>
      <x:c r="E206" s="15"/>
      <x:c r="F206" s="15"/>
      <x:c r="G206" s="15"/>
      <x:c r="H206" s="15"/>
      <x:c r="I206" s="15"/>
      <x:c r="J206" s="15"/>
      <x:c r="K206" s="15"/>
      <x:c r="L206" s="15" t="str">
        <x:f>IF(COUNTA(B206:K206)=0,"",IF(AND(G206="Yes",H206="Yes",I206="Yes",J206="Yes"),"Verified",IF(G206="No","Not Required","Needs Review")))</x:f>
      </x:c>
      <x:c r="M206" s="15" t="str">
        <x:f>IF(COUNTA(B206:K206)=0,"",TEXTJOIN("; ",TRUE,IF(B206="","Missing work date",""),IF(C206="","Missing project",""),IF(F206="","Missing asset type",""),IF(AND(G206="Yes",H206&lt;&gt;"Yes"),"Required asset not uploaded",""),IF(AND(H206="Yes",I206&lt;&gt;"Yes"),"Missing GPS metadata",""),IF(AND(H206="Yes",J206&lt;&gt;"Yes"),"Missing timestamp metadata",""),IF(AND(H206="Yes",K206=""),"Missing file link","")))</x:f>
      </x:c>
    </x:row>
    <x:row r="207" ht="20" customHeight="1">
      <x:c r="A207" s="15"/>
      <x:c r="B207" s="28"/>
      <x:c r="C207" s="15"/>
      <x:c r="D207" s="15"/>
      <x:c r="E207" s="15"/>
      <x:c r="F207" s="15"/>
      <x:c r="G207" s="15"/>
      <x:c r="H207" s="15"/>
      <x:c r="I207" s="15"/>
      <x:c r="J207" s="15"/>
      <x:c r="K207" s="15"/>
      <x:c r="L207" s="15" t="str">
        <x:f>IF(COUNTA(B207:K207)=0,"",IF(AND(G207="Yes",H207="Yes",I207="Yes",J207="Yes"),"Verified",IF(G207="No","Not Required","Needs Review")))</x:f>
      </x:c>
      <x:c r="M207" s="15" t="str">
        <x:f>IF(COUNTA(B207:K207)=0,"",TEXTJOIN("; ",TRUE,IF(B207="","Missing work date",""),IF(C207="","Missing project",""),IF(F207="","Missing asset type",""),IF(AND(G207="Yes",H207&lt;&gt;"Yes"),"Required asset not uploaded",""),IF(AND(H207="Yes",I207&lt;&gt;"Yes"),"Missing GPS metadata",""),IF(AND(H207="Yes",J207&lt;&gt;"Yes"),"Missing timestamp metadata",""),IF(AND(H207="Yes",K207=""),"Missing file link","")))</x:f>
      </x:c>
    </x:row>
    <x:row r="208" ht="20" customHeight="1">
      <x:c r="A208" s="15"/>
      <x:c r="B208" s="28"/>
      <x:c r="C208" s="15"/>
      <x:c r="D208" s="15"/>
      <x:c r="E208" s="15"/>
      <x:c r="F208" s="15"/>
      <x:c r="G208" s="15"/>
      <x:c r="H208" s="15"/>
      <x:c r="I208" s="15"/>
      <x:c r="J208" s="15"/>
      <x:c r="K208" s="15"/>
      <x:c r="L208" s="15" t="str">
        <x:f>IF(COUNTA(B208:K208)=0,"",IF(AND(G208="Yes",H208="Yes",I208="Yes",J208="Yes"),"Verified",IF(G208="No","Not Required","Needs Review")))</x:f>
      </x:c>
      <x:c r="M208" s="15" t="str">
        <x:f>IF(COUNTA(B208:K208)=0,"",TEXTJOIN("; ",TRUE,IF(B208="","Missing work date",""),IF(C208="","Missing project",""),IF(F208="","Missing asset type",""),IF(AND(G208="Yes",H208&lt;&gt;"Yes"),"Required asset not uploaded",""),IF(AND(H208="Yes",I208&lt;&gt;"Yes"),"Missing GPS metadata",""),IF(AND(H208="Yes",J208&lt;&gt;"Yes"),"Missing timestamp metadata",""),IF(AND(H208="Yes",K208=""),"Missing file link","")))</x:f>
      </x:c>
    </x:row>
    <x:row r="209" ht="20" customHeight="1">
      <x:c r="A209" s="15"/>
      <x:c r="B209" s="28"/>
      <x:c r="C209" s="15"/>
      <x:c r="D209" s="15"/>
      <x:c r="E209" s="15"/>
      <x:c r="F209" s="15"/>
      <x:c r="G209" s="15"/>
      <x:c r="H209" s="15"/>
      <x:c r="I209" s="15"/>
      <x:c r="J209" s="15"/>
      <x:c r="K209" s="15"/>
      <x:c r="L209" s="15" t="str">
        <x:f>IF(COUNTA(B209:K209)=0,"",IF(AND(G209="Yes",H209="Yes",I209="Yes",J209="Yes"),"Verified",IF(G209="No","Not Required","Needs Review")))</x:f>
      </x:c>
      <x:c r="M209" s="15" t="str">
        <x:f>IF(COUNTA(B209:K209)=0,"",TEXTJOIN("; ",TRUE,IF(B209="","Missing work date",""),IF(C209="","Missing project",""),IF(F209="","Missing asset type",""),IF(AND(G209="Yes",H209&lt;&gt;"Yes"),"Required asset not uploaded",""),IF(AND(H209="Yes",I209&lt;&gt;"Yes"),"Missing GPS metadata",""),IF(AND(H209="Yes",J209&lt;&gt;"Yes"),"Missing timestamp metadata",""),IF(AND(H209="Yes",K209=""),"Missing file link","")))</x:f>
      </x:c>
    </x:row>
    <x:row r="210" ht="20" customHeight="1">
      <x:c r="A210" s="15"/>
      <x:c r="B210" s="28"/>
      <x:c r="C210" s="15"/>
      <x:c r="D210" s="15"/>
      <x:c r="E210" s="15"/>
      <x:c r="F210" s="15"/>
      <x:c r="G210" s="15"/>
      <x:c r="H210" s="15"/>
      <x:c r="I210" s="15"/>
      <x:c r="J210" s="15"/>
      <x:c r="K210" s="15"/>
      <x:c r="L210" s="15" t="str">
        <x:f>IF(COUNTA(B210:K210)=0,"",IF(AND(G210="Yes",H210="Yes",I210="Yes",J210="Yes"),"Verified",IF(G210="No","Not Required","Needs Review")))</x:f>
      </x:c>
      <x:c r="M210" s="15" t="str">
        <x:f>IF(COUNTA(B210:K210)=0,"",TEXTJOIN("; ",TRUE,IF(B210="","Missing work date",""),IF(C210="","Missing project",""),IF(F210="","Missing asset type",""),IF(AND(G210="Yes",H210&lt;&gt;"Yes"),"Required asset not uploaded",""),IF(AND(H210="Yes",I210&lt;&gt;"Yes"),"Missing GPS metadata",""),IF(AND(H210="Yes",J210&lt;&gt;"Yes"),"Missing timestamp metadata",""),IF(AND(H210="Yes",K210=""),"Missing file link","")))</x:f>
      </x:c>
    </x:row>
    <x:row r="211" ht="20" customHeight="1">
      <x:c r="A211" s="15"/>
      <x:c r="B211" s="28"/>
      <x:c r="C211" s="15"/>
      <x:c r="D211" s="15"/>
      <x:c r="E211" s="15"/>
      <x:c r="F211" s="15"/>
      <x:c r="G211" s="15"/>
      <x:c r="H211" s="15"/>
      <x:c r="I211" s="15"/>
      <x:c r="J211" s="15"/>
      <x:c r="K211" s="15"/>
      <x:c r="L211" s="15" t="str">
        <x:f>IF(COUNTA(B211:K211)=0,"",IF(AND(G211="Yes",H211="Yes",I211="Yes",J211="Yes"),"Verified",IF(G211="No","Not Required","Needs Review")))</x:f>
      </x:c>
      <x:c r="M211" s="15" t="str">
        <x:f>IF(COUNTA(B211:K211)=0,"",TEXTJOIN("; ",TRUE,IF(B211="","Missing work date",""),IF(C211="","Missing project",""),IF(F211="","Missing asset type",""),IF(AND(G211="Yes",H211&lt;&gt;"Yes"),"Required asset not uploaded",""),IF(AND(H211="Yes",I211&lt;&gt;"Yes"),"Missing GPS metadata",""),IF(AND(H211="Yes",J211&lt;&gt;"Yes"),"Missing timestamp metadata",""),IF(AND(H211="Yes",K211=""),"Missing file link","")))</x:f>
      </x:c>
    </x:row>
    <x:row r="212" ht="20" customHeight="1">
      <x:c r="A212" s="15"/>
      <x:c r="B212" s="28"/>
      <x:c r="C212" s="15"/>
      <x:c r="D212" s="15"/>
      <x:c r="E212" s="15"/>
      <x:c r="F212" s="15"/>
      <x:c r="G212" s="15"/>
      <x:c r="H212" s="15"/>
      <x:c r="I212" s="15"/>
      <x:c r="J212" s="15"/>
      <x:c r="K212" s="15"/>
      <x:c r="L212" s="15" t="str">
        <x:f>IF(COUNTA(B212:K212)=0,"",IF(AND(G212="Yes",H212="Yes",I212="Yes",J212="Yes"),"Verified",IF(G212="No","Not Required","Needs Review")))</x:f>
      </x:c>
      <x:c r="M212" s="15" t="str">
        <x:f>IF(COUNTA(B212:K212)=0,"",TEXTJOIN("; ",TRUE,IF(B212="","Missing work date",""),IF(C212="","Missing project",""),IF(F212="","Missing asset type",""),IF(AND(G212="Yes",H212&lt;&gt;"Yes"),"Required asset not uploaded",""),IF(AND(H212="Yes",I212&lt;&gt;"Yes"),"Missing GPS metadata",""),IF(AND(H212="Yes",J212&lt;&gt;"Yes"),"Missing timestamp metadata",""),IF(AND(H212="Yes",K212=""),"Missing file link","")))</x:f>
      </x:c>
    </x:row>
    <x:row r="213" ht="20" customHeight="1">
      <x:c r="A213" s="15"/>
      <x:c r="B213" s="28"/>
      <x:c r="C213" s="15"/>
      <x:c r="D213" s="15"/>
      <x:c r="E213" s="15"/>
      <x:c r="F213" s="15"/>
      <x:c r="G213" s="15"/>
      <x:c r="H213" s="15"/>
      <x:c r="I213" s="15"/>
      <x:c r="J213" s="15"/>
      <x:c r="K213" s="15"/>
      <x:c r="L213" s="15" t="str">
        <x:f>IF(COUNTA(B213:K213)=0,"",IF(AND(G213="Yes",H213="Yes",I213="Yes",J213="Yes"),"Verified",IF(G213="No","Not Required","Needs Review")))</x:f>
      </x:c>
      <x:c r="M213" s="15" t="str">
        <x:f>IF(COUNTA(B213:K213)=0,"",TEXTJOIN("; ",TRUE,IF(B213="","Missing work date",""),IF(C213="","Missing project",""),IF(F213="","Missing asset type",""),IF(AND(G213="Yes",H213&lt;&gt;"Yes"),"Required asset not uploaded",""),IF(AND(H213="Yes",I213&lt;&gt;"Yes"),"Missing GPS metadata",""),IF(AND(H213="Yes",J213&lt;&gt;"Yes"),"Missing timestamp metadata",""),IF(AND(H213="Yes",K213=""),"Missing file link","")))</x:f>
      </x:c>
    </x:row>
    <x:row r="214" ht="20" customHeight="1">
      <x:c r="A214" s="15"/>
      <x:c r="B214" s="28"/>
      <x:c r="C214" s="15"/>
      <x:c r="D214" s="15"/>
      <x:c r="E214" s="15"/>
      <x:c r="F214" s="15"/>
      <x:c r="G214" s="15"/>
      <x:c r="H214" s="15"/>
      <x:c r="I214" s="15"/>
      <x:c r="J214" s="15"/>
      <x:c r="K214" s="15"/>
      <x:c r="L214" s="15" t="str">
        <x:f>IF(COUNTA(B214:K214)=0,"",IF(AND(G214="Yes",H214="Yes",I214="Yes",J214="Yes"),"Verified",IF(G214="No","Not Required","Needs Review")))</x:f>
      </x:c>
      <x:c r="M214" s="15" t="str">
        <x:f>IF(COUNTA(B214:K214)=0,"",TEXTJOIN("; ",TRUE,IF(B214="","Missing work date",""),IF(C214="","Missing project",""),IF(F214="","Missing asset type",""),IF(AND(G214="Yes",H214&lt;&gt;"Yes"),"Required asset not uploaded",""),IF(AND(H214="Yes",I214&lt;&gt;"Yes"),"Missing GPS metadata",""),IF(AND(H214="Yes",J214&lt;&gt;"Yes"),"Missing timestamp metadata",""),IF(AND(H214="Yes",K214=""),"Missing file link","")))</x:f>
      </x:c>
    </x:row>
    <x:row r="215" ht="20" customHeight="1">
      <x:c r="A215" s="15"/>
      <x:c r="B215" s="28"/>
      <x:c r="C215" s="15"/>
      <x:c r="D215" s="15"/>
      <x:c r="E215" s="15"/>
      <x:c r="F215" s="15"/>
      <x:c r="G215" s="15"/>
      <x:c r="H215" s="15"/>
      <x:c r="I215" s="15"/>
      <x:c r="J215" s="15"/>
      <x:c r="K215" s="15"/>
      <x:c r="L215" s="15" t="str">
        <x:f>IF(COUNTA(B215:K215)=0,"",IF(AND(G215="Yes",H215="Yes",I215="Yes",J215="Yes"),"Verified",IF(G215="No","Not Required","Needs Review")))</x:f>
      </x:c>
      <x:c r="M215" s="15" t="str">
        <x:f>IF(COUNTA(B215:K215)=0,"",TEXTJOIN("; ",TRUE,IF(B215="","Missing work date",""),IF(C215="","Missing project",""),IF(F215="","Missing asset type",""),IF(AND(G215="Yes",H215&lt;&gt;"Yes"),"Required asset not uploaded",""),IF(AND(H215="Yes",I215&lt;&gt;"Yes"),"Missing GPS metadata",""),IF(AND(H215="Yes",J215&lt;&gt;"Yes"),"Missing timestamp metadata",""),IF(AND(H215="Yes",K215=""),"Missing file link","")))</x:f>
      </x:c>
    </x:row>
    <x:row r="216" ht="20" customHeight="1">
      <x:c r="A216" s="15"/>
      <x:c r="B216" s="28"/>
      <x:c r="C216" s="15"/>
      <x:c r="D216" s="15"/>
      <x:c r="E216" s="15"/>
      <x:c r="F216" s="15"/>
      <x:c r="G216" s="15"/>
      <x:c r="H216" s="15"/>
      <x:c r="I216" s="15"/>
      <x:c r="J216" s="15"/>
      <x:c r="K216" s="15"/>
      <x:c r="L216" s="15" t="str">
        <x:f>IF(COUNTA(B216:K216)=0,"",IF(AND(G216="Yes",H216="Yes",I216="Yes",J216="Yes"),"Verified",IF(G216="No","Not Required","Needs Review")))</x:f>
      </x:c>
      <x:c r="M216" s="15" t="str">
        <x:f>IF(COUNTA(B216:K216)=0,"",TEXTJOIN("; ",TRUE,IF(B216="","Missing work date",""),IF(C216="","Missing project",""),IF(F216="","Missing asset type",""),IF(AND(G216="Yes",H216&lt;&gt;"Yes"),"Required asset not uploaded",""),IF(AND(H216="Yes",I216&lt;&gt;"Yes"),"Missing GPS metadata",""),IF(AND(H216="Yes",J216&lt;&gt;"Yes"),"Missing timestamp metadata",""),IF(AND(H216="Yes",K216=""),"Missing file link","")))</x:f>
      </x:c>
    </x:row>
    <x:row r="217" ht="20" customHeight="1">
      <x:c r="A217" s="15"/>
      <x:c r="B217" s="28"/>
      <x:c r="C217" s="15"/>
      <x:c r="D217" s="15"/>
      <x:c r="E217" s="15"/>
      <x:c r="F217" s="15"/>
      <x:c r="G217" s="15"/>
      <x:c r="H217" s="15"/>
      <x:c r="I217" s="15"/>
      <x:c r="J217" s="15"/>
      <x:c r="K217" s="15"/>
      <x:c r="L217" s="15" t="str">
        <x:f>IF(COUNTA(B217:K217)=0,"",IF(AND(G217="Yes",H217="Yes",I217="Yes",J217="Yes"),"Verified",IF(G217="No","Not Required","Needs Review")))</x:f>
      </x:c>
      <x:c r="M217" s="15" t="str">
        <x:f>IF(COUNTA(B217:K217)=0,"",TEXTJOIN("; ",TRUE,IF(B217="","Missing work date",""),IF(C217="","Missing project",""),IF(F217="","Missing asset type",""),IF(AND(G217="Yes",H217&lt;&gt;"Yes"),"Required asset not uploaded",""),IF(AND(H217="Yes",I217&lt;&gt;"Yes"),"Missing GPS metadata",""),IF(AND(H217="Yes",J217&lt;&gt;"Yes"),"Missing timestamp metadata",""),IF(AND(H217="Yes",K217=""),"Missing file link","")))</x:f>
      </x:c>
    </x:row>
    <x:row r="218" ht="20" customHeight="1">
      <x:c r="A218" s="15"/>
      <x:c r="B218" s="28"/>
      <x:c r="C218" s="15"/>
      <x:c r="D218" s="15"/>
      <x:c r="E218" s="15"/>
      <x:c r="F218" s="15"/>
      <x:c r="G218" s="15"/>
      <x:c r="H218" s="15"/>
      <x:c r="I218" s="15"/>
      <x:c r="J218" s="15"/>
      <x:c r="K218" s="15"/>
      <x:c r="L218" s="15" t="str">
        <x:f>IF(COUNTA(B218:K218)=0,"",IF(AND(G218="Yes",H218="Yes",I218="Yes",J218="Yes"),"Verified",IF(G218="No","Not Required","Needs Review")))</x:f>
      </x:c>
      <x:c r="M218" s="15" t="str">
        <x:f>IF(COUNTA(B218:K218)=0,"",TEXTJOIN("; ",TRUE,IF(B218="","Missing work date",""),IF(C218="","Missing project",""),IF(F218="","Missing asset type",""),IF(AND(G218="Yes",H218&lt;&gt;"Yes"),"Required asset not uploaded",""),IF(AND(H218="Yes",I218&lt;&gt;"Yes"),"Missing GPS metadata",""),IF(AND(H218="Yes",J218&lt;&gt;"Yes"),"Missing timestamp metadata",""),IF(AND(H218="Yes",K218=""),"Missing file link","")))</x:f>
      </x:c>
    </x:row>
    <x:row r="219" ht="20" customHeight="1">
      <x:c r="A219" s="15"/>
      <x:c r="B219" s="28"/>
      <x:c r="C219" s="15"/>
      <x:c r="D219" s="15"/>
      <x:c r="E219" s="15"/>
      <x:c r="F219" s="15"/>
      <x:c r="G219" s="15"/>
      <x:c r="H219" s="15"/>
      <x:c r="I219" s="15"/>
      <x:c r="J219" s="15"/>
      <x:c r="K219" s="15"/>
      <x:c r="L219" s="15" t="str">
        <x:f>IF(COUNTA(B219:K219)=0,"",IF(AND(G219="Yes",H219="Yes",I219="Yes",J219="Yes"),"Verified",IF(G219="No","Not Required","Needs Review")))</x:f>
      </x:c>
      <x:c r="M219" s="15" t="str">
        <x:f>IF(COUNTA(B219:K219)=0,"",TEXTJOIN("; ",TRUE,IF(B219="","Missing work date",""),IF(C219="","Missing project",""),IF(F219="","Missing asset type",""),IF(AND(G219="Yes",H219&lt;&gt;"Yes"),"Required asset not uploaded",""),IF(AND(H219="Yes",I219&lt;&gt;"Yes"),"Missing GPS metadata",""),IF(AND(H219="Yes",J219&lt;&gt;"Yes"),"Missing timestamp metadata",""),IF(AND(H219="Yes",K219=""),"Missing file link","")))</x:f>
      </x:c>
    </x:row>
    <x:row r="220" ht="20" customHeight="1">
      <x:c r="A220" s="15"/>
      <x:c r="B220" s="28"/>
      <x:c r="C220" s="15"/>
      <x:c r="D220" s="15"/>
      <x:c r="E220" s="15"/>
      <x:c r="F220" s="15"/>
      <x:c r="G220" s="15"/>
      <x:c r="H220" s="15"/>
      <x:c r="I220" s="15"/>
      <x:c r="J220" s="15"/>
      <x:c r="K220" s="15"/>
      <x:c r="L220" s="15" t="str">
        <x:f>IF(COUNTA(B220:K220)=0,"",IF(AND(G220="Yes",H220="Yes",I220="Yes",J220="Yes"),"Verified",IF(G220="No","Not Required","Needs Review")))</x:f>
      </x:c>
      <x:c r="M220" s="15" t="str">
        <x:f>IF(COUNTA(B220:K220)=0,"",TEXTJOIN("; ",TRUE,IF(B220="","Missing work date",""),IF(C220="","Missing project",""),IF(F220="","Missing asset type",""),IF(AND(G220="Yes",H220&lt;&gt;"Yes"),"Required asset not uploaded",""),IF(AND(H220="Yes",I220&lt;&gt;"Yes"),"Missing GPS metadata",""),IF(AND(H220="Yes",J220&lt;&gt;"Yes"),"Missing timestamp metadata",""),IF(AND(H220="Yes",K220=""),"Missing file link","")))</x:f>
      </x:c>
    </x:row>
    <x:row r="221" ht="20" customHeight="1">
      <x:c r="A221" s="15"/>
      <x:c r="B221" s="28"/>
      <x:c r="C221" s="15"/>
      <x:c r="D221" s="15"/>
      <x:c r="E221" s="15"/>
      <x:c r="F221" s="15"/>
      <x:c r="G221" s="15"/>
      <x:c r="H221" s="15"/>
      <x:c r="I221" s="15"/>
      <x:c r="J221" s="15"/>
      <x:c r="K221" s="15"/>
      <x:c r="L221" s="15" t="str">
        <x:f>IF(COUNTA(B221:K221)=0,"",IF(AND(G221="Yes",H221="Yes",I221="Yes",J221="Yes"),"Verified",IF(G221="No","Not Required","Needs Review")))</x:f>
      </x:c>
      <x:c r="M221" s="15" t="str">
        <x:f>IF(COUNTA(B221:K221)=0,"",TEXTJOIN("; ",TRUE,IF(B221="","Missing work date",""),IF(C221="","Missing project",""),IF(F221="","Missing asset type",""),IF(AND(G221="Yes",H221&lt;&gt;"Yes"),"Required asset not uploaded",""),IF(AND(H221="Yes",I221&lt;&gt;"Yes"),"Missing GPS metadata",""),IF(AND(H221="Yes",J221&lt;&gt;"Yes"),"Missing timestamp metadata",""),IF(AND(H221="Yes",K221=""),"Missing file link","")))</x:f>
      </x:c>
    </x:row>
    <x:row r="222" ht="20" customHeight="1">
      <x:c r="A222" s="15"/>
      <x:c r="B222" s="28"/>
      <x:c r="C222" s="15"/>
      <x:c r="D222" s="15"/>
      <x:c r="E222" s="15"/>
      <x:c r="F222" s="15"/>
      <x:c r="G222" s="15"/>
      <x:c r="H222" s="15"/>
      <x:c r="I222" s="15"/>
      <x:c r="J222" s="15"/>
      <x:c r="K222" s="15"/>
      <x:c r="L222" s="15" t="str">
        <x:f>IF(COUNTA(B222:K222)=0,"",IF(AND(G222="Yes",H222="Yes",I222="Yes",J222="Yes"),"Verified",IF(G222="No","Not Required","Needs Review")))</x:f>
      </x:c>
      <x:c r="M222" s="15" t="str">
        <x:f>IF(COUNTA(B222:K222)=0,"",TEXTJOIN("; ",TRUE,IF(B222="","Missing work date",""),IF(C222="","Missing project",""),IF(F222="","Missing asset type",""),IF(AND(G222="Yes",H222&lt;&gt;"Yes"),"Required asset not uploaded",""),IF(AND(H222="Yes",I222&lt;&gt;"Yes"),"Missing GPS metadata",""),IF(AND(H222="Yes",J222&lt;&gt;"Yes"),"Missing timestamp metadata",""),IF(AND(H222="Yes",K222=""),"Missing file link","")))</x:f>
      </x:c>
    </x:row>
    <x:row r="223" ht="20" customHeight="1">
      <x:c r="A223" s="15"/>
      <x:c r="B223" s="28"/>
      <x:c r="C223" s="15"/>
      <x:c r="D223" s="15"/>
      <x:c r="E223" s="15"/>
      <x:c r="F223" s="15"/>
      <x:c r="G223" s="15"/>
      <x:c r="H223" s="15"/>
      <x:c r="I223" s="15"/>
      <x:c r="J223" s="15"/>
      <x:c r="K223" s="15"/>
      <x:c r="L223" s="15" t="str">
        <x:f>IF(COUNTA(B223:K223)=0,"",IF(AND(G223="Yes",H223="Yes",I223="Yes",J223="Yes"),"Verified",IF(G223="No","Not Required","Needs Review")))</x:f>
      </x:c>
      <x:c r="M223" s="15" t="str">
        <x:f>IF(COUNTA(B223:K223)=0,"",TEXTJOIN("; ",TRUE,IF(B223="","Missing work date",""),IF(C223="","Missing project",""),IF(F223="","Missing asset type",""),IF(AND(G223="Yes",H223&lt;&gt;"Yes"),"Required asset not uploaded",""),IF(AND(H223="Yes",I223&lt;&gt;"Yes"),"Missing GPS metadata",""),IF(AND(H223="Yes",J223&lt;&gt;"Yes"),"Missing timestamp metadata",""),IF(AND(H223="Yes",K223=""),"Missing file link","")))</x:f>
      </x:c>
    </x:row>
    <x:row r="224" ht="20" customHeight="1">
      <x:c r="A224" s="15"/>
      <x:c r="B224" s="28"/>
      <x:c r="C224" s="15"/>
      <x:c r="D224" s="15"/>
      <x:c r="E224" s="15"/>
      <x:c r="F224" s="15"/>
      <x:c r="G224" s="15"/>
      <x:c r="H224" s="15"/>
      <x:c r="I224" s="15"/>
      <x:c r="J224" s="15"/>
      <x:c r="K224" s="15"/>
      <x:c r="L224" s="15" t="str">
        <x:f>IF(COUNTA(B224:K224)=0,"",IF(AND(G224="Yes",H224="Yes",I224="Yes",J224="Yes"),"Verified",IF(G224="No","Not Required","Needs Review")))</x:f>
      </x:c>
      <x:c r="M224" s="15" t="str">
        <x:f>IF(COUNTA(B224:K224)=0,"",TEXTJOIN("; ",TRUE,IF(B224="","Missing work date",""),IF(C224="","Missing project",""),IF(F224="","Missing asset type",""),IF(AND(G224="Yes",H224&lt;&gt;"Yes"),"Required asset not uploaded",""),IF(AND(H224="Yes",I224&lt;&gt;"Yes"),"Missing GPS metadata",""),IF(AND(H224="Yes",J224&lt;&gt;"Yes"),"Missing timestamp metadata",""),IF(AND(H224="Yes",K224=""),"Missing file link","")))</x:f>
      </x:c>
    </x:row>
    <x:row r="225" ht="20" customHeight="1">
      <x:c r="A225" s="15"/>
      <x:c r="B225" s="28"/>
      <x:c r="C225" s="15"/>
      <x:c r="D225" s="15"/>
      <x:c r="E225" s="15"/>
      <x:c r="F225" s="15"/>
      <x:c r="G225" s="15"/>
      <x:c r="H225" s="15"/>
      <x:c r="I225" s="15"/>
      <x:c r="J225" s="15"/>
      <x:c r="K225" s="15"/>
      <x:c r="L225" s="15" t="str">
        <x:f>IF(COUNTA(B225:K225)=0,"",IF(AND(G225="Yes",H225="Yes",I225="Yes",J225="Yes"),"Verified",IF(G225="No","Not Required","Needs Review")))</x:f>
      </x:c>
      <x:c r="M225" s="15" t="str">
        <x:f>IF(COUNTA(B225:K225)=0,"",TEXTJOIN("; ",TRUE,IF(B225="","Missing work date",""),IF(C225="","Missing project",""),IF(F225="","Missing asset type",""),IF(AND(G225="Yes",H225&lt;&gt;"Yes"),"Required asset not uploaded",""),IF(AND(H225="Yes",I225&lt;&gt;"Yes"),"Missing GPS metadata",""),IF(AND(H225="Yes",J225&lt;&gt;"Yes"),"Missing timestamp metadata",""),IF(AND(H225="Yes",K225=""),"Missing file link","")))</x:f>
      </x:c>
    </x:row>
    <x:row r="226" ht="20" customHeight="1">
      <x:c r="A226" s="15"/>
      <x:c r="B226" s="28"/>
      <x:c r="C226" s="15"/>
      <x:c r="D226" s="15"/>
      <x:c r="E226" s="15"/>
      <x:c r="F226" s="15"/>
      <x:c r="G226" s="15"/>
      <x:c r="H226" s="15"/>
      <x:c r="I226" s="15"/>
      <x:c r="J226" s="15"/>
      <x:c r="K226" s="15"/>
      <x:c r="L226" s="15" t="str">
        <x:f>IF(COUNTA(B226:K226)=0,"",IF(AND(G226="Yes",H226="Yes",I226="Yes",J226="Yes"),"Verified",IF(G226="No","Not Required","Needs Review")))</x:f>
      </x:c>
      <x:c r="M226" s="15" t="str">
        <x:f>IF(COUNTA(B226:K226)=0,"",TEXTJOIN("; ",TRUE,IF(B226="","Missing work date",""),IF(C226="","Missing project",""),IF(F226="","Missing asset type",""),IF(AND(G226="Yes",H226&lt;&gt;"Yes"),"Required asset not uploaded",""),IF(AND(H226="Yes",I226&lt;&gt;"Yes"),"Missing GPS metadata",""),IF(AND(H226="Yes",J226&lt;&gt;"Yes"),"Missing timestamp metadata",""),IF(AND(H226="Yes",K226=""),"Missing file link","")))</x:f>
      </x:c>
    </x:row>
    <x:row r="227" ht="20" customHeight="1">
      <x:c r="A227" s="15"/>
      <x:c r="B227" s="28"/>
      <x:c r="C227" s="15"/>
      <x:c r="D227" s="15"/>
      <x:c r="E227" s="15"/>
      <x:c r="F227" s="15"/>
      <x:c r="G227" s="15"/>
      <x:c r="H227" s="15"/>
      <x:c r="I227" s="15"/>
      <x:c r="J227" s="15"/>
      <x:c r="K227" s="15"/>
      <x:c r="L227" s="15" t="str">
        <x:f>IF(COUNTA(B227:K227)=0,"",IF(AND(G227="Yes",H227="Yes",I227="Yes",J227="Yes"),"Verified",IF(G227="No","Not Required","Needs Review")))</x:f>
      </x:c>
      <x:c r="M227" s="15" t="str">
        <x:f>IF(COUNTA(B227:K227)=0,"",TEXTJOIN("; ",TRUE,IF(B227="","Missing work date",""),IF(C227="","Missing project",""),IF(F227="","Missing asset type",""),IF(AND(G227="Yes",H227&lt;&gt;"Yes"),"Required asset not uploaded",""),IF(AND(H227="Yes",I227&lt;&gt;"Yes"),"Missing GPS metadata",""),IF(AND(H227="Yes",J227&lt;&gt;"Yes"),"Missing timestamp metadata",""),IF(AND(H227="Yes",K227=""),"Missing file link","")))</x:f>
      </x:c>
    </x:row>
    <x:row r="228" ht="20" customHeight="1">
      <x:c r="A228" s="15"/>
      <x:c r="B228" s="28"/>
      <x:c r="C228" s="15"/>
      <x:c r="D228" s="15"/>
      <x:c r="E228" s="15"/>
      <x:c r="F228" s="15"/>
      <x:c r="G228" s="15"/>
      <x:c r="H228" s="15"/>
      <x:c r="I228" s="15"/>
      <x:c r="J228" s="15"/>
      <x:c r="K228" s="15"/>
      <x:c r="L228" s="15" t="str">
        <x:f>IF(COUNTA(B228:K228)=0,"",IF(AND(G228="Yes",H228="Yes",I228="Yes",J228="Yes"),"Verified",IF(G228="No","Not Required","Needs Review")))</x:f>
      </x:c>
      <x:c r="M228" s="15" t="str">
        <x:f>IF(COUNTA(B228:K228)=0,"",TEXTJOIN("; ",TRUE,IF(B228="","Missing work date",""),IF(C228="","Missing project",""),IF(F228="","Missing asset type",""),IF(AND(G228="Yes",H228&lt;&gt;"Yes"),"Required asset not uploaded",""),IF(AND(H228="Yes",I228&lt;&gt;"Yes"),"Missing GPS metadata",""),IF(AND(H228="Yes",J228&lt;&gt;"Yes"),"Missing timestamp metadata",""),IF(AND(H228="Yes",K228=""),"Missing file link","")))</x:f>
      </x:c>
    </x:row>
    <x:row r="229" ht="20" customHeight="1">
      <x:c r="A229" s="15"/>
      <x:c r="B229" s="28"/>
      <x:c r="C229" s="15"/>
      <x:c r="D229" s="15"/>
      <x:c r="E229" s="15"/>
      <x:c r="F229" s="15"/>
      <x:c r="G229" s="15"/>
      <x:c r="H229" s="15"/>
      <x:c r="I229" s="15"/>
      <x:c r="J229" s="15"/>
      <x:c r="K229" s="15"/>
      <x:c r="L229" s="15" t="str">
        <x:f>IF(COUNTA(B229:K229)=0,"",IF(AND(G229="Yes",H229="Yes",I229="Yes",J229="Yes"),"Verified",IF(G229="No","Not Required","Needs Review")))</x:f>
      </x:c>
      <x:c r="M229" s="15" t="str">
        <x:f>IF(COUNTA(B229:K229)=0,"",TEXTJOIN("; ",TRUE,IF(B229="","Missing work date",""),IF(C229="","Missing project",""),IF(F229="","Missing asset type",""),IF(AND(G229="Yes",H229&lt;&gt;"Yes"),"Required asset not uploaded",""),IF(AND(H229="Yes",I229&lt;&gt;"Yes"),"Missing GPS metadata",""),IF(AND(H229="Yes",J229&lt;&gt;"Yes"),"Missing timestamp metadata",""),IF(AND(H229="Yes",K229=""),"Missing file link","")))</x:f>
      </x:c>
    </x:row>
    <x:row r="230" ht="20" customHeight="1">
      <x:c r="A230" s="15"/>
      <x:c r="B230" s="28"/>
      <x:c r="C230" s="15"/>
      <x:c r="D230" s="15"/>
      <x:c r="E230" s="15"/>
      <x:c r="F230" s="15"/>
      <x:c r="G230" s="15"/>
      <x:c r="H230" s="15"/>
      <x:c r="I230" s="15"/>
      <x:c r="J230" s="15"/>
      <x:c r="K230" s="15"/>
      <x:c r="L230" s="15" t="str">
        <x:f>IF(COUNTA(B230:K230)=0,"",IF(AND(G230="Yes",H230="Yes",I230="Yes",J230="Yes"),"Verified",IF(G230="No","Not Required","Needs Review")))</x:f>
      </x:c>
      <x:c r="M230" s="15" t="str">
        <x:f>IF(COUNTA(B230:K230)=0,"",TEXTJOIN("; ",TRUE,IF(B230="","Missing work date",""),IF(C230="","Missing project",""),IF(F230="","Missing asset type",""),IF(AND(G230="Yes",H230&lt;&gt;"Yes"),"Required asset not uploaded",""),IF(AND(H230="Yes",I230&lt;&gt;"Yes"),"Missing GPS metadata",""),IF(AND(H230="Yes",J230&lt;&gt;"Yes"),"Missing timestamp metadata",""),IF(AND(H230="Yes",K230=""),"Missing file link","")))</x:f>
      </x:c>
    </x:row>
    <x:row r="231" ht="20" customHeight="1">
      <x:c r="A231" s="15"/>
      <x:c r="B231" s="28"/>
      <x:c r="C231" s="15"/>
      <x:c r="D231" s="15"/>
      <x:c r="E231" s="15"/>
      <x:c r="F231" s="15"/>
      <x:c r="G231" s="15"/>
      <x:c r="H231" s="15"/>
      <x:c r="I231" s="15"/>
      <x:c r="J231" s="15"/>
      <x:c r="K231" s="15"/>
      <x:c r="L231" s="15" t="str">
        <x:f>IF(COUNTA(B231:K231)=0,"",IF(AND(G231="Yes",H231="Yes",I231="Yes",J231="Yes"),"Verified",IF(G231="No","Not Required","Needs Review")))</x:f>
      </x:c>
      <x:c r="M231" s="15" t="str">
        <x:f>IF(COUNTA(B231:K231)=0,"",TEXTJOIN("; ",TRUE,IF(B231="","Missing work date",""),IF(C231="","Missing project",""),IF(F231="","Missing asset type",""),IF(AND(G231="Yes",H231&lt;&gt;"Yes"),"Required asset not uploaded",""),IF(AND(H231="Yes",I231&lt;&gt;"Yes"),"Missing GPS metadata",""),IF(AND(H231="Yes",J231&lt;&gt;"Yes"),"Missing timestamp metadata",""),IF(AND(H231="Yes",K231=""),"Missing file link","")))</x:f>
      </x:c>
    </x:row>
    <x:row r="232" ht="20" customHeight="1">
      <x:c r="A232" s="15"/>
      <x:c r="B232" s="28"/>
      <x:c r="C232" s="15"/>
      <x:c r="D232" s="15"/>
      <x:c r="E232" s="15"/>
      <x:c r="F232" s="15"/>
      <x:c r="G232" s="15"/>
      <x:c r="H232" s="15"/>
      <x:c r="I232" s="15"/>
      <x:c r="J232" s="15"/>
      <x:c r="K232" s="15"/>
      <x:c r="L232" s="15" t="str">
        <x:f>IF(COUNTA(B232:K232)=0,"",IF(AND(G232="Yes",H232="Yes",I232="Yes",J232="Yes"),"Verified",IF(G232="No","Not Required","Needs Review")))</x:f>
      </x:c>
      <x:c r="M232" s="15" t="str">
        <x:f>IF(COUNTA(B232:K232)=0,"",TEXTJOIN("; ",TRUE,IF(B232="","Missing work date",""),IF(C232="","Missing project",""),IF(F232="","Missing asset type",""),IF(AND(G232="Yes",H232&lt;&gt;"Yes"),"Required asset not uploaded",""),IF(AND(H232="Yes",I232&lt;&gt;"Yes"),"Missing GPS metadata",""),IF(AND(H232="Yes",J232&lt;&gt;"Yes"),"Missing timestamp metadata",""),IF(AND(H232="Yes",K232=""),"Missing file link","")))</x:f>
      </x:c>
    </x:row>
    <x:row r="233" ht="20" customHeight="1">
      <x:c r="A233" s="15"/>
      <x:c r="B233" s="28"/>
      <x:c r="C233" s="15"/>
      <x:c r="D233" s="15"/>
      <x:c r="E233" s="15"/>
      <x:c r="F233" s="15"/>
      <x:c r="G233" s="15"/>
      <x:c r="H233" s="15"/>
      <x:c r="I233" s="15"/>
      <x:c r="J233" s="15"/>
      <x:c r="K233" s="15"/>
      <x:c r="L233" s="15" t="str">
        <x:f>IF(COUNTA(B233:K233)=0,"",IF(AND(G233="Yes",H233="Yes",I233="Yes",J233="Yes"),"Verified",IF(G233="No","Not Required","Needs Review")))</x:f>
      </x:c>
      <x:c r="M233" s="15" t="str">
        <x:f>IF(COUNTA(B233:K233)=0,"",TEXTJOIN("; ",TRUE,IF(B233="","Missing work date",""),IF(C233="","Missing project",""),IF(F233="","Missing asset type",""),IF(AND(G233="Yes",H233&lt;&gt;"Yes"),"Required asset not uploaded",""),IF(AND(H233="Yes",I233&lt;&gt;"Yes"),"Missing GPS metadata",""),IF(AND(H233="Yes",J233&lt;&gt;"Yes"),"Missing timestamp metadata",""),IF(AND(H233="Yes",K233=""),"Missing file link","")))</x:f>
      </x:c>
    </x:row>
    <x:row r="234" ht="20" customHeight="1">
      <x:c r="A234" s="15"/>
      <x:c r="B234" s="28"/>
      <x:c r="C234" s="15"/>
      <x:c r="D234" s="15"/>
      <x:c r="E234" s="15"/>
      <x:c r="F234" s="15"/>
      <x:c r="G234" s="15"/>
      <x:c r="H234" s="15"/>
      <x:c r="I234" s="15"/>
      <x:c r="J234" s="15"/>
      <x:c r="K234" s="15"/>
      <x:c r="L234" s="15" t="str">
        <x:f>IF(COUNTA(B234:K234)=0,"",IF(AND(G234="Yes",H234="Yes",I234="Yes",J234="Yes"),"Verified",IF(G234="No","Not Required","Needs Review")))</x:f>
      </x:c>
      <x:c r="M234" s="15" t="str">
        <x:f>IF(COUNTA(B234:K234)=0,"",TEXTJOIN("; ",TRUE,IF(B234="","Missing work date",""),IF(C234="","Missing project",""),IF(F234="","Missing asset type",""),IF(AND(G234="Yes",H234&lt;&gt;"Yes"),"Required asset not uploaded",""),IF(AND(H234="Yes",I234&lt;&gt;"Yes"),"Missing GPS metadata",""),IF(AND(H234="Yes",J234&lt;&gt;"Yes"),"Missing timestamp metadata",""),IF(AND(H234="Yes",K234=""),"Missing file link","")))</x:f>
      </x:c>
    </x:row>
    <x:row r="235" ht="20" customHeight="1">
      <x:c r="A235" s="15"/>
      <x:c r="B235" s="28"/>
      <x:c r="C235" s="15"/>
      <x:c r="D235" s="15"/>
      <x:c r="E235" s="15"/>
      <x:c r="F235" s="15"/>
      <x:c r="G235" s="15"/>
      <x:c r="H235" s="15"/>
      <x:c r="I235" s="15"/>
      <x:c r="J235" s="15"/>
      <x:c r="K235" s="15"/>
      <x:c r="L235" s="15" t="str">
        <x:f>IF(COUNTA(B235:K235)=0,"",IF(AND(G235="Yes",H235="Yes",I235="Yes",J235="Yes"),"Verified",IF(G235="No","Not Required","Needs Review")))</x:f>
      </x:c>
      <x:c r="M235" s="15" t="str">
        <x:f>IF(COUNTA(B235:K235)=0,"",TEXTJOIN("; ",TRUE,IF(B235="","Missing work date",""),IF(C235="","Missing project",""),IF(F235="","Missing asset type",""),IF(AND(G235="Yes",H235&lt;&gt;"Yes"),"Required asset not uploaded",""),IF(AND(H235="Yes",I235&lt;&gt;"Yes"),"Missing GPS metadata",""),IF(AND(H235="Yes",J235&lt;&gt;"Yes"),"Missing timestamp metadata",""),IF(AND(H235="Yes",K235=""),"Missing file link","")))</x:f>
      </x:c>
    </x:row>
    <x:row r="236" ht="20" customHeight="1">
      <x:c r="A236" s="15"/>
      <x:c r="B236" s="28"/>
      <x:c r="C236" s="15"/>
      <x:c r="D236" s="15"/>
      <x:c r="E236" s="15"/>
      <x:c r="F236" s="15"/>
      <x:c r="G236" s="15"/>
      <x:c r="H236" s="15"/>
      <x:c r="I236" s="15"/>
      <x:c r="J236" s="15"/>
      <x:c r="K236" s="15"/>
      <x:c r="L236" s="15" t="str">
        <x:f>IF(COUNTA(B236:K236)=0,"",IF(AND(G236="Yes",H236="Yes",I236="Yes",J236="Yes"),"Verified",IF(G236="No","Not Required","Needs Review")))</x:f>
      </x:c>
      <x:c r="M236" s="15" t="str">
        <x:f>IF(COUNTA(B236:K236)=0,"",TEXTJOIN("; ",TRUE,IF(B236="","Missing work date",""),IF(C236="","Missing project",""),IF(F236="","Missing asset type",""),IF(AND(G236="Yes",H236&lt;&gt;"Yes"),"Required asset not uploaded",""),IF(AND(H236="Yes",I236&lt;&gt;"Yes"),"Missing GPS metadata",""),IF(AND(H236="Yes",J236&lt;&gt;"Yes"),"Missing timestamp metadata",""),IF(AND(H236="Yes",K236=""),"Missing file link","")))</x:f>
      </x:c>
    </x:row>
    <x:row r="237" ht="20" customHeight="1">
      <x:c r="A237" s="15"/>
      <x:c r="B237" s="28"/>
      <x:c r="C237" s="15"/>
      <x:c r="D237" s="15"/>
      <x:c r="E237" s="15"/>
      <x:c r="F237" s="15"/>
      <x:c r="G237" s="15"/>
      <x:c r="H237" s="15"/>
      <x:c r="I237" s="15"/>
      <x:c r="J237" s="15"/>
      <x:c r="K237" s="15"/>
      <x:c r="L237" s="15" t="str">
        <x:f>IF(COUNTA(B237:K237)=0,"",IF(AND(G237="Yes",H237="Yes",I237="Yes",J237="Yes"),"Verified",IF(G237="No","Not Required","Needs Review")))</x:f>
      </x:c>
      <x:c r="M237" s="15" t="str">
        <x:f>IF(COUNTA(B237:K237)=0,"",TEXTJOIN("; ",TRUE,IF(B237="","Missing work date",""),IF(C237="","Missing project",""),IF(F237="","Missing asset type",""),IF(AND(G237="Yes",H237&lt;&gt;"Yes"),"Required asset not uploaded",""),IF(AND(H237="Yes",I237&lt;&gt;"Yes"),"Missing GPS metadata",""),IF(AND(H237="Yes",J237&lt;&gt;"Yes"),"Missing timestamp metadata",""),IF(AND(H237="Yes",K237=""),"Missing file link","")))</x:f>
      </x:c>
    </x:row>
    <x:row r="238" ht="20" customHeight="1">
      <x:c r="A238" s="15"/>
      <x:c r="B238" s="28"/>
      <x:c r="C238" s="15"/>
      <x:c r="D238" s="15"/>
      <x:c r="E238" s="15"/>
      <x:c r="F238" s="15"/>
      <x:c r="G238" s="15"/>
      <x:c r="H238" s="15"/>
      <x:c r="I238" s="15"/>
      <x:c r="J238" s="15"/>
      <x:c r="K238" s="15"/>
      <x:c r="L238" s="15" t="str">
        <x:f>IF(COUNTA(B238:K238)=0,"",IF(AND(G238="Yes",H238="Yes",I238="Yes",J238="Yes"),"Verified",IF(G238="No","Not Required","Needs Review")))</x:f>
      </x:c>
      <x:c r="M238" s="15" t="str">
        <x:f>IF(COUNTA(B238:K238)=0,"",TEXTJOIN("; ",TRUE,IF(B238="","Missing work date",""),IF(C238="","Missing project",""),IF(F238="","Missing asset type",""),IF(AND(G238="Yes",H238&lt;&gt;"Yes"),"Required asset not uploaded",""),IF(AND(H238="Yes",I238&lt;&gt;"Yes"),"Missing GPS metadata",""),IF(AND(H238="Yes",J238&lt;&gt;"Yes"),"Missing timestamp metadata",""),IF(AND(H238="Yes",K238=""),"Missing file link","")))</x:f>
      </x:c>
    </x:row>
    <x:row r="239" ht="20" customHeight="1">
      <x:c r="A239" s="15"/>
      <x:c r="B239" s="28"/>
      <x:c r="C239" s="15"/>
      <x:c r="D239" s="15"/>
      <x:c r="E239" s="15"/>
      <x:c r="F239" s="15"/>
      <x:c r="G239" s="15"/>
      <x:c r="H239" s="15"/>
      <x:c r="I239" s="15"/>
      <x:c r="J239" s="15"/>
      <x:c r="K239" s="15"/>
      <x:c r="L239" s="15" t="str">
        <x:f>IF(COUNTA(B239:K239)=0,"",IF(AND(G239="Yes",H239="Yes",I239="Yes",J239="Yes"),"Verified",IF(G239="No","Not Required","Needs Review")))</x:f>
      </x:c>
      <x:c r="M239" s="15" t="str">
        <x:f>IF(COUNTA(B239:K239)=0,"",TEXTJOIN("; ",TRUE,IF(B239="","Missing work date",""),IF(C239="","Missing project",""),IF(F239="","Missing asset type",""),IF(AND(G239="Yes",H239&lt;&gt;"Yes"),"Required asset not uploaded",""),IF(AND(H239="Yes",I239&lt;&gt;"Yes"),"Missing GPS metadata",""),IF(AND(H239="Yes",J239&lt;&gt;"Yes"),"Missing timestamp metadata",""),IF(AND(H239="Yes",K239=""),"Missing file link","")))</x:f>
      </x:c>
    </x:row>
    <x:row r="240" ht="20" customHeight="1">
      <x:c r="A240" s="15"/>
      <x:c r="B240" s="28"/>
      <x:c r="C240" s="15"/>
      <x:c r="D240" s="15"/>
      <x:c r="E240" s="15"/>
      <x:c r="F240" s="15"/>
      <x:c r="G240" s="15"/>
      <x:c r="H240" s="15"/>
      <x:c r="I240" s="15"/>
      <x:c r="J240" s="15"/>
      <x:c r="K240" s="15"/>
      <x:c r="L240" s="15" t="str">
        <x:f>IF(COUNTA(B240:K240)=0,"",IF(AND(G240="Yes",H240="Yes",I240="Yes",J240="Yes"),"Verified",IF(G240="No","Not Required","Needs Review")))</x:f>
      </x:c>
      <x:c r="M240" s="15" t="str">
        <x:f>IF(COUNTA(B240:K240)=0,"",TEXTJOIN("; ",TRUE,IF(B240="","Missing work date",""),IF(C240="","Missing project",""),IF(F240="","Missing asset type",""),IF(AND(G240="Yes",H240&lt;&gt;"Yes"),"Required asset not uploaded",""),IF(AND(H240="Yes",I240&lt;&gt;"Yes"),"Missing GPS metadata",""),IF(AND(H240="Yes",J240&lt;&gt;"Yes"),"Missing timestamp metadata",""),IF(AND(H240="Yes",K240=""),"Missing file link","")))</x:f>
      </x:c>
    </x:row>
    <x:row r="241" ht="20" customHeight="1">
      <x:c r="A241" s="15"/>
      <x:c r="B241" s="28"/>
      <x:c r="C241" s="15"/>
      <x:c r="D241" s="15"/>
      <x:c r="E241" s="15"/>
      <x:c r="F241" s="15"/>
      <x:c r="G241" s="15"/>
      <x:c r="H241" s="15"/>
      <x:c r="I241" s="15"/>
      <x:c r="J241" s="15"/>
      <x:c r="K241" s="15"/>
      <x:c r="L241" s="15" t="str">
        <x:f>IF(COUNTA(B241:K241)=0,"",IF(AND(G241="Yes",H241="Yes",I241="Yes",J241="Yes"),"Verified",IF(G241="No","Not Required","Needs Review")))</x:f>
      </x:c>
      <x:c r="M241" s="15" t="str">
        <x:f>IF(COUNTA(B241:K241)=0,"",TEXTJOIN("; ",TRUE,IF(B241="","Missing work date",""),IF(C241="","Missing project",""),IF(F241="","Missing asset type",""),IF(AND(G241="Yes",H241&lt;&gt;"Yes"),"Required asset not uploaded",""),IF(AND(H241="Yes",I241&lt;&gt;"Yes"),"Missing GPS metadata",""),IF(AND(H241="Yes",J241&lt;&gt;"Yes"),"Missing timestamp metadata",""),IF(AND(H241="Yes",K241=""),"Missing file link","")))</x:f>
      </x:c>
    </x:row>
    <x:row r="242" ht="20" customHeight="1">
      <x:c r="A242" s="15"/>
      <x:c r="B242" s="28"/>
      <x:c r="C242" s="15"/>
      <x:c r="D242" s="15"/>
      <x:c r="E242" s="15"/>
      <x:c r="F242" s="15"/>
      <x:c r="G242" s="15"/>
      <x:c r="H242" s="15"/>
      <x:c r="I242" s="15"/>
      <x:c r="J242" s="15"/>
      <x:c r="K242" s="15"/>
      <x:c r="L242" s="15" t="str">
        <x:f>IF(COUNTA(B242:K242)=0,"",IF(AND(G242="Yes",H242="Yes",I242="Yes",J242="Yes"),"Verified",IF(G242="No","Not Required","Needs Review")))</x:f>
      </x:c>
      <x:c r="M242" s="15" t="str">
        <x:f>IF(COUNTA(B242:K242)=0,"",TEXTJOIN("; ",TRUE,IF(B242="","Missing work date",""),IF(C242="","Missing project",""),IF(F242="","Missing asset type",""),IF(AND(G242="Yes",H242&lt;&gt;"Yes"),"Required asset not uploaded",""),IF(AND(H242="Yes",I242&lt;&gt;"Yes"),"Missing GPS metadata",""),IF(AND(H242="Yes",J242&lt;&gt;"Yes"),"Missing timestamp metadata",""),IF(AND(H242="Yes",K242=""),"Missing file link","")))</x:f>
      </x:c>
    </x:row>
    <x:row r="243" ht="20" customHeight="1">
      <x:c r="A243" s="15"/>
      <x:c r="B243" s="28"/>
      <x:c r="C243" s="15"/>
      <x:c r="D243" s="15"/>
      <x:c r="E243" s="15"/>
      <x:c r="F243" s="15"/>
      <x:c r="G243" s="15"/>
      <x:c r="H243" s="15"/>
      <x:c r="I243" s="15"/>
      <x:c r="J243" s="15"/>
      <x:c r="K243" s="15"/>
      <x:c r="L243" s="15" t="str">
        <x:f>IF(COUNTA(B243:K243)=0,"",IF(AND(G243="Yes",H243="Yes",I243="Yes",J243="Yes"),"Verified",IF(G243="No","Not Required","Needs Review")))</x:f>
      </x:c>
      <x:c r="M243" s="15" t="str">
        <x:f>IF(COUNTA(B243:K243)=0,"",TEXTJOIN("; ",TRUE,IF(B243="","Missing work date",""),IF(C243="","Missing project",""),IF(F243="","Missing asset type",""),IF(AND(G243="Yes",H243&lt;&gt;"Yes"),"Required asset not uploaded",""),IF(AND(H243="Yes",I243&lt;&gt;"Yes"),"Missing GPS metadata",""),IF(AND(H243="Yes",J243&lt;&gt;"Yes"),"Missing timestamp metadata",""),IF(AND(H243="Yes",K243=""),"Missing file link","")))</x:f>
      </x:c>
    </x:row>
    <x:row r="244" ht="20" customHeight="1">
      <x:c r="A244" s="15"/>
      <x:c r="B244" s="28"/>
      <x:c r="C244" s="15"/>
      <x:c r="D244" s="15"/>
      <x:c r="E244" s="15"/>
      <x:c r="F244" s="15"/>
      <x:c r="G244" s="15"/>
      <x:c r="H244" s="15"/>
      <x:c r="I244" s="15"/>
      <x:c r="J244" s="15"/>
      <x:c r="K244" s="15"/>
      <x:c r="L244" s="15" t="str">
        <x:f>IF(COUNTA(B244:K244)=0,"",IF(AND(G244="Yes",H244="Yes",I244="Yes",J244="Yes"),"Verified",IF(G244="No","Not Required","Needs Review")))</x:f>
      </x:c>
      <x:c r="M244" s="15" t="str">
        <x:f>IF(COUNTA(B244:K244)=0,"",TEXTJOIN("; ",TRUE,IF(B244="","Missing work date",""),IF(C244="","Missing project",""),IF(F244="","Missing asset type",""),IF(AND(G244="Yes",H244&lt;&gt;"Yes"),"Required asset not uploaded",""),IF(AND(H244="Yes",I244&lt;&gt;"Yes"),"Missing GPS metadata",""),IF(AND(H244="Yes",J244&lt;&gt;"Yes"),"Missing timestamp metadata",""),IF(AND(H244="Yes",K244=""),"Missing file link","")))</x:f>
      </x:c>
    </x:row>
    <x:row r="245" ht="20" customHeight="1">
      <x:c r="A245" s="15"/>
      <x:c r="B245" s="28"/>
      <x:c r="C245" s="15"/>
      <x:c r="D245" s="15"/>
      <x:c r="E245" s="15"/>
      <x:c r="F245" s="15"/>
      <x:c r="G245" s="15"/>
      <x:c r="H245" s="15"/>
      <x:c r="I245" s="15"/>
      <x:c r="J245" s="15"/>
      <x:c r="K245" s="15"/>
      <x:c r="L245" s="15" t="str">
        <x:f>IF(COUNTA(B245:K245)=0,"",IF(AND(G245="Yes",H245="Yes",I245="Yes",J245="Yes"),"Verified",IF(G245="No","Not Required","Needs Review")))</x:f>
      </x:c>
      <x:c r="M245" s="15" t="str">
        <x:f>IF(COUNTA(B245:K245)=0,"",TEXTJOIN("; ",TRUE,IF(B245="","Missing work date",""),IF(C245="","Missing project",""),IF(F245="","Missing asset type",""),IF(AND(G245="Yes",H245&lt;&gt;"Yes"),"Required asset not uploaded",""),IF(AND(H245="Yes",I245&lt;&gt;"Yes"),"Missing GPS metadata",""),IF(AND(H245="Yes",J245&lt;&gt;"Yes"),"Missing timestamp metadata",""),IF(AND(H245="Yes",K245=""),"Missing file link","")))</x:f>
      </x:c>
    </x:row>
    <x:row r="246" ht="20" customHeight="1">
      <x:c r="A246" s="15"/>
      <x:c r="B246" s="28"/>
      <x:c r="C246" s="15"/>
      <x:c r="D246" s="15"/>
      <x:c r="E246" s="15"/>
      <x:c r="F246" s="15"/>
      <x:c r="G246" s="15"/>
      <x:c r="H246" s="15"/>
      <x:c r="I246" s="15"/>
      <x:c r="J246" s="15"/>
      <x:c r="K246" s="15"/>
      <x:c r="L246" s="15" t="str">
        <x:f>IF(COUNTA(B246:K246)=0,"",IF(AND(G246="Yes",H246="Yes",I246="Yes",J246="Yes"),"Verified",IF(G246="No","Not Required","Needs Review")))</x:f>
      </x:c>
      <x:c r="M246" s="15" t="str">
        <x:f>IF(COUNTA(B246:K246)=0,"",TEXTJOIN("; ",TRUE,IF(B246="","Missing work date",""),IF(C246="","Missing project",""),IF(F246="","Missing asset type",""),IF(AND(G246="Yes",H246&lt;&gt;"Yes"),"Required asset not uploaded",""),IF(AND(H246="Yes",I246&lt;&gt;"Yes"),"Missing GPS metadata",""),IF(AND(H246="Yes",J246&lt;&gt;"Yes"),"Missing timestamp metadata",""),IF(AND(H246="Yes",K246=""),"Missing file link","")))</x:f>
      </x:c>
    </x:row>
    <x:row r="247" ht="20" customHeight="1">
      <x:c r="A247" s="15"/>
      <x:c r="B247" s="28"/>
      <x:c r="C247" s="15"/>
      <x:c r="D247" s="15"/>
      <x:c r="E247" s="15"/>
      <x:c r="F247" s="15"/>
      <x:c r="G247" s="15"/>
      <x:c r="H247" s="15"/>
      <x:c r="I247" s="15"/>
      <x:c r="J247" s="15"/>
      <x:c r="K247" s="15"/>
      <x:c r="L247" s="15" t="str">
        <x:f>IF(COUNTA(B247:K247)=0,"",IF(AND(G247="Yes",H247="Yes",I247="Yes",J247="Yes"),"Verified",IF(G247="No","Not Required","Needs Review")))</x:f>
      </x:c>
      <x:c r="M247" s="15" t="str">
        <x:f>IF(COUNTA(B247:K247)=0,"",TEXTJOIN("; ",TRUE,IF(B247="","Missing work date",""),IF(C247="","Missing project",""),IF(F247="","Missing asset type",""),IF(AND(G247="Yes",H247&lt;&gt;"Yes"),"Required asset not uploaded",""),IF(AND(H247="Yes",I247&lt;&gt;"Yes"),"Missing GPS metadata",""),IF(AND(H247="Yes",J247&lt;&gt;"Yes"),"Missing timestamp metadata",""),IF(AND(H247="Yes",K247=""),"Missing file link","")))</x:f>
      </x:c>
    </x:row>
    <x:row r="248" ht="20" customHeight="1">
      <x:c r="A248" s="15"/>
      <x:c r="B248" s="28"/>
      <x:c r="C248" s="15"/>
      <x:c r="D248" s="15"/>
      <x:c r="E248" s="15"/>
      <x:c r="F248" s="15"/>
      <x:c r="G248" s="15"/>
      <x:c r="H248" s="15"/>
      <x:c r="I248" s="15"/>
      <x:c r="J248" s="15"/>
      <x:c r="K248" s="15"/>
      <x:c r="L248" s="15" t="str">
        <x:f>IF(COUNTA(B248:K248)=0,"",IF(AND(G248="Yes",H248="Yes",I248="Yes",J248="Yes"),"Verified",IF(G248="No","Not Required","Needs Review")))</x:f>
      </x:c>
      <x:c r="M248" s="15" t="str">
        <x:f>IF(COUNTA(B248:K248)=0,"",TEXTJOIN("; ",TRUE,IF(B248="","Missing work date",""),IF(C248="","Missing project",""),IF(F248="","Missing asset type",""),IF(AND(G248="Yes",H248&lt;&gt;"Yes"),"Required asset not uploaded",""),IF(AND(H248="Yes",I248&lt;&gt;"Yes"),"Missing GPS metadata",""),IF(AND(H248="Yes",J248&lt;&gt;"Yes"),"Missing timestamp metadata",""),IF(AND(H248="Yes",K248=""),"Missing file link","")))</x:f>
      </x:c>
    </x:row>
    <x:row r="249" ht="20" customHeight="1">
      <x:c r="A249" s="15"/>
      <x:c r="B249" s="28"/>
      <x:c r="C249" s="15"/>
      <x:c r="D249" s="15"/>
      <x:c r="E249" s="15"/>
      <x:c r="F249" s="15"/>
      <x:c r="G249" s="15"/>
      <x:c r="H249" s="15"/>
      <x:c r="I249" s="15"/>
      <x:c r="J249" s="15"/>
      <x:c r="K249" s="15"/>
      <x:c r="L249" s="15" t="str">
        <x:f>IF(COUNTA(B249:K249)=0,"",IF(AND(G249="Yes",H249="Yes",I249="Yes",J249="Yes"),"Verified",IF(G249="No","Not Required","Needs Review")))</x:f>
      </x:c>
      <x:c r="M249" s="15" t="str">
        <x:f>IF(COUNTA(B249:K249)=0,"",TEXTJOIN("; ",TRUE,IF(B249="","Missing work date",""),IF(C249="","Missing project",""),IF(F249="","Missing asset type",""),IF(AND(G249="Yes",H249&lt;&gt;"Yes"),"Required asset not uploaded",""),IF(AND(H249="Yes",I249&lt;&gt;"Yes"),"Missing GPS metadata",""),IF(AND(H249="Yes",J249&lt;&gt;"Yes"),"Missing timestamp metadata",""),IF(AND(H249="Yes",K249=""),"Missing file link","")))</x:f>
      </x:c>
    </x:row>
    <x:row r="250" ht="20" customHeight="1">
      <x:c r="A250" s="15"/>
      <x:c r="B250" s="28"/>
      <x:c r="C250" s="15"/>
      <x:c r="D250" s="15"/>
      <x:c r="E250" s="15"/>
      <x:c r="F250" s="15"/>
      <x:c r="G250" s="15"/>
      <x:c r="H250" s="15"/>
      <x:c r="I250" s="15"/>
      <x:c r="J250" s="15"/>
      <x:c r="K250" s="15"/>
      <x:c r="L250" s="15" t="str">
        <x:f>IF(COUNTA(B250:K250)=0,"",IF(AND(G250="Yes",H250="Yes",I250="Yes",J250="Yes"),"Verified",IF(G250="No","Not Required","Needs Review")))</x:f>
      </x:c>
      <x:c r="M250" s="15" t="str">
        <x:f>IF(COUNTA(B250:K250)=0,"",TEXTJOIN("; ",TRUE,IF(B250="","Missing work date",""),IF(C250="","Missing project",""),IF(F250="","Missing asset type",""),IF(AND(G250="Yes",H250&lt;&gt;"Yes"),"Required asset not uploaded",""),IF(AND(H250="Yes",I250&lt;&gt;"Yes"),"Missing GPS metadata",""),IF(AND(H250="Yes",J250&lt;&gt;"Yes"),"Missing timestamp metadata",""),IF(AND(H250="Yes",K250=""),"Missing file link","")))</x:f>
      </x:c>
    </x:row>
    <x:row r="251" ht="20" customHeight="1">
      <x:c r="A251" s="15"/>
      <x:c r="B251" s="28"/>
      <x:c r="C251" s="15"/>
      <x:c r="D251" s="15"/>
      <x:c r="E251" s="15"/>
      <x:c r="F251" s="15"/>
      <x:c r="G251" s="15"/>
      <x:c r="H251" s="15"/>
      <x:c r="I251" s="15"/>
      <x:c r="J251" s="15"/>
      <x:c r="K251" s="15"/>
      <x:c r="L251" s="15" t="str">
        <x:f>IF(COUNTA(B251:K251)=0,"",IF(AND(G251="Yes",H251="Yes",I251="Yes",J251="Yes"),"Verified",IF(G251="No","Not Required","Needs Review")))</x:f>
      </x:c>
      <x:c r="M251" s="15" t="str">
        <x:f>IF(COUNTA(B251:K251)=0,"",TEXTJOIN("; ",TRUE,IF(B251="","Missing work date",""),IF(C251="","Missing project",""),IF(F251="","Missing asset type",""),IF(AND(G251="Yes",H251&lt;&gt;"Yes"),"Required asset not uploaded",""),IF(AND(H251="Yes",I251&lt;&gt;"Yes"),"Missing GPS metadata",""),IF(AND(H251="Yes",J251&lt;&gt;"Yes"),"Missing timestamp metadata",""),IF(AND(H251="Yes",K251=""),"Missing file link","")))</x:f>
      </x:c>
    </x:row>
  </x:sheetData>
  <x:conditionalFormatting sqref="M2:M251">
    <x:cfRule type="expression" dxfId="7" priority="1">
      <x:formula>M2&lt;&gt;""</x:formula>
    </x:cfRule>
  </x:conditionalFormatting>
  <x:dataValidations count="5">
    <x:dataValidation type="list" sqref="F2:F251">
      <x:formula1>"Before Photo,After Photo,Progress Photo,Redline,GPS Track,Customer Signoff,Damage Photo,Locate Ticket"</x:formula1>
    </x:dataValidation>
    <x:dataValidation type="list" sqref="G2:G251">
      <x:formula1>"Yes,No"</x:formula1>
    </x:dataValidation>
    <x:dataValidation type="list" sqref="H2:H251">
      <x:formula1>"Yes,No"</x:formula1>
    </x:dataValidation>
    <x:dataValidation type="list" sqref="I2:I251">
      <x:formula1>"Yes,No"</x:formula1>
    </x:dataValidation>
    <x:dataValidation type="list" sqref="J2:J25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d4b0efb001457e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6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8" hidden="0" customWidth="1"/>
    <x:col min="13" max="13" width="16" hidden="0" customWidth="1"/>
    <x:col min="14" max="14" width="18" hidden="0" customWidth="1"/>
    <x:col min="15" max="15" width="52" hidden="0" customWidth="1"/>
  </x:cols>
  <x:sheetData>
    <x:row r="1" ht="30" customHeight="1">
      <x:c r="A1" s="206" t="str">
        <x:v>CloseoutID</x:v>
      </x:c>
      <x:c r="B1" s="206" t="str">
        <x:v>WorkDate</x:v>
      </x:c>
      <x:c r="C1" s="206" t="str">
        <x:v>ProjectID</x:v>
      </x:c>
      <x:c r="D1" s="206" t="str">
        <x:v>JobID</x:v>
      </x:c>
      <x:c r="E1" s="206" t="str">
        <x:v>CustomerID</x:v>
      </x:c>
      <x:c r="F1" s="206" t="str">
        <x:v>ProductionRevenue</x:v>
      </x:c>
      <x:c r="G1" s="206" t="str">
        <x:v>MaterialBillable</x:v>
      </x:c>
      <x:c r="H1" s="206" t="str">
        <x:v>LaborCost</x:v>
      </x:c>
      <x:c r="I1" s="206" t="str">
        <x:v>EquipmentCost</x:v>
      </x:c>
      <x:c r="J1" s="206" t="str">
        <x:v>BackupComplete</x:v>
      </x:c>
      <x:c r="K1" s="206" t="str">
        <x:v>RedlineComplete</x:v>
      </x:c>
      <x:c r="L1" s="206" t="str">
        <x:v>CustomerApproved</x:v>
      </x:c>
      <x:c r="M1" s="206" t="str">
        <x:v>InvoiceStatus</x:v>
      </x:c>
      <x:c r="N1" s="206" t="str">
        <x:v>MarginEstimate</x:v>
      </x:c>
      <x:c r="O1" s="206" t="str">
        <x:v>ValidationIssues</x:v>
      </x:c>
    </x:row>
    <x:row r="2" ht="20" customHeight="1">
      <x:c r="A2" s="15" t="str">
        <x:v>CLO-0001</x:v>
      </x:c>
      <x:c r="B2" s="28" t="n">
        <x:v>46204</x:v>
      </x:c>
      <x:c r="C2" s="15" t="str">
        <x:v>PRJ-1001</x:v>
      </x:c>
      <x:c r="D2" s="15" t="str">
        <x:v>JOB-1001</x:v>
      </x:c>
      <x:c r="E2" s="15" t="str">
        <x:v>CUS-001</x:v>
      </x:c>
      <x:c r="F2" s="70" t="n">
        <x:f>IF(OR(B2="",C2="",D2=""),"",SUMIFS('12_Production_Log'!$M:$M,'12_Production_Log'!$B:$B,B2,'12_Production_Log'!$C:$C,C2,'12_Production_Log'!$D:$D,D2))</x:f>
        <x:v>10625</x:v>
      </x:c>
      <x:c r="G2" s="70" t="n">
        <x:f>IF(OR(B2="",C2="",D2=""),"",SUMIFS('14_Materials_Log'!$I:$I,'14_Materials_Log'!$B:$B,B2,'14_Materials_Log'!$C:$C,C2,'14_Materials_Log'!$D:$D,D2,'14_Materials_Log'!$J:$J,"Yes"))</x:f>
        <x:v>1380</x:v>
      </x:c>
      <x:c r="H2" s="70" t="n">
        <x:f>IF(OR(B2="",C2="",D2=""),"",SUMIFS('13_Labor_Time'!$L:$L,'13_Labor_Time'!$B:$B,B2,'13_Labor_Time'!$C:$C,C2,'13_Labor_Time'!$D:$D,D2))</x:f>
        <x:v>630</x:v>
      </x:c>
      <x:c r="I2" s="70" t="n">
        <x:f>IF(OR(B2="",C2="",D2=""),"",SUMIFS('15_Equipment_Log'!$M:$M,'15_Equipment_Log'!$B:$B,B2,'15_Equipment_Log'!$C:$C,C2,'15_Equipment_Log'!$D:$D,D2))</x:f>
        <x:v>828</x:v>
      </x:c>
      <x:c r="J2" s="15" t="str">
        <x:v>Yes</x:v>
      </x:c>
      <x:c r="K2" s="15" t="str">
        <x:v>Yes</x:v>
      </x:c>
      <x:c r="L2" s="15" t="str">
        <x:v>Yes</x:v>
      </x:c>
      <x:c r="M2" s="15" t="str">
        <x:v>Ready</x:v>
      </x:c>
      <x:c r="N2" s="70" t="n">
        <x:f>IF(COUNTA(B2:E2,J2:M2)=0,"",F2+G2-H2-I2)</x:f>
        <x:v>10547</x:v>
      </x:c>
      <x:c r="O2" s="15" t="str">
        <x:f>IF(COUNTA(B2:E2,J2:M2)=0,"",TEXTJOIN("; ",TRUE,IF(B2="","Missing work date",""),IF(C2="","Missing project",""),IF(D2="","Missing job",""),IF(J2&lt;&gt;"Yes","Backup incomplete",""),IF(K2&lt;&gt;"Yes","Redline incomplete",""),IF(L2&lt;&gt;"Yes","Customer not approved",""),IF(M2&lt;&gt;"Ready","Invoice not ready","")))</x:f>
      </x:c>
    </x:row>
    <x:row r="3" ht="20" customHeight="1">
      <x:c r="A3" s="15" t="str">
        <x:v>CLO-0002</x:v>
      </x:c>
      <x:c r="B3" s="28" t="n">
        <x:v>46204</x:v>
      </x:c>
      <x:c r="C3" s="15" t="str">
        <x:v>PRJ-1001</x:v>
      </x:c>
      <x:c r="D3" s="15" t="str">
        <x:v>JOB-1002</x:v>
      </x:c>
      <x:c r="E3" s="15" t="str">
        <x:v>CUS-001</x:v>
      </x:c>
      <x:c r="F3" s="70" t="n">
        <x:f>IF(OR(B3="",C3="",D3=""),"",SUMIFS('12_Production_Log'!$M:$M,'12_Production_Log'!$B:$B,B3,'12_Production_Log'!$C:$C,C3,'12_Production_Log'!$D:$D,D3))</x:f>
        <x:v>7040</x:v>
      </x:c>
      <x:c r="G3" s="70" t="n">
        <x:f>IF(OR(B3="",C3="",D3=""),"",SUMIFS('14_Materials_Log'!$I:$I,'14_Materials_Log'!$B:$B,B3,'14_Materials_Log'!$C:$C,C3,'14_Materials_Log'!$D:$D,D3,'14_Materials_Log'!$J:$J,"Yes"))</x:f>
        <x:v>255</x:v>
      </x:c>
      <x:c r="H3" s="70" t="n">
        <x:f>IF(OR(B3="",C3="",D3=""),"",SUMIFS('13_Labor_Time'!$L:$L,'13_Labor_Time'!$B:$B,B3,'13_Labor_Time'!$C:$C,C3,'13_Labor_Time'!$D:$D,D3))</x:f>
        <x:v>306</x:v>
      </x:c>
      <x:c r="I3" s="70" t="n">
        <x:f>IF(OR(B3="",C3="",D3=""),"",SUMIFS('15_Equipment_Log'!$M:$M,'15_Equipment_Log'!$B:$B,B3,'15_Equipment_Log'!$C:$C,C3,'15_Equipment_Log'!$D:$D,D3))</x:f>
        <x:v>712.5</x:v>
      </x:c>
      <x:c r="J3" s="15" t="str">
        <x:v>No</x:v>
      </x:c>
      <x:c r="K3" s="15" t="str">
        <x:v>No</x:v>
      </x:c>
      <x:c r="L3" s="15" t="str">
        <x:v>No</x:v>
      </x:c>
      <x:c r="M3" s="15" t="str">
        <x:v>Hold</x:v>
      </x:c>
      <x:c r="N3" s="70" t="n">
        <x:f>IF(COUNTA(B3:E3,J3:M3)=0,"",F3+G3-H3-I3)</x:f>
        <x:v>6276.5</x:v>
      </x:c>
      <x:c r="O3" s="15" t="str">
        <x:f>IF(COUNTA(B3:E3,J3:M3)=0,"",TEXTJOIN("; ",TRUE,IF(B3="","Missing work date",""),IF(C3="","Missing project",""),IF(D3="","Missing job",""),IF(J3&lt;&gt;"Yes","Backup incomplete",""),IF(K3&lt;&gt;"Yes","Redline incomplete",""),IF(L3&lt;&gt;"Yes","Customer not approved",""),IF(M3&lt;&gt;"Ready","Invoice not ready","")))</x:f>
        <x:v>Backup incomplete; Redline incomplete; Customer not approved; Invoice not ready</x:v>
      </x:c>
    </x:row>
    <x:row r="4" ht="20" customHeight="1">
      <x:c r="A4" s="15" t="str">
        <x:v>CLO-0003</x:v>
      </x:c>
      <x:c r="B4" s="28" t="n">
        <x:v>46205</x:v>
      </x:c>
      <x:c r="C4" s="15" t="str">
        <x:v>PRJ-1001</x:v>
      </x:c>
      <x:c r="D4" s="15" t="str">
        <x:v>JOB-1001</x:v>
      </x:c>
      <x:c r="E4" s="15" t="str">
        <x:v>CUS-001</x:v>
      </x:c>
      <x:c r="F4" s="70" t="n">
        <x:f>IF(OR(B4="",C4="",D4=""),"",SUMIFS('12_Production_Log'!$M:$M,'12_Production_Log'!$B:$B,B4,'12_Production_Log'!$C:$C,C4,'12_Production_Log'!$D:$D,D4))</x:f>
        <x:v>11900</x:v>
      </x:c>
      <x:c r="G4" s="70" t="n">
        <x:f>IF(OR(B4="",C4="",D4=""),"",SUMIFS('14_Materials_Log'!$I:$I,'14_Materials_Log'!$B:$B,B4,'14_Materials_Log'!$C:$C,C4,'14_Materials_Log'!$D:$D,D4,'14_Materials_Log'!$J:$J,"Yes"))</x:f>
        <x:v>126</x:v>
      </x:c>
      <x:c r="H4" s="70" t="n">
        <x:f>IF(OR(B4="",C4="",D4=""),"",SUMIFS('13_Labor_Time'!$L:$L,'13_Labor_Time'!$B:$B,B4,'13_Labor_Time'!$C:$C,C4,'13_Labor_Time'!$D:$D,D4))</x:f>
        <x:v>630</x:v>
      </x:c>
      <x:c r="I4" s="70" t="n">
        <x:f>IF(OR(B4="",C4="",D4=""),"",SUMIFS('15_Equipment_Log'!$M:$M,'15_Equipment_Log'!$B:$B,B4,'15_Equipment_Log'!$C:$C,C4,'15_Equipment_Log'!$D:$D,D4))</x:f>
        <x:v>864</x:v>
      </x:c>
      <x:c r="J4" s="15" t="str">
        <x:v>Yes</x:v>
      </x:c>
      <x:c r="K4" s="15" t="str">
        <x:v>Yes</x:v>
      </x:c>
      <x:c r="L4" s="15" t="str">
        <x:v>Yes</x:v>
      </x:c>
      <x:c r="M4" s="15" t="str">
        <x:v>Ready</x:v>
      </x:c>
      <x:c r="N4" s="70" t="n">
        <x:f>IF(COUNTA(B4:E4,J4:M4)=0,"",F4+G4-H4-I4)</x:f>
        <x:v>10532</x:v>
      </x:c>
      <x:c r="O4" s="15" t="str">
        <x:f>IF(COUNTA(B4:E4,J4:M4)=0,"",TEXTJOIN("; ",TRUE,IF(B4="","Missing work date",""),IF(C4="","Missing project",""),IF(D4="","Missing job",""),IF(J4&lt;&gt;"Yes","Backup incomplete",""),IF(K4&lt;&gt;"Yes","Redline incomplete",""),IF(L4&lt;&gt;"Yes","Customer not approved",""),IF(M4&lt;&gt;"Ready","Invoice not ready","")))</x:f>
      </x:c>
    </x:row>
    <x:row r="5" ht="20" customHeight="1">
      <x:c r="A5" s="15"/>
      <x:c r="B5" s="28"/>
      <x:c r="C5" s="15"/>
      <x:c r="D5" s="15"/>
      <x:c r="E5" s="15"/>
      <x:c r="F5" s="70" t="str">
        <x:f>IF(OR(B5="",C5="",D5=""),"",SUMIFS('12_Production_Log'!$M:$M,'12_Production_Log'!$B:$B,B5,'12_Production_Log'!$C:$C,C5,'12_Production_Log'!$D:$D,D5))</x:f>
      </x:c>
      <x:c r="G5" s="70" t="str">
        <x:f>IF(OR(B5="",C5="",D5=""),"",SUMIFS('14_Materials_Log'!$I:$I,'14_Materials_Log'!$B:$B,B5,'14_Materials_Log'!$C:$C,C5,'14_Materials_Log'!$D:$D,D5,'14_Materials_Log'!$J:$J,"Yes"))</x:f>
      </x:c>
      <x:c r="H5" s="70" t="str">
        <x:f>IF(OR(B5="",C5="",D5=""),"",SUMIFS('13_Labor_Time'!$L:$L,'13_Labor_Time'!$B:$B,B5,'13_Labor_Time'!$C:$C,C5,'13_Labor_Time'!$D:$D,D5))</x:f>
      </x:c>
      <x:c r="I5" s="70" t="str">
        <x:f>IF(OR(B5="",C5="",D5=""),"",SUMIFS('15_Equipment_Log'!$M:$M,'15_Equipment_Log'!$B:$B,B5,'15_Equipment_Log'!$C:$C,C5,'15_Equipment_Log'!$D:$D,D5))</x:f>
      </x:c>
      <x:c r="J5" s="15"/>
      <x:c r="K5" s="15"/>
      <x:c r="L5" s="15"/>
      <x:c r="M5" s="15"/>
      <x:c r="N5" s="70" t="str">
        <x:f>IF(COUNTA(B5:E5,J5:M5)=0,"",F5+G5-H5-I5)</x:f>
      </x:c>
      <x:c r="O5" s="15" t="str">
        <x:f>IF(COUNTA(B5:E5,J5:M5)=0,"",TEXTJOIN("; ",TRUE,IF(B5="","Missing work date",""),IF(C5="","Missing project",""),IF(D5="","Missing job",""),IF(J5&lt;&gt;"Yes","Backup incomplete",""),IF(K5&lt;&gt;"Yes","Redline incomplete",""),IF(L5&lt;&gt;"Yes","Customer not approved",""),IF(M5&lt;&gt;"Ready","Invoice not ready","")))</x:f>
      </x:c>
    </x:row>
    <x:row r="6" ht="20" customHeight="1">
      <x:c r="A6" s="15"/>
      <x:c r="B6" s="28"/>
      <x:c r="C6" s="15"/>
      <x:c r="D6" s="15"/>
      <x:c r="E6" s="15"/>
      <x:c r="F6" s="70" t="str">
        <x:f>IF(OR(B6="",C6="",D6=""),"",SUMIFS('12_Production_Log'!$M:$M,'12_Production_Log'!$B:$B,B6,'12_Production_Log'!$C:$C,C6,'12_Production_Log'!$D:$D,D6))</x:f>
      </x:c>
      <x:c r="G6" s="70" t="str">
        <x:f>IF(OR(B6="",C6="",D6=""),"",SUMIFS('14_Materials_Log'!$I:$I,'14_Materials_Log'!$B:$B,B6,'14_Materials_Log'!$C:$C,C6,'14_Materials_Log'!$D:$D,D6,'14_Materials_Log'!$J:$J,"Yes"))</x:f>
      </x:c>
      <x:c r="H6" s="70" t="str">
        <x:f>IF(OR(B6="",C6="",D6=""),"",SUMIFS('13_Labor_Time'!$L:$L,'13_Labor_Time'!$B:$B,B6,'13_Labor_Time'!$C:$C,C6,'13_Labor_Time'!$D:$D,D6))</x:f>
      </x:c>
      <x:c r="I6" s="70" t="str">
        <x:f>IF(OR(B6="",C6="",D6=""),"",SUMIFS('15_Equipment_Log'!$M:$M,'15_Equipment_Log'!$B:$B,B6,'15_Equipment_Log'!$C:$C,C6,'15_Equipment_Log'!$D:$D,D6))</x:f>
      </x:c>
      <x:c r="J6" s="15"/>
      <x:c r="K6" s="15"/>
      <x:c r="L6" s="15"/>
      <x:c r="M6" s="15"/>
      <x:c r="N6" s="70" t="str">
        <x:f>IF(COUNTA(B6:E6,J6:M6)=0,"",F6+G6-H6-I6)</x:f>
      </x:c>
      <x:c r="O6" s="15" t="str">
        <x:f>IF(COUNTA(B6:E6,J6:M6)=0,"",TEXTJOIN("; ",TRUE,IF(B6="","Missing work date",""),IF(C6="","Missing project",""),IF(D6="","Missing job",""),IF(J6&lt;&gt;"Yes","Backup incomplete",""),IF(K6&lt;&gt;"Yes","Redline incomplete",""),IF(L6&lt;&gt;"Yes","Customer not approved",""),IF(M6&lt;&gt;"Ready","Invoice not ready","")))</x:f>
      </x:c>
    </x:row>
    <x:row r="7" ht="20" customHeight="1">
      <x:c r="A7" s="15"/>
      <x:c r="B7" s="28"/>
      <x:c r="C7" s="15"/>
      <x:c r="D7" s="15"/>
      <x:c r="E7" s="15"/>
      <x:c r="F7" s="70" t="str">
        <x:f>IF(OR(B7="",C7="",D7=""),"",SUMIFS('12_Production_Log'!$M:$M,'12_Production_Log'!$B:$B,B7,'12_Production_Log'!$C:$C,C7,'12_Production_Log'!$D:$D,D7))</x:f>
      </x:c>
      <x:c r="G7" s="70" t="str">
        <x:f>IF(OR(B7="",C7="",D7=""),"",SUMIFS('14_Materials_Log'!$I:$I,'14_Materials_Log'!$B:$B,B7,'14_Materials_Log'!$C:$C,C7,'14_Materials_Log'!$D:$D,D7,'14_Materials_Log'!$J:$J,"Yes"))</x:f>
      </x:c>
      <x:c r="H7" s="70" t="str">
        <x:f>IF(OR(B7="",C7="",D7=""),"",SUMIFS('13_Labor_Time'!$L:$L,'13_Labor_Time'!$B:$B,B7,'13_Labor_Time'!$C:$C,C7,'13_Labor_Time'!$D:$D,D7))</x:f>
      </x:c>
      <x:c r="I7" s="70" t="str">
        <x:f>IF(OR(B7="",C7="",D7=""),"",SUMIFS('15_Equipment_Log'!$M:$M,'15_Equipment_Log'!$B:$B,B7,'15_Equipment_Log'!$C:$C,C7,'15_Equipment_Log'!$D:$D,D7))</x:f>
      </x:c>
      <x:c r="J7" s="15"/>
      <x:c r="K7" s="15"/>
      <x:c r="L7" s="15"/>
      <x:c r="M7" s="15"/>
      <x:c r="N7" s="70" t="str">
        <x:f>IF(COUNTA(B7:E7,J7:M7)=0,"",F7+G7-H7-I7)</x:f>
      </x:c>
      <x:c r="O7" s="15" t="str">
        <x:f>IF(COUNTA(B7:E7,J7:M7)=0,"",TEXTJOIN("; ",TRUE,IF(B7="","Missing work date",""),IF(C7="","Missing project",""),IF(D7="","Missing job",""),IF(J7&lt;&gt;"Yes","Backup incomplete",""),IF(K7&lt;&gt;"Yes","Redline incomplete",""),IF(L7&lt;&gt;"Yes","Customer not approved",""),IF(M7&lt;&gt;"Ready","Invoice not ready","")))</x:f>
      </x:c>
    </x:row>
    <x:row r="8" ht="20" customHeight="1">
      <x:c r="A8" s="15"/>
      <x:c r="B8" s="28"/>
      <x:c r="C8" s="15"/>
      <x:c r="D8" s="15"/>
      <x:c r="E8" s="15"/>
      <x:c r="F8" s="70" t="str">
        <x:f>IF(OR(B8="",C8="",D8=""),"",SUMIFS('12_Production_Log'!$M:$M,'12_Production_Log'!$B:$B,B8,'12_Production_Log'!$C:$C,C8,'12_Production_Log'!$D:$D,D8))</x:f>
      </x:c>
      <x:c r="G8" s="70" t="str">
        <x:f>IF(OR(B8="",C8="",D8=""),"",SUMIFS('14_Materials_Log'!$I:$I,'14_Materials_Log'!$B:$B,B8,'14_Materials_Log'!$C:$C,C8,'14_Materials_Log'!$D:$D,D8,'14_Materials_Log'!$J:$J,"Yes"))</x:f>
      </x:c>
      <x:c r="H8" s="70" t="str">
        <x:f>IF(OR(B8="",C8="",D8=""),"",SUMIFS('13_Labor_Time'!$L:$L,'13_Labor_Time'!$B:$B,B8,'13_Labor_Time'!$C:$C,C8,'13_Labor_Time'!$D:$D,D8))</x:f>
      </x:c>
      <x:c r="I8" s="70" t="str">
        <x:f>IF(OR(B8="",C8="",D8=""),"",SUMIFS('15_Equipment_Log'!$M:$M,'15_Equipment_Log'!$B:$B,B8,'15_Equipment_Log'!$C:$C,C8,'15_Equipment_Log'!$D:$D,D8))</x:f>
      </x:c>
      <x:c r="J8" s="15"/>
      <x:c r="K8" s="15"/>
      <x:c r="L8" s="15"/>
      <x:c r="M8" s="15"/>
      <x:c r="N8" s="70" t="str">
        <x:f>IF(COUNTA(B8:E8,J8:M8)=0,"",F8+G8-H8-I8)</x:f>
      </x:c>
      <x:c r="O8" s="15" t="str">
        <x:f>IF(COUNTA(B8:E8,J8:M8)=0,"",TEXTJOIN("; ",TRUE,IF(B8="","Missing work date",""),IF(C8="","Missing project",""),IF(D8="","Missing job",""),IF(J8&lt;&gt;"Yes","Backup incomplete",""),IF(K8&lt;&gt;"Yes","Redline incomplete",""),IF(L8&lt;&gt;"Yes","Customer not approved",""),IF(M8&lt;&gt;"Ready","Invoice not ready","")))</x:f>
      </x:c>
    </x:row>
    <x:row r="9" ht="20" customHeight="1">
      <x:c r="A9" s="15"/>
      <x:c r="B9" s="28"/>
      <x:c r="C9" s="15"/>
      <x:c r="D9" s="15"/>
      <x:c r="E9" s="15"/>
      <x:c r="F9" s="70" t="str">
        <x:f>IF(OR(B9="",C9="",D9=""),"",SUMIFS('12_Production_Log'!$M:$M,'12_Production_Log'!$B:$B,B9,'12_Production_Log'!$C:$C,C9,'12_Production_Log'!$D:$D,D9))</x:f>
      </x:c>
      <x:c r="G9" s="70" t="str">
        <x:f>IF(OR(B9="",C9="",D9=""),"",SUMIFS('14_Materials_Log'!$I:$I,'14_Materials_Log'!$B:$B,B9,'14_Materials_Log'!$C:$C,C9,'14_Materials_Log'!$D:$D,D9,'14_Materials_Log'!$J:$J,"Yes"))</x:f>
      </x:c>
      <x:c r="H9" s="70" t="str">
        <x:f>IF(OR(B9="",C9="",D9=""),"",SUMIFS('13_Labor_Time'!$L:$L,'13_Labor_Time'!$B:$B,B9,'13_Labor_Time'!$C:$C,C9,'13_Labor_Time'!$D:$D,D9))</x:f>
      </x:c>
      <x:c r="I9" s="70" t="str">
        <x:f>IF(OR(B9="",C9="",D9=""),"",SUMIFS('15_Equipment_Log'!$M:$M,'15_Equipment_Log'!$B:$B,B9,'15_Equipment_Log'!$C:$C,C9,'15_Equipment_Log'!$D:$D,D9))</x:f>
      </x:c>
      <x:c r="J9" s="15"/>
      <x:c r="K9" s="15"/>
      <x:c r="L9" s="15"/>
      <x:c r="M9" s="15"/>
      <x:c r="N9" s="70" t="str">
        <x:f>IF(COUNTA(B9:E9,J9:M9)=0,"",F9+G9-H9-I9)</x:f>
      </x:c>
      <x:c r="O9" s="15" t="str">
        <x:f>IF(COUNTA(B9:E9,J9:M9)=0,"",TEXTJOIN("; ",TRUE,IF(B9="","Missing work date",""),IF(C9="","Missing project",""),IF(D9="","Missing job",""),IF(J9&lt;&gt;"Yes","Backup incomplete",""),IF(K9&lt;&gt;"Yes","Redline incomplete",""),IF(L9&lt;&gt;"Yes","Customer not approved",""),IF(M9&lt;&gt;"Ready","Invoice not ready","")))</x:f>
      </x:c>
    </x:row>
    <x:row r="10" ht="20" customHeight="1">
      <x:c r="A10" s="15"/>
      <x:c r="B10" s="28"/>
      <x:c r="C10" s="15"/>
      <x:c r="D10" s="15"/>
      <x:c r="E10" s="15"/>
      <x:c r="F10" s="70" t="str">
        <x:f>IF(OR(B10="",C10="",D10=""),"",SUMIFS('12_Production_Log'!$M:$M,'12_Production_Log'!$B:$B,B10,'12_Production_Log'!$C:$C,C10,'12_Production_Log'!$D:$D,D10))</x:f>
      </x:c>
      <x:c r="G10" s="70" t="str">
        <x:f>IF(OR(B10="",C10="",D10=""),"",SUMIFS('14_Materials_Log'!$I:$I,'14_Materials_Log'!$B:$B,B10,'14_Materials_Log'!$C:$C,C10,'14_Materials_Log'!$D:$D,D10,'14_Materials_Log'!$J:$J,"Yes"))</x:f>
      </x:c>
      <x:c r="H10" s="70" t="str">
        <x:f>IF(OR(B10="",C10="",D10=""),"",SUMIFS('13_Labor_Time'!$L:$L,'13_Labor_Time'!$B:$B,B10,'13_Labor_Time'!$C:$C,C10,'13_Labor_Time'!$D:$D,D10))</x:f>
      </x:c>
      <x:c r="I10" s="70" t="str">
        <x:f>IF(OR(B10="",C10="",D10=""),"",SUMIFS('15_Equipment_Log'!$M:$M,'15_Equipment_Log'!$B:$B,B10,'15_Equipment_Log'!$C:$C,C10,'15_Equipment_Log'!$D:$D,D10))</x:f>
      </x:c>
      <x:c r="J10" s="15"/>
      <x:c r="K10" s="15"/>
      <x:c r="L10" s="15"/>
      <x:c r="M10" s="15"/>
      <x:c r="N10" s="70" t="str">
        <x:f>IF(COUNTA(B10:E10,J10:M10)=0,"",F10+G10-H10-I10)</x:f>
      </x:c>
      <x:c r="O10" s="15" t="str">
        <x:f>IF(COUNTA(B10:E10,J10:M10)=0,"",TEXTJOIN("; ",TRUE,IF(B10="","Missing work date",""),IF(C10="","Missing project",""),IF(D10="","Missing job",""),IF(J10&lt;&gt;"Yes","Backup incomplete",""),IF(K10&lt;&gt;"Yes","Redline incomplete",""),IF(L10&lt;&gt;"Yes","Customer not approved",""),IF(M10&lt;&gt;"Ready","Invoice not ready","")))</x:f>
      </x:c>
    </x:row>
    <x:row r="11" ht="20" customHeight="1">
      <x:c r="A11" s="15"/>
      <x:c r="B11" s="28"/>
      <x:c r="C11" s="15"/>
      <x:c r="D11" s="15"/>
      <x:c r="E11" s="15"/>
      <x:c r="F11" s="70" t="str">
        <x:f>IF(OR(B11="",C11="",D11=""),"",SUMIFS('12_Production_Log'!$M:$M,'12_Production_Log'!$B:$B,B11,'12_Production_Log'!$C:$C,C11,'12_Production_Log'!$D:$D,D11))</x:f>
      </x:c>
      <x:c r="G11" s="70" t="str">
        <x:f>IF(OR(B11="",C11="",D11=""),"",SUMIFS('14_Materials_Log'!$I:$I,'14_Materials_Log'!$B:$B,B11,'14_Materials_Log'!$C:$C,C11,'14_Materials_Log'!$D:$D,D11,'14_Materials_Log'!$J:$J,"Yes"))</x:f>
      </x:c>
      <x:c r="H11" s="70" t="str">
        <x:f>IF(OR(B11="",C11="",D11=""),"",SUMIFS('13_Labor_Time'!$L:$L,'13_Labor_Time'!$B:$B,B11,'13_Labor_Time'!$C:$C,C11,'13_Labor_Time'!$D:$D,D11))</x:f>
      </x:c>
      <x:c r="I11" s="70" t="str">
        <x:f>IF(OR(B11="",C11="",D11=""),"",SUMIFS('15_Equipment_Log'!$M:$M,'15_Equipment_Log'!$B:$B,B11,'15_Equipment_Log'!$C:$C,C11,'15_Equipment_Log'!$D:$D,D11))</x:f>
      </x:c>
      <x:c r="J11" s="15"/>
      <x:c r="K11" s="15"/>
      <x:c r="L11" s="15"/>
      <x:c r="M11" s="15"/>
      <x:c r="N11" s="70" t="str">
        <x:f>IF(COUNTA(B11:E11,J11:M11)=0,"",F11+G11-H11-I11)</x:f>
      </x:c>
      <x:c r="O11" s="15" t="str">
        <x:f>IF(COUNTA(B11:E11,J11:M11)=0,"",TEXTJOIN("; ",TRUE,IF(B11="","Missing work date",""),IF(C11="","Missing project",""),IF(D11="","Missing job",""),IF(J11&lt;&gt;"Yes","Backup incomplete",""),IF(K11&lt;&gt;"Yes","Redline incomplete",""),IF(L11&lt;&gt;"Yes","Customer not approved",""),IF(M11&lt;&gt;"Ready","Invoice not ready","")))</x:f>
      </x:c>
    </x:row>
    <x:row r="12" ht="20" customHeight="1">
      <x:c r="A12" s="15"/>
      <x:c r="B12" s="28"/>
      <x:c r="C12" s="15"/>
      <x:c r="D12" s="15"/>
      <x:c r="E12" s="15"/>
      <x:c r="F12" s="70" t="str">
        <x:f>IF(OR(B12="",C12="",D12=""),"",SUMIFS('12_Production_Log'!$M:$M,'12_Production_Log'!$B:$B,B12,'12_Production_Log'!$C:$C,C12,'12_Production_Log'!$D:$D,D12))</x:f>
      </x:c>
      <x:c r="G12" s="70" t="str">
        <x:f>IF(OR(B12="",C12="",D12=""),"",SUMIFS('14_Materials_Log'!$I:$I,'14_Materials_Log'!$B:$B,B12,'14_Materials_Log'!$C:$C,C12,'14_Materials_Log'!$D:$D,D12,'14_Materials_Log'!$J:$J,"Yes"))</x:f>
      </x:c>
      <x:c r="H12" s="70" t="str">
        <x:f>IF(OR(B12="",C12="",D12=""),"",SUMIFS('13_Labor_Time'!$L:$L,'13_Labor_Time'!$B:$B,B12,'13_Labor_Time'!$C:$C,C12,'13_Labor_Time'!$D:$D,D12))</x:f>
      </x:c>
      <x:c r="I12" s="70" t="str">
        <x:f>IF(OR(B12="",C12="",D12=""),"",SUMIFS('15_Equipment_Log'!$M:$M,'15_Equipment_Log'!$B:$B,B12,'15_Equipment_Log'!$C:$C,C12,'15_Equipment_Log'!$D:$D,D12))</x:f>
      </x:c>
      <x:c r="J12" s="15"/>
      <x:c r="K12" s="15"/>
      <x:c r="L12" s="15"/>
      <x:c r="M12" s="15"/>
      <x:c r="N12" s="70" t="str">
        <x:f>IF(COUNTA(B12:E12,J12:M12)=0,"",F12+G12-H12-I12)</x:f>
      </x:c>
      <x:c r="O12" s="15" t="str">
        <x:f>IF(COUNTA(B12:E12,J12:M12)=0,"",TEXTJOIN("; ",TRUE,IF(B12="","Missing work date",""),IF(C12="","Missing project",""),IF(D12="","Missing job",""),IF(J12&lt;&gt;"Yes","Backup incomplete",""),IF(K12&lt;&gt;"Yes","Redline incomplete",""),IF(L12&lt;&gt;"Yes","Customer not approved",""),IF(M12&lt;&gt;"Ready","Invoice not ready","")))</x:f>
      </x:c>
    </x:row>
    <x:row r="13" ht="20" customHeight="1">
      <x:c r="A13" s="15"/>
      <x:c r="B13" s="28"/>
      <x:c r="C13" s="15"/>
      <x:c r="D13" s="15"/>
      <x:c r="E13" s="15"/>
      <x:c r="F13" s="70" t="str">
        <x:f>IF(OR(B13="",C13="",D13=""),"",SUMIFS('12_Production_Log'!$M:$M,'12_Production_Log'!$B:$B,B13,'12_Production_Log'!$C:$C,C13,'12_Production_Log'!$D:$D,D13))</x:f>
      </x:c>
      <x:c r="G13" s="70" t="str">
        <x:f>IF(OR(B13="",C13="",D13=""),"",SUMIFS('14_Materials_Log'!$I:$I,'14_Materials_Log'!$B:$B,B13,'14_Materials_Log'!$C:$C,C13,'14_Materials_Log'!$D:$D,D13,'14_Materials_Log'!$J:$J,"Yes"))</x:f>
      </x:c>
      <x:c r="H13" s="70" t="str">
        <x:f>IF(OR(B13="",C13="",D13=""),"",SUMIFS('13_Labor_Time'!$L:$L,'13_Labor_Time'!$B:$B,B13,'13_Labor_Time'!$C:$C,C13,'13_Labor_Time'!$D:$D,D13))</x:f>
      </x:c>
      <x:c r="I13" s="70" t="str">
        <x:f>IF(OR(B13="",C13="",D13=""),"",SUMIFS('15_Equipment_Log'!$M:$M,'15_Equipment_Log'!$B:$B,B13,'15_Equipment_Log'!$C:$C,C13,'15_Equipment_Log'!$D:$D,D13))</x:f>
      </x:c>
      <x:c r="J13" s="15"/>
      <x:c r="K13" s="15"/>
      <x:c r="L13" s="15"/>
      <x:c r="M13" s="15"/>
      <x:c r="N13" s="70" t="str">
        <x:f>IF(COUNTA(B13:E13,J13:M13)=0,"",F13+G13-H13-I13)</x:f>
      </x:c>
      <x:c r="O13" s="15" t="str">
        <x:f>IF(COUNTA(B13:E13,J13:M13)=0,"",TEXTJOIN("; ",TRUE,IF(B13="","Missing work date",""),IF(C13="","Missing project",""),IF(D13="","Missing job",""),IF(J13&lt;&gt;"Yes","Backup incomplete",""),IF(K13&lt;&gt;"Yes","Redline incomplete",""),IF(L13&lt;&gt;"Yes","Customer not approved",""),IF(M13&lt;&gt;"Ready","Invoice not ready","")))</x:f>
      </x:c>
    </x:row>
    <x:row r="14" ht="20" customHeight="1">
      <x:c r="A14" s="15"/>
      <x:c r="B14" s="28"/>
      <x:c r="C14" s="15"/>
      <x:c r="D14" s="15"/>
      <x:c r="E14" s="15"/>
      <x:c r="F14" s="70" t="str">
        <x:f>IF(OR(B14="",C14="",D14=""),"",SUMIFS('12_Production_Log'!$M:$M,'12_Production_Log'!$B:$B,B14,'12_Production_Log'!$C:$C,C14,'12_Production_Log'!$D:$D,D14))</x:f>
      </x:c>
      <x:c r="G14" s="70" t="str">
        <x:f>IF(OR(B14="",C14="",D14=""),"",SUMIFS('14_Materials_Log'!$I:$I,'14_Materials_Log'!$B:$B,B14,'14_Materials_Log'!$C:$C,C14,'14_Materials_Log'!$D:$D,D14,'14_Materials_Log'!$J:$J,"Yes"))</x:f>
      </x:c>
      <x:c r="H14" s="70" t="str">
        <x:f>IF(OR(B14="",C14="",D14=""),"",SUMIFS('13_Labor_Time'!$L:$L,'13_Labor_Time'!$B:$B,B14,'13_Labor_Time'!$C:$C,C14,'13_Labor_Time'!$D:$D,D14))</x:f>
      </x:c>
      <x:c r="I14" s="70" t="str">
        <x:f>IF(OR(B14="",C14="",D14=""),"",SUMIFS('15_Equipment_Log'!$M:$M,'15_Equipment_Log'!$B:$B,B14,'15_Equipment_Log'!$C:$C,C14,'15_Equipment_Log'!$D:$D,D14))</x:f>
      </x:c>
      <x:c r="J14" s="15"/>
      <x:c r="K14" s="15"/>
      <x:c r="L14" s="15"/>
      <x:c r="M14" s="15"/>
      <x:c r="N14" s="70" t="str">
        <x:f>IF(COUNTA(B14:E14,J14:M14)=0,"",F14+G14-H14-I14)</x:f>
      </x:c>
      <x:c r="O14" s="15" t="str">
        <x:f>IF(COUNTA(B14:E14,J14:M14)=0,"",TEXTJOIN("; ",TRUE,IF(B14="","Missing work date",""),IF(C14="","Missing project",""),IF(D14="","Missing job",""),IF(J14&lt;&gt;"Yes","Backup incomplete",""),IF(K14&lt;&gt;"Yes","Redline incomplete",""),IF(L14&lt;&gt;"Yes","Customer not approved",""),IF(M14&lt;&gt;"Ready","Invoice not ready","")))</x:f>
      </x:c>
    </x:row>
    <x:row r="15" ht="20" customHeight="1">
      <x:c r="A15" s="15"/>
      <x:c r="B15" s="28"/>
      <x:c r="C15" s="15"/>
      <x:c r="D15" s="15"/>
      <x:c r="E15" s="15"/>
      <x:c r="F15" s="70" t="str">
        <x:f>IF(OR(B15="",C15="",D15=""),"",SUMIFS('12_Production_Log'!$M:$M,'12_Production_Log'!$B:$B,B15,'12_Production_Log'!$C:$C,C15,'12_Production_Log'!$D:$D,D15))</x:f>
      </x:c>
      <x:c r="G15" s="70" t="str">
        <x:f>IF(OR(B15="",C15="",D15=""),"",SUMIFS('14_Materials_Log'!$I:$I,'14_Materials_Log'!$B:$B,B15,'14_Materials_Log'!$C:$C,C15,'14_Materials_Log'!$D:$D,D15,'14_Materials_Log'!$J:$J,"Yes"))</x:f>
      </x:c>
      <x:c r="H15" s="70" t="str">
        <x:f>IF(OR(B15="",C15="",D15=""),"",SUMIFS('13_Labor_Time'!$L:$L,'13_Labor_Time'!$B:$B,B15,'13_Labor_Time'!$C:$C,C15,'13_Labor_Time'!$D:$D,D15))</x:f>
      </x:c>
      <x:c r="I15" s="70" t="str">
        <x:f>IF(OR(B15="",C15="",D15=""),"",SUMIFS('15_Equipment_Log'!$M:$M,'15_Equipment_Log'!$B:$B,B15,'15_Equipment_Log'!$C:$C,C15,'15_Equipment_Log'!$D:$D,D15))</x:f>
      </x:c>
      <x:c r="J15" s="15"/>
      <x:c r="K15" s="15"/>
      <x:c r="L15" s="15"/>
      <x:c r="M15" s="15"/>
      <x:c r="N15" s="70" t="str">
        <x:f>IF(COUNTA(B15:E15,J15:M15)=0,"",F15+G15-H15-I15)</x:f>
      </x:c>
      <x:c r="O15" s="15" t="str">
        <x:f>IF(COUNTA(B15:E15,J15:M15)=0,"",TEXTJOIN("; ",TRUE,IF(B15="","Missing work date",""),IF(C15="","Missing project",""),IF(D15="","Missing job",""),IF(J15&lt;&gt;"Yes","Backup incomplete",""),IF(K15&lt;&gt;"Yes","Redline incomplete",""),IF(L15&lt;&gt;"Yes","Customer not approved",""),IF(M15&lt;&gt;"Ready","Invoice not ready","")))</x:f>
      </x:c>
    </x:row>
    <x:row r="16" ht="20" customHeight="1">
      <x:c r="A16" s="15"/>
      <x:c r="B16" s="28"/>
      <x:c r="C16" s="15"/>
      <x:c r="D16" s="15"/>
      <x:c r="E16" s="15"/>
      <x:c r="F16" s="70" t="str">
        <x:f>IF(OR(B16="",C16="",D16=""),"",SUMIFS('12_Production_Log'!$M:$M,'12_Production_Log'!$B:$B,B16,'12_Production_Log'!$C:$C,C16,'12_Production_Log'!$D:$D,D16))</x:f>
      </x:c>
      <x:c r="G16" s="70" t="str">
        <x:f>IF(OR(B16="",C16="",D16=""),"",SUMIFS('14_Materials_Log'!$I:$I,'14_Materials_Log'!$B:$B,B16,'14_Materials_Log'!$C:$C,C16,'14_Materials_Log'!$D:$D,D16,'14_Materials_Log'!$J:$J,"Yes"))</x:f>
      </x:c>
      <x:c r="H16" s="70" t="str">
        <x:f>IF(OR(B16="",C16="",D16=""),"",SUMIFS('13_Labor_Time'!$L:$L,'13_Labor_Time'!$B:$B,B16,'13_Labor_Time'!$C:$C,C16,'13_Labor_Time'!$D:$D,D16))</x:f>
      </x:c>
      <x:c r="I16" s="70" t="str">
        <x:f>IF(OR(B16="",C16="",D16=""),"",SUMIFS('15_Equipment_Log'!$M:$M,'15_Equipment_Log'!$B:$B,B16,'15_Equipment_Log'!$C:$C,C16,'15_Equipment_Log'!$D:$D,D16))</x:f>
      </x:c>
      <x:c r="J16" s="15"/>
      <x:c r="K16" s="15"/>
      <x:c r="L16" s="15"/>
      <x:c r="M16" s="15"/>
      <x:c r="N16" s="70" t="str">
        <x:f>IF(COUNTA(B16:E16,J16:M16)=0,"",F16+G16-H16-I16)</x:f>
      </x:c>
      <x:c r="O16" s="15" t="str">
        <x:f>IF(COUNTA(B16:E16,J16:M16)=0,"",TEXTJOIN("; ",TRUE,IF(B16="","Missing work date",""),IF(C16="","Missing project",""),IF(D16="","Missing job",""),IF(J16&lt;&gt;"Yes","Backup incomplete",""),IF(K16&lt;&gt;"Yes","Redline incomplete",""),IF(L16&lt;&gt;"Yes","Customer not approved",""),IF(M16&lt;&gt;"Ready","Invoice not ready","")))</x:f>
      </x:c>
    </x:row>
    <x:row r="17" ht="20" customHeight="1">
      <x:c r="A17" s="15"/>
      <x:c r="B17" s="28"/>
      <x:c r="C17" s="15"/>
      <x:c r="D17" s="15"/>
      <x:c r="E17" s="15"/>
      <x:c r="F17" s="70" t="str">
        <x:f>IF(OR(B17="",C17="",D17=""),"",SUMIFS('12_Production_Log'!$M:$M,'12_Production_Log'!$B:$B,B17,'12_Production_Log'!$C:$C,C17,'12_Production_Log'!$D:$D,D17))</x:f>
      </x:c>
      <x:c r="G17" s="70" t="str">
        <x:f>IF(OR(B17="",C17="",D17=""),"",SUMIFS('14_Materials_Log'!$I:$I,'14_Materials_Log'!$B:$B,B17,'14_Materials_Log'!$C:$C,C17,'14_Materials_Log'!$D:$D,D17,'14_Materials_Log'!$J:$J,"Yes"))</x:f>
      </x:c>
      <x:c r="H17" s="70" t="str">
        <x:f>IF(OR(B17="",C17="",D17=""),"",SUMIFS('13_Labor_Time'!$L:$L,'13_Labor_Time'!$B:$B,B17,'13_Labor_Time'!$C:$C,C17,'13_Labor_Time'!$D:$D,D17))</x:f>
      </x:c>
      <x:c r="I17" s="70" t="str">
        <x:f>IF(OR(B17="",C17="",D17=""),"",SUMIFS('15_Equipment_Log'!$M:$M,'15_Equipment_Log'!$B:$B,B17,'15_Equipment_Log'!$C:$C,C17,'15_Equipment_Log'!$D:$D,D17))</x:f>
      </x:c>
      <x:c r="J17" s="15"/>
      <x:c r="K17" s="15"/>
      <x:c r="L17" s="15"/>
      <x:c r="M17" s="15"/>
      <x:c r="N17" s="70" t="str">
        <x:f>IF(COUNTA(B17:E17,J17:M17)=0,"",F17+G17-H17-I17)</x:f>
      </x:c>
      <x:c r="O17" s="15" t="str">
        <x:f>IF(COUNTA(B17:E17,J17:M17)=0,"",TEXTJOIN("; ",TRUE,IF(B17="","Missing work date",""),IF(C17="","Missing project",""),IF(D17="","Missing job",""),IF(J17&lt;&gt;"Yes","Backup incomplete",""),IF(K17&lt;&gt;"Yes","Redline incomplete",""),IF(L17&lt;&gt;"Yes","Customer not approved",""),IF(M17&lt;&gt;"Ready","Invoice not ready","")))</x:f>
      </x:c>
    </x:row>
    <x:row r="18" ht="20" customHeight="1">
      <x:c r="A18" s="15"/>
      <x:c r="B18" s="28"/>
      <x:c r="C18" s="15"/>
      <x:c r="D18" s="15"/>
      <x:c r="E18" s="15"/>
      <x:c r="F18" s="70" t="str">
        <x:f>IF(OR(B18="",C18="",D18=""),"",SUMIFS('12_Production_Log'!$M:$M,'12_Production_Log'!$B:$B,B18,'12_Production_Log'!$C:$C,C18,'12_Production_Log'!$D:$D,D18))</x:f>
      </x:c>
      <x:c r="G18" s="70" t="str">
        <x:f>IF(OR(B18="",C18="",D18=""),"",SUMIFS('14_Materials_Log'!$I:$I,'14_Materials_Log'!$B:$B,B18,'14_Materials_Log'!$C:$C,C18,'14_Materials_Log'!$D:$D,D18,'14_Materials_Log'!$J:$J,"Yes"))</x:f>
      </x:c>
      <x:c r="H18" s="70" t="str">
        <x:f>IF(OR(B18="",C18="",D18=""),"",SUMIFS('13_Labor_Time'!$L:$L,'13_Labor_Time'!$B:$B,B18,'13_Labor_Time'!$C:$C,C18,'13_Labor_Time'!$D:$D,D18))</x:f>
      </x:c>
      <x:c r="I18" s="70" t="str">
        <x:f>IF(OR(B18="",C18="",D18=""),"",SUMIFS('15_Equipment_Log'!$M:$M,'15_Equipment_Log'!$B:$B,B18,'15_Equipment_Log'!$C:$C,C18,'15_Equipment_Log'!$D:$D,D18))</x:f>
      </x:c>
      <x:c r="J18" s="15"/>
      <x:c r="K18" s="15"/>
      <x:c r="L18" s="15"/>
      <x:c r="M18" s="15"/>
      <x:c r="N18" s="70" t="str">
        <x:f>IF(COUNTA(B18:E18,J18:M18)=0,"",F18+G18-H18-I18)</x:f>
      </x:c>
      <x:c r="O18" s="15" t="str">
        <x:f>IF(COUNTA(B18:E18,J18:M18)=0,"",TEXTJOIN("; ",TRUE,IF(B18="","Missing work date",""),IF(C18="","Missing project",""),IF(D18="","Missing job",""),IF(J18&lt;&gt;"Yes","Backup incomplete",""),IF(K18&lt;&gt;"Yes","Redline incomplete",""),IF(L18&lt;&gt;"Yes","Customer not approved",""),IF(M18&lt;&gt;"Ready","Invoice not ready","")))</x:f>
      </x:c>
    </x:row>
    <x:row r="19" ht="20" customHeight="1">
      <x:c r="A19" s="15"/>
      <x:c r="B19" s="28"/>
      <x:c r="C19" s="15"/>
      <x:c r="D19" s="15"/>
      <x:c r="E19" s="15"/>
      <x:c r="F19" s="70" t="str">
        <x:f>IF(OR(B19="",C19="",D19=""),"",SUMIFS('12_Production_Log'!$M:$M,'12_Production_Log'!$B:$B,B19,'12_Production_Log'!$C:$C,C19,'12_Production_Log'!$D:$D,D19))</x:f>
      </x:c>
      <x:c r="G19" s="70" t="str">
        <x:f>IF(OR(B19="",C19="",D19=""),"",SUMIFS('14_Materials_Log'!$I:$I,'14_Materials_Log'!$B:$B,B19,'14_Materials_Log'!$C:$C,C19,'14_Materials_Log'!$D:$D,D19,'14_Materials_Log'!$J:$J,"Yes"))</x:f>
      </x:c>
      <x:c r="H19" s="70" t="str">
        <x:f>IF(OR(B19="",C19="",D19=""),"",SUMIFS('13_Labor_Time'!$L:$L,'13_Labor_Time'!$B:$B,B19,'13_Labor_Time'!$C:$C,C19,'13_Labor_Time'!$D:$D,D19))</x:f>
      </x:c>
      <x:c r="I19" s="70" t="str">
        <x:f>IF(OR(B19="",C19="",D19=""),"",SUMIFS('15_Equipment_Log'!$M:$M,'15_Equipment_Log'!$B:$B,B19,'15_Equipment_Log'!$C:$C,C19,'15_Equipment_Log'!$D:$D,D19))</x:f>
      </x:c>
      <x:c r="J19" s="15"/>
      <x:c r="K19" s="15"/>
      <x:c r="L19" s="15"/>
      <x:c r="M19" s="15"/>
      <x:c r="N19" s="70" t="str">
        <x:f>IF(COUNTA(B19:E19,J19:M19)=0,"",F19+G19-H19-I19)</x:f>
      </x:c>
      <x:c r="O19" s="15" t="str">
        <x:f>IF(COUNTA(B19:E19,J19:M19)=0,"",TEXTJOIN("; ",TRUE,IF(B19="","Missing work date",""),IF(C19="","Missing project",""),IF(D19="","Missing job",""),IF(J19&lt;&gt;"Yes","Backup incomplete",""),IF(K19&lt;&gt;"Yes","Redline incomplete",""),IF(L19&lt;&gt;"Yes","Customer not approved",""),IF(M19&lt;&gt;"Ready","Invoice not ready","")))</x:f>
      </x:c>
    </x:row>
    <x:row r="20" ht="20" customHeight="1">
      <x:c r="A20" s="15"/>
      <x:c r="B20" s="28"/>
      <x:c r="C20" s="15"/>
      <x:c r="D20" s="15"/>
      <x:c r="E20" s="15"/>
      <x:c r="F20" s="70" t="str">
        <x:f>IF(OR(B20="",C20="",D20=""),"",SUMIFS('12_Production_Log'!$M:$M,'12_Production_Log'!$B:$B,B20,'12_Production_Log'!$C:$C,C20,'12_Production_Log'!$D:$D,D20))</x:f>
      </x:c>
      <x:c r="G20" s="70" t="str">
        <x:f>IF(OR(B20="",C20="",D20=""),"",SUMIFS('14_Materials_Log'!$I:$I,'14_Materials_Log'!$B:$B,B20,'14_Materials_Log'!$C:$C,C20,'14_Materials_Log'!$D:$D,D20,'14_Materials_Log'!$J:$J,"Yes"))</x:f>
      </x:c>
      <x:c r="H20" s="70" t="str">
        <x:f>IF(OR(B20="",C20="",D20=""),"",SUMIFS('13_Labor_Time'!$L:$L,'13_Labor_Time'!$B:$B,B20,'13_Labor_Time'!$C:$C,C20,'13_Labor_Time'!$D:$D,D20))</x:f>
      </x:c>
      <x:c r="I20" s="70" t="str">
        <x:f>IF(OR(B20="",C20="",D20=""),"",SUMIFS('15_Equipment_Log'!$M:$M,'15_Equipment_Log'!$B:$B,B20,'15_Equipment_Log'!$C:$C,C20,'15_Equipment_Log'!$D:$D,D20))</x:f>
      </x:c>
      <x:c r="J20" s="15"/>
      <x:c r="K20" s="15"/>
      <x:c r="L20" s="15"/>
      <x:c r="M20" s="15"/>
      <x:c r="N20" s="70" t="str">
        <x:f>IF(COUNTA(B20:E20,J20:M20)=0,"",F20+G20-H20-I20)</x:f>
      </x:c>
      <x:c r="O20" s="15" t="str">
        <x:f>IF(COUNTA(B20:E20,J20:M20)=0,"",TEXTJOIN("; ",TRUE,IF(B20="","Missing work date",""),IF(C20="","Missing project",""),IF(D20="","Missing job",""),IF(J20&lt;&gt;"Yes","Backup incomplete",""),IF(K20&lt;&gt;"Yes","Redline incomplete",""),IF(L20&lt;&gt;"Yes","Customer not approved",""),IF(M20&lt;&gt;"Ready","Invoice not ready","")))</x:f>
      </x:c>
    </x:row>
    <x:row r="21" ht="20" customHeight="1">
      <x:c r="A21" s="15"/>
      <x:c r="B21" s="28"/>
      <x:c r="C21" s="15"/>
      <x:c r="D21" s="15"/>
      <x:c r="E21" s="15"/>
      <x:c r="F21" s="70" t="str">
        <x:f>IF(OR(B21="",C21="",D21=""),"",SUMIFS('12_Production_Log'!$M:$M,'12_Production_Log'!$B:$B,B21,'12_Production_Log'!$C:$C,C21,'12_Production_Log'!$D:$D,D21))</x:f>
      </x:c>
      <x:c r="G21" s="70" t="str">
        <x:f>IF(OR(B21="",C21="",D21=""),"",SUMIFS('14_Materials_Log'!$I:$I,'14_Materials_Log'!$B:$B,B21,'14_Materials_Log'!$C:$C,C21,'14_Materials_Log'!$D:$D,D21,'14_Materials_Log'!$J:$J,"Yes"))</x:f>
      </x:c>
      <x:c r="H21" s="70" t="str">
        <x:f>IF(OR(B21="",C21="",D21=""),"",SUMIFS('13_Labor_Time'!$L:$L,'13_Labor_Time'!$B:$B,B21,'13_Labor_Time'!$C:$C,C21,'13_Labor_Time'!$D:$D,D21))</x:f>
      </x:c>
      <x:c r="I21" s="70" t="str">
        <x:f>IF(OR(B21="",C21="",D21=""),"",SUMIFS('15_Equipment_Log'!$M:$M,'15_Equipment_Log'!$B:$B,B21,'15_Equipment_Log'!$C:$C,C21,'15_Equipment_Log'!$D:$D,D21))</x:f>
      </x:c>
      <x:c r="J21" s="15"/>
      <x:c r="K21" s="15"/>
      <x:c r="L21" s="15"/>
      <x:c r="M21" s="15"/>
      <x:c r="N21" s="70" t="str">
        <x:f>IF(COUNTA(B21:E21,J21:M21)=0,"",F21+G21-H21-I21)</x:f>
      </x:c>
      <x:c r="O21" s="15" t="str">
        <x:f>IF(COUNTA(B21:E21,J21:M21)=0,"",TEXTJOIN("; ",TRUE,IF(B21="","Missing work date",""),IF(C21="","Missing project",""),IF(D21="","Missing job",""),IF(J21&lt;&gt;"Yes","Backup incomplete",""),IF(K21&lt;&gt;"Yes","Redline incomplete",""),IF(L21&lt;&gt;"Yes","Customer not approved",""),IF(M21&lt;&gt;"Ready","Invoice not ready","")))</x:f>
      </x:c>
    </x:row>
    <x:row r="22" ht="20" customHeight="1">
      <x:c r="A22" s="15"/>
      <x:c r="B22" s="28"/>
      <x:c r="C22" s="15"/>
      <x:c r="D22" s="15"/>
      <x:c r="E22" s="15"/>
      <x:c r="F22" s="70" t="str">
        <x:f>IF(OR(B22="",C22="",D22=""),"",SUMIFS('12_Production_Log'!$M:$M,'12_Production_Log'!$B:$B,B22,'12_Production_Log'!$C:$C,C22,'12_Production_Log'!$D:$D,D22))</x:f>
      </x:c>
      <x:c r="G22" s="70" t="str">
        <x:f>IF(OR(B22="",C22="",D22=""),"",SUMIFS('14_Materials_Log'!$I:$I,'14_Materials_Log'!$B:$B,B22,'14_Materials_Log'!$C:$C,C22,'14_Materials_Log'!$D:$D,D22,'14_Materials_Log'!$J:$J,"Yes"))</x:f>
      </x:c>
      <x:c r="H22" s="70" t="str">
        <x:f>IF(OR(B22="",C22="",D22=""),"",SUMIFS('13_Labor_Time'!$L:$L,'13_Labor_Time'!$B:$B,B22,'13_Labor_Time'!$C:$C,C22,'13_Labor_Time'!$D:$D,D22))</x:f>
      </x:c>
      <x:c r="I22" s="70" t="str">
        <x:f>IF(OR(B22="",C22="",D22=""),"",SUMIFS('15_Equipment_Log'!$M:$M,'15_Equipment_Log'!$B:$B,B22,'15_Equipment_Log'!$C:$C,C22,'15_Equipment_Log'!$D:$D,D22))</x:f>
      </x:c>
      <x:c r="J22" s="15"/>
      <x:c r="K22" s="15"/>
      <x:c r="L22" s="15"/>
      <x:c r="M22" s="15"/>
      <x:c r="N22" s="70" t="str">
        <x:f>IF(COUNTA(B22:E22,J22:M22)=0,"",F22+G22-H22-I22)</x:f>
      </x:c>
      <x:c r="O22" s="15" t="str">
        <x:f>IF(COUNTA(B22:E22,J22:M22)=0,"",TEXTJOIN("; ",TRUE,IF(B22="","Missing work date",""),IF(C22="","Missing project",""),IF(D22="","Missing job",""),IF(J22&lt;&gt;"Yes","Backup incomplete",""),IF(K22&lt;&gt;"Yes","Redline incomplete",""),IF(L22&lt;&gt;"Yes","Customer not approved",""),IF(M22&lt;&gt;"Ready","Invoice not ready","")))</x:f>
      </x:c>
    </x:row>
    <x:row r="23" ht="20" customHeight="1">
      <x:c r="A23" s="15"/>
      <x:c r="B23" s="28"/>
      <x:c r="C23" s="15"/>
      <x:c r="D23" s="15"/>
      <x:c r="E23" s="15"/>
      <x:c r="F23" s="70" t="str">
        <x:f>IF(OR(B23="",C23="",D23=""),"",SUMIFS('12_Production_Log'!$M:$M,'12_Production_Log'!$B:$B,B23,'12_Production_Log'!$C:$C,C23,'12_Production_Log'!$D:$D,D23))</x:f>
      </x:c>
      <x:c r="G23" s="70" t="str">
        <x:f>IF(OR(B23="",C23="",D23=""),"",SUMIFS('14_Materials_Log'!$I:$I,'14_Materials_Log'!$B:$B,B23,'14_Materials_Log'!$C:$C,C23,'14_Materials_Log'!$D:$D,D23,'14_Materials_Log'!$J:$J,"Yes"))</x:f>
      </x:c>
      <x:c r="H23" s="70" t="str">
        <x:f>IF(OR(B23="",C23="",D23=""),"",SUMIFS('13_Labor_Time'!$L:$L,'13_Labor_Time'!$B:$B,B23,'13_Labor_Time'!$C:$C,C23,'13_Labor_Time'!$D:$D,D23))</x:f>
      </x:c>
      <x:c r="I23" s="70" t="str">
        <x:f>IF(OR(B23="",C23="",D23=""),"",SUMIFS('15_Equipment_Log'!$M:$M,'15_Equipment_Log'!$B:$B,B23,'15_Equipment_Log'!$C:$C,C23,'15_Equipment_Log'!$D:$D,D23))</x:f>
      </x:c>
      <x:c r="J23" s="15"/>
      <x:c r="K23" s="15"/>
      <x:c r="L23" s="15"/>
      <x:c r="M23" s="15"/>
      <x:c r="N23" s="70" t="str">
        <x:f>IF(COUNTA(B23:E23,J23:M23)=0,"",F23+G23-H23-I23)</x:f>
      </x:c>
      <x:c r="O23" s="15" t="str">
        <x:f>IF(COUNTA(B23:E23,J23:M23)=0,"",TEXTJOIN("; ",TRUE,IF(B23="","Missing work date",""),IF(C23="","Missing project",""),IF(D23="","Missing job",""),IF(J23&lt;&gt;"Yes","Backup incomplete",""),IF(K23&lt;&gt;"Yes","Redline incomplete",""),IF(L23&lt;&gt;"Yes","Customer not approved",""),IF(M23&lt;&gt;"Ready","Invoice not ready","")))</x:f>
      </x:c>
    </x:row>
    <x:row r="24" ht="20" customHeight="1">
      <x:c r="A24" s="15"/>
      <x:c r="B24" s="28"/>
      <x:c r="C24" s="15"/>
      <x:c r="D24" s="15"/>
      <x:c r="E24" s="15"/>
      <x:c r="F24" s="70" t="str">
        <x:f>IF(OR(B24="",C24="",D24=""),"",SUMIFS('12_Production_Log'!$M:$M,'12_Production_Log'!$B:$B,B24,'12_Production_Log'!$C:$C,C24,'12_Production_Log'!$D:$D,D24))</x:f>
      </x:c>
      <x:c r="G24" s="70" t="str">
        <x:f>IF(OR(B24="",C24="",D24=""),"",SUMIFS('14_Materials_Log'!$I:$I,'14_Materials_Log'!$B:$B,B24,'14_Materials_Log'!$C:$C,C24,'14_Materials_Log'!$D:$D,D24,'14_Materials_Log'!$J:$J,"Yes"))</x:f>
      </x:c>
      <x:c r="H24" s="70" t="str">
        <x:f>IF(OR(B24="",C24="",D24=""),"",SUMIFS('13_Labor_Time'!$L:$L,'13_Labor_Time'!$B:$B,B24,'13_Labor_Time'!$C:$C,C24,'13_Labor_Time'!$D:$D,D24))</x:f>
      </x:c>
      <x:c r="I24" s="70" t="str">
        <x:f>IF(OR(B24="",C24="",D24=""),"",SUMIFS('15_Equipment_Log'!$M:$M,'15_Equipment_Log'!$B:$B,B24,'15_Equipment_Log'!$C:$C,C24,'15_Equipment_Log'!$D:$D,D24))</x:f>
      </x:c>
      <x:c r="J24" s="15"/>
      <x:c r="K24" s="15"/>
      <x:c r="L24" s="15"/>
      <x:c r="M24" s="15"/>
      <x:c r="N24" s="70" t="str">
        <x:f>IF(COUNTA(B24:E24,J24:M24)=0,"",F24+G24-H24-I24)</x:f>
      </x:c>
      <x:c r="O24" s="15" t="str">
        <x:f>IF(COUNTA(B24:E24,J24:M24)=0,"",TEXTJOIN("; ",TRUE,IF(B24="","Missing work date",""),IF(C24="","Missing project",""),IF(D24="","Missing job",""),IF(J24&lt;&gt;"Yes","Backup incomplete",""),IF(K24&lt;&gt;"Yes","Redline incomplete",""),IF(L24&lt;&gt;"Yes","Customer not approved",""),IF(M24&lt;&gt;"Ready","Invoice not ready","")))</x:f>
      </x:c>
    </x:row>
    <x:row r="25" ht="20" customHeight="1">
      <x:c r="A25" s="15"/>
      <x:c r="B25" s="28"/>
      <x:c r="C25" s="15"/>
      <x:c r="D25" s="15"/>
      <x:c r="E25" s="15"/>
      <x:c r="F25" s="70" t="str">
        <x:f>IF(OR(B25="",C25="",D25=""),"",SUMIFS('12_Production_Log'!$M:$M,'12_Production_Log'!$B:$B,B25,'12_Production_Log'!$C:$C,C25,'12_Production_Log'!$D:$D,D25))</x:f>
      </x:c>
      <x:c r="G25" s="70" t="str">
        <x:f>IF(OR(B25="",C25="",D25=""),"",SUMIFS('14_Materials_Log'!$I:$I,'14_Materials_Log'!$B:$B,B25,'14_Materials_Log'!$C:$C,C25,'14_Materials_Log'!$D:$D,D25,'14_Materials_Log'!$J:$J,"Yes"))</x:f>
      </x:c>
      <x:c r="H25" s="70" t="str">
        <x:f>IF(OR(B25="",C25="",D25=""),"",SUMIFS('13_Labor_Time'!$L:$L,'13_Labor_Time'!$B:$B,B25,'13_Labor_Time'!$C:$C,C25,'13_Labor_Time'!$D:$D,D25))</x:f>
      </x:c>
      <x:c r="I25" s="70" t="str">
        <x:f>IF(OR(B25="",C25="",D25=""),"",SUMIFS('15_Equipment_Log'!$M:$M,'15_Equipment_Log'!$B:$B,B25,'15_Equipment_Log'!$C:$C,C25,'15_Equipment_Log'!$D:$D,D25))</x:f>
      </x:c>
      <x:c r="J25" s="15"/>
      <x:c r="K25" s="15"/>
      <x:c r="L25" s="15"/>
      <x:c r="M25" s="15"/>
      <x:c r="N25" s="70" t="str">
        <x:f>IF(COUNTA(B25:E25,J25:M25)=0,"",F25+G25-H25-I25)</x:f>
      </x:c>
      <x:c r="O25" s="15" t="str">
        <x:f>IF(COUNTA(B25:E25,J25:M25)=0,"",TEXTJOIN("; ",TRUE,IF(B25="","Missing work date",""),IF(C25="","Missing project",""),IF(D25="","Missing job",""),IF(J25&lt;&gt;"Yes","Backup incomplete",""),IF(K25&lt;&gt;"Yes","Redline incomplete",""),IF(L25&lt;&gt;"Yes","Customer not approved",""),IF(M25&lt;&gt;"Ready","Invoice not ready","")))</x:f>
      </x:c>
    </x:row>
    <x:row r="26" ht="20" customHeight="1">
      <x:c r="A26" s="15"/>
      <x:c r="B26" s="28"/>
      <x:c r="C26" s="15"/>
      <x:c r="D26" s="15"/>
      <x:c r="E26" s="15"/>
      <x:c r="F26" s="70" t="str">
        <x:f>IF(OR(B26="",C26="",D26=""),"",SUMIFS('12_Production_Log'!$M:$M,'12_Production_Log'!$B:$B,B26,'12_Production_Log'!$C:$C,C26,'12_Production_Log'!$D:$D,D26))</x:f>
      </x:c>
      <x:c r="G26" s="70" t="str">
        <x:f>IF(OR(B26="",C26="",D26=""),"",SUMIFS('14_Materials_Log'!$I:$I,'14_Materials_Log'!$B:$B,B26,'14_Materials_Log'!$C:$C,C26,'14_Materials_Log'!$D:$D,D26,'14_Materials_Log'!$J:$J,"Yes"))</x:f>
      </x:c>
      <x:c r="H26" s="70" t="str">
        <x:f>IF(OR(B26="",C26="",D26=""),"",SUMIFS('13_Labor_Time'!$L:$L,'13_Labor_Time'!$B:$B,B26,'13_Labor_Time'!$C:$C,C26,'13_Labor_Time'!$D:$D,D26))</x:f>
      </x:c>
      <x:c r="I26" s="70" t="str">
        <x:f>IF(OR(B26="",C26="",D26=""),"",SUMIFS('15_Equipment_Log'!$M:$M,'15_Equipment_Log'!$B:$B,B26,'15_Equipment_Log'!$C:$C,C26,'15_Equipment_Log'!$D:$D,D26))</x:f>
      </x:c>
      <x:c r="J26" s="15"/>
      <x:c r="K26" s="15"/>
      <x:c r="L26" s="15"/>
      <x:c r="M26" s="15"/>
      <x:c r="N26" s="70" t="str">
        <x:f>IF(COUNTA(B26:E26,J26:M26)=0,"",F26+G26-H26-I26)</x:f>
      </x:c>
      <x:c r="O26" s="15" t="str">
        <x:f>IF(COUNTA(B26:E26,J26:M26)=0,"",TEXTJOIN("; ",TRUE,IF(B26="","Missing work date",""),IF(C26="","Missing project",""),IF(D26="","Missing job",""),IF(J26&lt;&gt;"Yes","Backup incomplete",""),IF(K26&lt;&gt;"Yes","Redline incomplete",""),IF(L26&lt;&gt;"Yes","Customer not approved",""),IF(M26&lt;&gt;"Ready","Invoice not ready","")))</x:f>
      </x:c>
    </x:row>
    <x:row r="27" ht="20" customHeight="1">
      <x:c r="A27" s="15"/>
      <x:c r="B27" s="28"/>
      <x:c r="C27" s="15"/>
      <x:c r="D27" s="15"/>
      <x:c r="E27" s="15"/>
      <x:c r="F27" s="70" t="str">
        <x:f>IF(OR(B27="",C27="",D27=""),"",SUMIFS('12_Production_Log'!$M:$M,'12_Production_Log'!$B:$B,B27,'12_Production_Log'!$C:$C,C27,'12_Production_Log'!$D:$D,D27))</x:f>
      </x:c>
      <x:c r="G27" s="70" t="str">
        <x:f>IF(OR(B27="",C27="",D27=""),"",SUMIFS('14_Materials_Log'!$I:$I,'14_Materials_Log'!$B:$B,B27,'14_Materials_Log'!$C:$C,C27,'14_Materials_Log'!$D:$D,D27,'14_Materials_Log'!$J:$J,"Yes"))</x:f>
      </x:c>
      <x:c r="H27" s="70" t="str">
        <x:f>IF(OR(B27="",C27="",D27=""),"",SUMIFS('13_Labor_Time'!$L:$L,'13_Labor_Time'!$B:$B,B27,'13_Labor_Time'!$C:$C,C27,'13_Labor_Time'!$D:$D,D27))</x:f>
      </x:c>
      <x:c r="I27" s="70" t="str">
        <x:f>IF(OR(B27="",C27="",D27=""),"",SUMIFS('15_Equipment_Log'!$M:$M,'15_Equipment_Log'!$B:$B,B27,'15_Equipment_Log'!$C:$C,C27,'15_Equipment_Log'!$D:$D,D27))</x:f>
      </x:c>
      <x:c r="J27" s="15"/>
      <x:c r="K27" s="15"/>
      <x:c r="L27" s="15"/>
      <x:c r="M27" s="15"/>
      <x:c r="N27" s="70" t="str">
        <x:f>IF(COUNTA(B27:E27,J27:M27)=0,"",F27+G27-H27-I27)</x:f>
      </x:c>
      <x:c r="O27" s="15" t="str">
        <x:f>IF(COUNTA(B27:E27,J27:M27)=0,"",TEXTJOIN("; ",TRUE,IF(B27="","Missing work date",""),IF(C27="","Missing project",""),IF(D27="","Missing job",""),IF(J27&lt;&gt;"Yes","Backup incomplete",""),IF(K27&lt;&gt;"Yes","Redline incomplete",""),IF(L27&lt;&gt;"Yes","Customer not approved",""),IF(M27&lt;&gt;"Ready","Invoice not ready","")))</x:f>
      </x:c>
    </x:row>
    <x:row r="28" ht="20" customHeight="1">
      <x:c r="A28" s="15"/>
      <x:c r="B28" s="28"/>
      <x:c r="C28" s="15"/>
      <x:c r="D28" s="15"/>
      <x:c r="E28" s="15"/>
      <x:c r="F28" s="70" t="str">
        <x:f>IF(OR(B28="",C28="",D28=""),"",SUMIFS('12_Production_Log'!$M:$M,'12_Production_Log'!$B:$B,B28,'12_Production_Log'!$C:$C,C28,'12_Production_Log'!$D:$D,D28))</x:f>
      </x:c>
      <x:c r="G28" s="70" t="str">
        <x:f>IF(OR(B28="",C28="",D28=""),"",SUMIFS('14_Materials_Log'!$I:$I,'14_Materials_Log'!$B:$B,B28,'14_Materials_Log'!$C:$C,C28,'14_Materials_Log'!$D:$D,D28,'14_Materials_Log'!$J:$J,"Yes"))</x:f>
      </x:c>
      <x:c r="H28" s="70" t="str">
        <x:f>IF(OR(B28="",C28="",D28=""),"",SUMIFS('13_Labor_Time'!$L:$L,'13_Labor_Time'!$B:$B,B28,'13_Labor_Time'!$C:$C,C28,'13_Labor_Time'!$D:$D,D28))</x:f>
      </x:c>
      <x:c r="I28" s="70" t="str">
        <x:f>IF(OR(B28="",C28="",D28=""),"",SUMIFS('15_Equipment_Log'!$M:$M,'15_Equipment_Log'!$B:$B,B28,'15_Equipment_Log'!$C:$C,C28,'15_Equipment_Log'!$D:$D,D28))</x:f>
      </x:c>
      <x:c r="J28" s="15"/>
      <x:c r="K28" s="15"/>
      <x:c r="L28" s="15"/>
      <x:c r="M28" s="15"/>
      <x:c r="N28" s="70" t="str">
        <x:f>IF(COUNTA(B28:E28,J28:M28)=0,"",F28+G28-H28-I28)</x:f>
      </x:c>
      <x:c r="O28" s="15" t="str">
        <x:f>IF(COUNTA(B28:E28,J28:M28)=0,"",TEXTJOIN("; ",TRUE,IF(B28="","Missing work date",""),IF(C28="","Missing project",""),IF(D28="","Missing job",""),IF(J28&lt;&gt;"Yes","Backup incomplete",""),IF(K28&lt;&gt;"Yes","Redline incomplete",""),IF(L28&lt;&gt;"Yes","Customer not approved",""),IF(M28&lt;&gt;"Ready","Invoice not ready","")))</x:f>
      </x:c>
    </x:row>
    <x:row r="29" ht="20" customHeight="1">
      <x:c r="A29" s="15"/>
      <x:c r="B29" s="28"/>
      <x:c r="C29" s="15"/>
      <x:c r="D29" s="15"/>
      <x:c r="E29" s="15"/>
      <x:c r="F29" s="70" t="str">
        <x:f>IF(OR(B29="",C29="",D29=""),"",SUMIFS('12_Production_Log'!$M:$M,'12_Production_Log'!$B:$B,B29,'12_Production_Log'!$C:$C,C29,'12_Production_Log'!$D:$D,D29))</x:f>
      </x:c>
      <x:c r="G29" s="70" t="str">
        <x:f>IF(OR(B29="",C29="",D29=""),"",SUMIFS('14_Materials_Log'!$I:$I,'14_Materials_Log'!$B:$B,B29,'14_Materials_Log'!$C:$C,C29,'14_Materials_Log'!$D:$D,D29,'14_Materials_Log'!$J:$J,"Yes"))</x:f>
      </x:c>
      <x:c r="H29" s="70" t="str">
        <x:f>IF(OR(B29="",C29="",D29=""),"",SUMIFS('13_Labor_Time'!$L:$L,'13_Labor_Time'!$B:$B,B29,'13_Labor_Time'!$C:$C,C29,'13_Labor_Time'!$D:$D,D29))</x:f>
      </x:c>
      <x:c r="I29" s="70" t="str">
        <x:f>IF(OR(B29="",C29="",D29=""),"",SUMIFS('15_Equipment_Log'!$M:$M,'15_Equipment_Log'!$B:$B,B29,'15_Equipment_Log'!$C:$C,C29,'15_Equipment_Log'!$D:$D,D29))</x:f>
      </x:c>
      <x:c r="J29" s="15"/>
      <x:c r="K29" s="15"/>
      <x:c r="L29" s="15"/>
      <x:c r="M29" s="15"/>
      <x:c r="N29" s="70" t="str">
        <x:f>IF(COUNTA(B29:E29,J29:M29)=0,"",F29+G29-H29-I29)</x:f>
      </x:c>
      <x:c r="O29" s="15" t="str">
        <x:f>IF(COUNTA(B29:E29,J29:M29)=0,"",TEXTJOIN("; ",TRUE,IF(B29="","Missing work date",""),IF(C29="","Missing project",""),IF(D29="","Missing job",""),IF(J29&lt;&gt;"Yes","Backup incomplete",""),IF(K29&lt;&gt;"Yes","Redline incomplete",""),IF(L29&lt;&gt;"Yes","Customer not approved",""),IF(M29&lt;&gt;"Ready","Invoice not ready","")))</x:f>
      </x:c>
    </x:row>
    <x:row r="30" ht="20" customHeight="1">
      <x:c r="A30" s="15"/>
      <x:c r="B30" s="28"/>
      <x:c r="C30" s="15"/>
      <x:c r="D30" s="15"/>
      <x:c r="E30" s="15"/>
      <x:c r="F30" s="70" t="str">
        <x:f>IF(OR(B30="",C30="",D30=""),"",SUMIFS('12_Production_Log'!$M:$M,'12_Production_Log'!$B:$B,B30,'12_Production_Log'!$C:$C,C30,'12_Production_Log'!$D:$D,D30))</x:f>
      </x:c>
      <x:c r="G30" s="70" t="str">
        <x:f>IF(OR(B30="",C30="",D30=""),"",SUMIFS('14_Materials_Log'!$I:$I,'14_Materials_Log'!$B:$B,B30,'14_Materials_Log'!$C:$C,C30,'14_Materials_Log'!$D:$D,D30,'14_Materials_Log'!$J:$J,"Yes"))</x:f>
      </x:c>
      <x:c r="H30" s="70" t="str">
        <x:f>IF(OR(B30="",C30="",D30=""),"",SUMIFS('13_Labor_Time'!$L:$L,'13_Labor_Time'!$B:$B,B30,'13_Labor_Time'!$C:$C,C30,'13_Labor_Time'!$D:$D,D30))</x:f>
      </x:c>
      <x:c r="I30" s="70" t="str">
        <x:f>IF(OR(B30="",C30="",D30=""),"",SUMIFS('15_Equipment_Log'!$M:$M,'15_Equipment_Log'!$B:$B,B30,'15_Equipment_Log'!$C:$C,C30,'15_Equipment_Log'!$D:$D,D30))</x:f>
      </x:c>
      <x:c r="J30" s="15"/>
      <x:c r="K30" s="15"/>
      <x:c r="L30" s="15"/>
      <x:c r="M30" s="15"/>
      <x:c r="N30" s="70" t="str">
        <x:f>IF(COUNTA(B30:E30,J30:M30)=0,"",F30+G30-H30-I30)</x:f>
      </x:c>
      <x:c r="O30" s="15" t="str">
        <x:f>IF(COUNTA(B30:E30,J30:M30)=0,"",TEXTJOIN("; ",TRUE,IF(B30="","Missing work date",""),IF(C30="","Missing project",""),IF(D30="","Missing job",""),IF(J30&lt;&gt;"Yes","Backup incomplete",""),IF(K30&lt;&gt;"Yes","Redline incomplete",""),IF(L30&lt;&gt;"Yes","Customer not approved",""),IF(M30&lt;&gt;"Ready","Invoice not ready","")))</x:f>
      </x:c>
    </x:row>
    <x:row r="31" ht="20" customHeight="1">
      <x:c r="A31" s="15"/>
      <x:c r="B31" s="28"/>
      <x:c r="C31" s="15"/>
      <x:c r="D31" s="15"/>
      <x:c r="E31" s="15"/>
      <x:c r="F31" s="70" t="str">
        <x:f>IF(OR(B31="",C31="",D31=""),"",SUMIFS('12_Production_Log'!$M:$M,'12_Production_Log'!$B:$B,B31,'12_Production_Log'!$C:$C,C31,'12_Production_Log'!$D:$D,D31))</x:f>
      </x:c>
      <x:c r="G31" s="70" t="str">
        <x:f>IF(OR(B31="",C31="",D31=""),"",SUMIFS('14_Materials_Log'!$I:$I,'14_Materials_Log'!$B:$B,B31,'14_Materials_Log'!$C:$C,C31,'14_Materials_Log'!$D:$D,D31,'14_Materials_Log'!$J:$J,"Yes"))</x:f>
      </x:c>
      <x:c r="H31" s="70" t="str">
        <x:f>IF(OR(B31="",C31="",D31=""),"",SUMIFS('13_Labor_Time'!$L:$L,'13_Labor_Time'!$B:$B,B31,'13_Labor_Time'!$C:$C,C31,'13_Labor_Time'!$D:$D,D31))</x:f>
      </x:c>
      <x:c r="I31" s="70" t="str">
        <x:f>IF(OR(B31="",C31="",D31=""),"",SUMIFS('15_Equipment_Log'!$M:$M,'15_Equipment_Log'!$B:$B,B31,'15_Equipment_Log'!$C:$C,C31,'15_Equipment_Log'!$D:$D,D31))</x:f>
      </x:c>
      <x:c r="J31" s="15"/>
      <x:c r="K31" s="15"/>
      <x:c r="L31" s="15"/>
      <x:c r="M31" s="15"/>
      <x:c r="N31" s="70" t="str">
        <x:f>IF(COUNTA(B31:E31,J31:M31)=0,"",F31+G31-H31-I31)</x:f>
      </x:c>
      <x:c r="O31" s="15" t="str">
        <x:f>IF(COUNTA(B31:E31,J31:M31)=0,"",TEXTJOIN("; ",TRUE,IF(B31="","Missing work date",""),IF(C31="","Missing project",""),IF(D31="","Missing job",""),IF(J31&lt;&gt;"Yes","Backup incomplete",""),IF(K31&lt;&gt;"Yes","Redline incomplete",""),IF(L31&lt;&gt;"Yes","Customer not approved",""),IF(M31&lt;&gt;"Ready","Invoice not ready","")))</x:f>
      </x:c>
    </x:row>
    <x:row r="32" ht="20" customHeight="1">
      <x:c r="A32" s="15"/>
      <x:c r="B32" s="28"/>
      <x:c r="C32" s="15"/>
      <x:c r="D32" s="15"/>
      <x:c r="E32" s="15"/>
      <x:c r="F32" s="70" t="str">
        <x:f>IF(OR(B32="",C32="",D32=""),"",SUMIFS('12_Production_Log'!$M:$M,'12_Production_Log'!$B:$B,B32,'12_Production_Log'!$C:$C,C32,'12_Production_Log'!$D:$D,D32))</x:f>
      </x:c>
      <x:c r="G32" s="70" t="str">
        <x:f>IF(OR(B32="",C32="",D32=""),"",SUMIFS('14_Materials_Log'!$I:$I,'14_Materials_Log'!$B:$B,B32,'14_Materials_Log'!$C:$C,C32,'14_Materials_Log'!$D:$D,D32,'14_Materials_Log'!$J:$J,"Yes"))</x:f>
      </x:c>
      <x:c r="H32" s="70" t="str">
        <x:f>IF(OR(B32="",C32="",D32=""),"",SUMIFS('13_Labor_Time'!$L:$L,'13_Labor_Time'!$B:$B,B32,'13_Labor_Time'!$C:$C,C32,'13_Labor_Time'!$D:$D,D32))</x:f>
      </x:c>
      <x:c r="I32" s="70" t="str">
        <x:f>IF(OR(B32="",C32="",D32=""),"",SUMIFS('15_Equipment_Log'!$M:$M,'15_Equipment_Log'!$B:$B,B32,'15_Equipment_Log'!$C:$C,C32,'15_Equipment_Log'!$D:$D,D32))</x:f>
      </x:c>
      <x:c r="J32" s="15"/>
      <x:c r="K32" s="15"/>
      <x:c r="L32" s="15"/>
      <x:c r="M32" s="15"/>
      <x:c r="N32" s="70" t="str">
        <x:f>IF(COUNTA(B32:E32,J32:M32)=0,"",F32+G32-H32-I32)</x:f>
      </x:c>
      <x:c r="O32" s="15" t="str">
        <x:f>IF(COUNTA(B32:E32,J32:M32)=0,"",TEXTJOIN("; ",TRUE,IF(B32="","Missing work date",""),IF(C32="","Missing project",""),IF(D32="","Missing job",""),IF(J32&lt;&gt;"Yes","Backup incomplete",""),IF(K32&lt;&gt;"Yes","Redline incomplete",""),IF(L32&lt;&gt;"Yes","Customer not approved",""),IF(M32&lt;&gt;"Ready","Invoice not ready","")))</x:f>
      </x:c>
    </x:row>
    <x:row r="33" ht="20" customHeight="1">
      <x:c r="A33" s="15"/>
      <x:c r="B33" s="28"/>
      <x:c r="C33" s="15"/>
      <x:c r="D33" s="15"/>
      <x:c r="E33" s="15"/>
      <x:c r="F33" s="70" t="str">
        <x:f>IF(OR(B33="",C33="",D33=""),"",SUMIFS('12_Production_Log'!$M:$M,'12_Production_Log'!$B:$B,B33,'12_Production_Log'!$C:$C,C33,'12_Production_Log'!$D:$D,D33))</x:f>
      </x:c>
      <x:c r="G33" s="70" t="str">
        <x:f>IF(OR(B33="",C33="",D33=""),"",SUMIFS('14_Materials_Log'!$I:$I,'14_Materials_Log'!$B:$B,B33,'14_Materials_Log'!$C:$C,C33,'14_Materials_Log'!$D:$D,D33,'14_Materials_Log'!$J:$J,"Yes"))</x:f>
      </x:c>
      <x:c r="H33" s="70" t="str">
        <x:f>IF(OR(B33="",C33="",D33=""),"",SUMIFS('13_Labor_Time'!$L:$L,'13_Labor_Time'!$B:$B,B33,'13_Labor_Time'!$C:$C,C33,'13_Labor_Time'!$D:$D,D33))</x:f>
      </x:c>
      <x:c r="I33" s="70" t="str">
        <x:f>IF(OR(B33="",C33="",D33=""),"",SUMIFS('15_Equipment_Log'!$M:$M,'15_Equipment_Log'!$B:$B,B33,'15_Equipment_Log'!$C:$C,C33,'15_Equipment_Log'!$D:$D,D33))</x:f>
      </x:c>
      <x:c r="J33" s="15"/>
      <x:c r="K33" s="15"/>
      <x:c r="L33" s="15"/>
      <x:c r="M33" s="15"/>
      <x:c r="N33" s="70" t="str">
        <x:f>IF(COUNTA(B33:E33,J33:M33)=0,"",F33+G33-H33-I33)</x:f>
      </x:c>
      <x:c r="O33" s="15" t="str">
        <x:f>IF(COUNTA(B33:E33,J33:M33)=0,"",TEXTJOIN("; ",TRUE,IF(B33="","Missing work date",""),IF(C33="","Missing project",""),IF(D33="","Missing job",""),IF(J33&lt;&gt;"Yes","Backup incomplete",""),IF(K33&lt;&gt;"Yes","Redline incomplete",""),IF(L33&lt;&gt;"Yes","Customer not approved",""),IF(M33&lt;&gt;"Ready","Invoice not ready","")))</x:f>
      </x:c>
    </x:row>
    <x:row r="34" ht="20" customHeight="1">
      <x:c r="A34" s="15"/>
      <x:c r="B34" s="28"/>
      <x:c r="C34" s="15"/>
      <x:c r="D34" s="15"/>
      <x:c r="E34" s="15"/>
      <x:c r="F34" s="70" t="str">
        <x:f>IF(OR(B34="",C34="",D34=""),"",SUMIFS('12_Production_Log'!$M:$M,'12_Production_Log'!$B:$B,B34,'12_Production_Log'!$C:$C,C34,'12_Production_Log'!$D:$D,D34))</x:f>
      </x:c>
      <x:c r="G34" s="70" t="str">
        <x:f>IF(OR(B34="",C34="",D34=""),"",SUMIFS('14_Materials_Log'!$I:$I,'14_Materials_Log'!$B:$B,B34,'14_Materials_Log'!$C:$C,C34,'14_Materials_Log'!$D:$D,D34,'14_Materials_Log'!$J:$J,"Yes"))</x:f>
      </x:c>
      <x:c r="H34" s="70" t="str">
        <x:f>IF(OR(B34="",C34="",D34=""),"",SUMIFS('13_Labor_Time'!$L:$L,'13_Labor_Time'!$B:$B,B34,'13_Labor_Time'!$C:$C,C34,'13_Labor_Time'!$D:$D,D34))</x:f>
      </x:c>
      <x:c r="I34" s="70" t="str">
        <x:f>IF(OR(B34="",C34="",D34=""),"",SUMIFS('15_Equipment_Log'!$M:$M,'15_Equipment_Log'!$B:$B,B34,'15_Equipment_Log'!$C:$C,C34,'15_Equipment_Log'!$D:$D,D34))</x:f>
      </x:c>
      <x:c r="J34" s="15"/>
      <x:c r="K34" s="15"/>
      <x:c r="L34" s="15"/>
      <x:c r="M34" s="15"/>
      <x:c r="N34" s="70" t="str">
        <x:f>IF(COUNTA(B34:E34,J34:M34)=0,"",F34+G34-H34-I34)</x:f>
      </x:c>
      <x:c r="O34" s="15" t="str">
        <x:f>IF(COUNTA(B34:E34,J34:M34)=0,"",TEXTJOIN("; ",TRUE,IF(B34="","Missing work date",""),IF(C34="","Missing project",""),IF(D34="","Missing job",""),IF(J34&lt;&gt;"Yes","Backup incomplete",""),IF(K34&lt;&gt;"Yes","Redline incomplete",""),IF(L34&lt;&gt;"Yes","Customer not approved",""),IF(M34&lt;&gt;"Ready","Invoice not ready","")))</x:f>
      </x:c>
    </x:row>
    <x:row r="35" ht="20" customHeight="1">
      <x:c r="A35" s="15"/>
      <x:c r="B35" s="28"/>
      <x:c r="C35" s="15"/>
      <x:c r="D35" s="15"/>
      <x:c r="E35" s="15"/>
      <x:c r="F35" s="70" t="str">
        <x:f>IF(OR(B35="",C35="",D35=""),"",SUMIFS('12_Production_Log'!$M:$M,'12_Production_Log'!$B:$B,B35,'12_Production_Log'!$C:$C,C35,'12_Production_Log'!$D:$D,D35))</x:f>
      </x:c>
      <x:c r="G35" s="70" t="str">
        <x:f>IF(OR(B35="",C35="",D35=""),"",SUMIFS('14_Materials_Log'!$I:$I,'14_Materials_Log'!$B:$B,B35,'14_Materials_Log'!$C:$C,C35,'14_Materials_Log'!$D:$D,D35,'14_Materials_Log'!$J:$J,"Yes"))</x:f>
      </x:c>
      <x:c r="H35" s="70" t="str">
        <x:f>IF(OR(B35="",C35="",D35=""),"",SUMIFS('13_Labor_Time'!$L:$L,'13_Labor_Time'!$B:$B,B35,'13_Labor_Time'!$C:$C,C35,'13_Labor_Time'!$D:$D,D35))</x:f>
      </x:c>
      <x:c r="I35" s="70" t="str">
        <x:f>IF(OR(B35="",C35="",D35=""),"",SUMIFS('15_Equipment_Log'!$M:$M,'15_Equipment_Log'!$B:$B,B35,'15_Equipment_Log'!$C:$C,C35,'15_Equipment_Log'!$D:$D,D35))</x:f>
      </x:c>
      <x:c r="J35" s="15"/>
      <x:c r="K35" s="15"/>
      <x:c r="L35" s="15"/>
      <x:c r="M35" s="15"/>
      <x:c r="N35" s="70" t="str">
        <x:f>IF(COUNTA(B35:E35,J35:M35)=0,"",F35+G35-H35-I35)</x:f>
      </x:c>
      <x:c r="O35" s="15" t="str">
        <x:f>IF(COUNTA(B35:E35,J35:M35)=0,"",TEXTJOIN("; ",TRUE,IF(B35="","Missing work date",""),IF(C35="","Missing project",""),IF(D35="","Missing job",""),IF(J35&lt;&gt;"Yes","Backup incomplete",""),IF(K35&lt;&gt;"Yes","Redline incomplete",""),IF(L35&lt;&gt;"Yes","Customer not approved",""),IF(M35&lt;&gt;"Ready","Invoice not ready","")))</x:f>
      </x:c>
    </x:row>
    <x:row r="36" ht="20" customHeight="1">
      <x:c r="A36" s="15"/>
      <x:c r="B36" s="28"/>
      <x:c r="C36" s="15"/>
      <x:c r="D36" s="15"/>
      <x:c r="E36" s="15"/>
      <x:c r="F36" s="70" t="str">
        <x:f>IF(OR(B36="",C36="",D36=""),"",SUMIFS('12_Production_Log'!$M:$M,'12_Production_Log'!$B:$B,B36,'12_Production_Log'!$C:$C,C36,'12_Production_Log'!$D:$D,D36))</x:f>
      </x:c>
      <x:c r="G36" s="70" t="str">
        <x:f>IF(OR(B36="",C36="",D36=""),"",SUMIFS('14_Materials_Log'!$I:$I,'14_Materials_Log'!$B:$B,B36,'14_Materials_Log'!$C:$C,C36,'14_Materials_Log'!$D:$D,D36,'14_Materials_Log'!$J:$J,"Yes"))</x:f>
      </x:c>
      <x:c r="H36" s="70" t="str">
        <x:f>IF(OR(B36="",C36="",D36=""),"",SUMIFS('13_Labor_Time'!$L:$L,'13_Labor_Time'!$B:$B,B36,'13_Labor_Time'!$C:$C,C36,'13_Labor_Time'!$D:$D,D36))</x:f>
      </x:c>
      <x:c r="I36" s="70" t="str">
        <x:f>IF(OR(B36="",C36="",D36=""),"",SUMIFS('15_Equipment_Log'!$M:$M,'15_Equipment_Log'!$B:$B,B36,'15_Equipment_Log'!$C:$C,C36,'15_Equipment_Log'!$D:$D,D36))</x:f>
      </x:c>
      <x:c r="J36" s="15"/>
      <x:c r="K36" s="15"/>
      <x:c r="L36" s="15"/>
      <x:c r="M36" s="15"/>
      <x:c r="N36" s="70" t="str">
        <x:f>IF(COUNTA(B36:E36,J36:M36)=0,"",F36+G36-H36-I36)</x:f>
      </x:c>
      <x:c r="O36" s="15" t="str">
        <x:f>IF(COUNTA(B36:E36,J36:M36)=0,"",TEXTJOIN("; ",TRUE,IF(B36="","Missing work date",""),IF(C36="","Missing project",""),IF(D36="","Missing job",""),IF(J36&lt;&gt;"Yes","Backup incomplete",""),IF(K36&lt;&gt;"Yes","Redline incomplete",""),IF(L36&lt;&gt;"Yes","Customer not approved",""),IF(M36&lt;&gt;"Ready","Invoice not ready","")))</x:f>
      </x:c>
    </x:row>
    <x:row r="37" ht="20" customHeight="1">
      <x:c r="A37" s="15"/>
      <x:c r="B37" s="28"/>
      <x:c r="C37" s="15"/>
      <x:c r="D37" s="15"/>
      <x:c r="E37" s="15"/>
      <x:c r="F37" s="70" t="str">
        <x:f>IF(OR(B37="",C37="",D37=""),"",SUMIFS('12_Production_Log'!$M:$M,'12_Production_Log'!$B:$B,B37,'12_Production_Log'!$C:$C,C37,'12_Production_Log'!$D:$D,D37))</x:f>
      </x:c>
      <x:c r="G37" s="70" t="str">
        <x:f>IF(OR(B37="",C37="",D37=""),"",SUMIFS('14_Materials_Log'!$I:$I,'14_Materials_Log'!$B:$B,B37,'14_Materials_Log'!$C:$C,C37,'14_Materials_Log'!$D:$D,D37,'14_Materials_Log'!$J:$J,"Yes"))</x:f>
      </x:c>
      <x:c r="H37" s="70" t="str">
        <x:f>IF(OR(B37="",C37="",D37=""),"",SUMIFS('13_Labor_Time'!$L:$L,'13_Labor_Time'!$B:$B,B37,'13_Labor_Time'!$C:$C,C37,'13_Labor_Time'!$D:$D,D37))</x:f>
      </x:c>
      <x:c r="I37" s="70" t="str">
        <x:f>IF(OR(B37="",C37="",D37=""),"",SUMIFS('15_Equipment_Log'!$M:$M,'15_Equipment_Log'!$B:$B,B37,'15_Equipment_Log'!$C:$C,C37,'15_Equipment_Log'!$D:$D,D37))</x:f>
      </x:c>
      <x:c r="J37" s="15"/>
      <x:c r="K37" s="15"/>
      <x:c r="L37" s="15"/>
      <x:c r="M37" s="15"/>
      <x:c r="N37" s="70" t="str">
        <x:f>IF(COUNTA(B37:E37,J37:M37)=0,"",F37+G37-H37-I37)</x:f>
      </x:c>
      <x:c r="O37" s="15" t="str">
        <x:f>IF(COUNTA(B37:E37,J37:M37)=0,"",TEXTJOIN("; ",TRUE,IF(B37="","Missing work date",""),IF(C37="","Missing project",""),IF(D37="","Missing job",""),IF(J37&lt;&gt;"Yes","Backup incomplete",""),IF(K37&lt;&gt;"Yes","Redline incomplete",""),IF(L37&lt;&gt;"Yes","Customer not approved",""),IF(M37&lt;&gt;"Ready","Invoice not ready","")))</x:f>
      </x:c>
    </x:row>
    <x:row r="38" ht="20" customHeight="1">
      <x:c r="A38" s="15"/>
      <x:c r="B38" s="28"/>
      <x:c r="C38" s="15"/>
      <x:c r="D38" s="15"/>
      <x:c r="E38" s="15"/>
      <x:c r="F38" s="70" t="str">
        <x:f>IF(OR(B38="",C38="",D38=""),"",SUMIFS('12_Production_Log'!$M:$M,'12_Production_Log'!$B:$B,B38,'12_Production_Log'!$C:$C,C38,'12_Production_Log'!$D:$D,D38))</x:f>
      </x:c>
      <x:c r="G38" s="70" t="str">
        <x:f>IF(OR(B38="",C38="",D38=""),"",SUMIFS('14_Materials_Log'!$I:$I,'14_Materials_Log'!$B:$B,B38,'14_Materials_Log'!$C:$C,C38,'14_Materials_Log'!$D:$D,D38,'14_Materials_Log'!$J:$J,"Yes"))</x:f>
      </x:c>
      <x:c r="H38" s="70" t="str">
        <x:f>IF(OR(B38="",C38="",D38=""),"",SUMIFS('13_Labor_Time'!$L:$L,'13_Labor_Time'!$B:$B,B38,'13_Labor_Time'!$C:$C,C38,'13_Labor_Time'!$D:$D,D38))</x:f>
      </x:c>
      <x:c r="I38" s="70" t="str">
        <x:f>IF(OR(B38="",C38="",D38=""),"",SUMIFS('15_Equipment_Log'!$M:$M,'15_Equipment_Log'!$B:$B,B38,'15_Equipment_Log'!$C:$C,C38,'15_Equipment_Log'!$D:$D,D38))</x:f>
      </x:c>
      <x:c r="J38" s="15"/>
      <x:c r="K38" s="15"/>
      <x:c r="L38" s="15"/>
      <x:c r="M38" s="15"/>
      <x:c r="N38" s="70" t="str">
        <x:f>IF(COUNTA(B38:E38,J38:M38)=0,"",F38+G38-H38-I38)</x:f>
      </x:c>
      <x:c r="O38" s="15" t="str">
        <x:f>IF(COUNTA(B38:E38,J38:M38)=0,"",TEXTJOIN("; ",TRUE,IF(B38="","Missing work date",""),IF(C38="","Missing project",""),IF(D38="","Missing job",""),IF(J38&lt;&gt;"Yes","Backup incomplete",""),IF(K38&lt;&gt;"Yes","Redline incomplete",""),IF(L38&lt;&gt;"Yes","Customer not approved",""),IF(M38&lt;&gt;"Ready","Invoice not ready","")))</x:f>
      </x:c>
    </x:row>
    <x:row r="39" ht="20" customHeight="1">
      <x:c r="A39" s="15"/>
      <x:c r="B39" s="28"/>
      <x:c r="C39" s="15"/>
      <x:c r="D39" s="15"/>
      <x:c r="E39" s="15"/>
      <x:c r="F39" s="70" t="str">
        <x:f>IF(OR(B39="",C39="",D39=""),"",SUMIFS('12_Production_Log'!$M:$M,'12_Production_Log'!$B:$B,B39,'12_Production_Log'!$C:$C,C39,'12_Production_Log'!$D:$D,D39))</x:f>
      </x:c>
      <x:c r="G39" s="70" t="str">
        <x:f>IF(OR(B39="",C39="",D39=""),"",SUMIFS('14_Materials_Log'!$I:$I,'14_Materials_Log'!$B:$B,B39,'14_Materials_Log'!$C:$C,C39,'14_Materials_Log'!$D:$D,D39,'14_Materials_Log'!$J:$J,"Yes"))</x:f>
      </x:c>
      <x:c r="H39" s="70" t="str">
        <x:f>IF(OR(B39="",C39="",D39=""),"",SUMIFS('13_Labor_Time'!$L:$L,'13_Labor_Time'!$B:$B,B39,'13_Labor_Time'!$C:$C,C39,'13_Labor_Time'!$D:$D,D39))</x:f>
      </x:c>
      <x:c r="I39" s="70" t="str">
        <x:f>IF(OR(B39="",C39="",D39=""),"",SUMIFS('15_Equipment_Log'!$M:$M,'15_Equipment_Log'!$B:$B,B39,'15_Equipment_Log'!$C:$C,C39,'15_Equipment_Log'!$D:$D,D39))</x:f>
      </x:c>
      <x:c r="J39" s="15"/>
      <x:c r="K39" s="15"/>
      <x:c r="L39" s="15"/>
      <x:c r="M39" s="15"/>
      <x:c r="N39" s="70" t="str">
        <x:f>IF(COUNTA(B39:E39,J39:M39)=0,"",F39+G39-H39-I39)</x:f>
      </x:c>
      <x:c r="O39" s="15" t="str">
        <x:f>IF(COUNTA(B39:E39,J39:M39)=0,"",TEXTJOIN("; ",TRUE,IF(B39="","Missing work date",""),IF(C39="","Missing project",""),IF(D39="","Missing job",""),IF(J39&lt;&gt;"Yes","Backup incomplete",""),IF(K39&lt;&gt;"Yes","Redline incomplete",""),IF(L39&lt;&gt;"Yes","Customer not approved",""),IF(M39&lt;&gt;"Ready","Invoice not ready","")))</x:f>
      </x:c>
    </x:row>
    <x:row r="40" ht="20" customHeight="1">
      <x:c r="A40" s="15"/>
      <x:c r="B40" s="28"/>
      <x:c r="C40" s="15"/>
      <x:c r="D40" s="15"/>
      <x:c r="E40" s="15"/>
      <x:c r="F40" s="70" t="str">
        <x:f>IF(OR(B40="",C40="",D40=""),"",SUMIFS('12_Production_Log'!$M:$M,'12_Production_Log'!$B:$B,B40,'12_Production_Log'!$C:$C,C40,'12_Production_Log'!$D:$D,D40))</x:f>
      </x:c>
      <x:c r="G40" s="70" t="str">
        <x:f>IF(OR(B40="",C40="",D40=""),"",SUMIFS('14_Materials_Log'!$I:$I,'14_Materials_Log'!$B:$B,B40,'14_Materials_Log'!$C:$C,C40,'14_Materials_Log'!$D:$D,D40,'14_Materials_Log'!$J:$J,"Yes"))</x:f>
      </x:c>
      <x:c r="H40" s="70" t="str">
        <x:f>IF(OR(B40="",C40="",D40=""),"",SUMIFS('13_Labor_Time'!$L:$L,'13_Labor_Time'!$B:$B,B40,'13_Labor_Time'!$C:$C,C40,'13_Labor_Time'!$D:$D,D40))</x:f>
      </x:c>
      <x:c r="I40" s="70" t="str">
        <x:f>IF(OR(B40="",C40="",D40=""),"",SUMIFS('15_Equipment_Log'!$M:$M,'15_Equipment_Log'!$B:$B,B40,'15_Equipment_Log'!$C:$C,C40,'15_Equipment_Log'!$D:$D,D40))</x:f>
      </x:c>
      <x:c r="J40" s="15"/>
      <x:c r="K40" s="15"/>
      <x:c r="L40" s="15"/>
      <x:c r="M40" s="15"/>
      <x:c r="N40" s="70" t="str">
        <x:f>IF(COUNTA(B40:E40,J40:M40)=0,"",F40+G40-H40-I40)</x:f>
      </x:c>
      <x:c r="O40" s="15" t="str">
        <x:f>IF(COUNTA(B40:E40,J40:M40)=0,"",TEXTJOIN("; ",TRUE,IF(B40="","Missing work date",""),IF(C40="","Missing project",""),IF(D40="","Missing job",""),IF(J40&lt;&gt;"Yes","Backup incomplete",""),IF(K40&lt;&gt;"Yes","Redline incomplete",""),IF(L40&lt;&gt;"Yes","Customer not approved",""),IF(M40&lt;&gt;"Ready","Invoice not ready","")))</x:f>
      </x:c>
    </x:row>
    <x:row r="41" ht="20" customHeight="1">
      <x:c r="A41" s="15"/>
      <x:c r="B41" s="28"/>
      <x:c r="C41" s="15"/>
      <x:c r="D41" s="15"/>
      <x:c r="E41" s="15"/>
      <x:c r="F41" s="70" t="str">
        <x:f>IF(OR(B41="",C41="",D41=""),"",SUMIFS('12_Production_Log'!$M:$M,'12_Production_Log'!$B:$B,B41,'12_Production_Log'!$C:$C,C41,'12_Production_Log'!$D:$D,D41))</x:f>
      </x:c>
      <x:c r="G41" s="70" t="str">
        <x:f>IF(OR(B41="",C41="",D41=""),"",SUMIFS('14_Materials_Log'!$I:$I,'14_Materials_Log'!$B:$B,B41,'14_Materials_Log'!$C:$C,C41,'14_Materials_Log'!$D:$D,D41,'14_Materials_Log'!$J:$J,"Yes"))</x:f>
      </x:c>
      <x:c r="H41" s="70" t="str">
        <x:f>IF(OR(B41="",C41="",D41=""),"",SUMIFS('13_Labor_Time'!$L:$L,'13_Labor_Time'!$B:$B,B41,'13_Labor_Time'!$C:$C,C41,'13_Labor_Time'!$D:$D,D41))</x:f>
      </x:c>
      <x:c r="I41" s="70" t="str">
        <x:f>IF(OR(B41="",C41="",D41=""),"",SUMIFS('15_Equipment_Log'!$M:$M,'15_Equipment_Log'!$B:$B,B41,'15_Equipment_Log'!$C:$C,C41,'15_Equipment_Log'!$D:$D,D41))</x:f>
      </x:c>
      <x:c r="J41" s="15"/>
      <x:c r="K41" s="15"/>
      <x:c r="L41" s="15"/>
      <x:c r="M41" s="15"/>
      <x:c r="N41" s="70" t="str">
        <x:f>IF(COUNTA(B41:E41,J41:M41)=0,"",F41+G41-H41-I41)</x:f>
      </x:c>
      <x:c r="O41" s="15" t="str">
        <x:f>IF(COUNTA(B41:E41,J41:M41)=0,"",TEXTJOIN("; ",TRUE,IF(B41="","Missing work date",""),IF(C41="","Missing project",""),IF(D41="","Missing job",""),IF(J41&lt;&gt;"Yes","Backup incomplete",""),IF(K41&lt;&gt;"Yes","Redline incomplete",""),IF(L41&lt;&gt;"Yes","Customer not approved",""),IF(M41&lt;&gt;"Ready","Invoice not ready","")))</x:f>
      </x:c>
    </x:row>
    <x:row r="42" ht="20" customHeight="1">
      <x:c r="A42" s="15"/>
      <x:c r="B42" s="28"/>
      <x:c r="C42" s="15"/>
      <x:c r="D42" s="15"/>
      <x:c r="E42" s="15"/>
      <x:c r="F42" s="70" t="str">
        <x:f>IF(OR(B42="",C42="",D42=""),"",SUMIFS('12_Production_Log'!$M:$M,'12_Production_Log'!$B:$B,B42,'12_Production_Log'!$C:$C,C42,'12_Production_Log'!$D:$D,D42))</x:f>
      </x:c>
      <x:c r="G42" s="70" t="str">
        <x:f>IF(OR(B42="",C42="",D42=""),"",SUMIFS('14_Materials_Log'!$I:$I,'14_Materials_Log'!$B:$B,B42,'14_Materials_Log'!$C:$C,C42,'14_Materials_Log'!$D:$D,D42,'14_Materials_Log'!$J:$J,"Yes"))</x:f>
      </x:c>
      <x:c r="H42" s="70" t="str">
        <x:f>IF(OR(B42="",C42="",D42=""),"",SUMIFS('13_Labor_Time'!$L:$L,'13_Labor_Time'!$B:$B,B42,'13_Labor_Time'!$C:$C,C42,'13_Labor_Time'!$D:$D,D42))</x:f>
      </x:c>
      <x:c r="I42" s="70" t="str">
        <x:f>IF(OR(B42="",C42="",D42=""),"",SUMIFS('15_Equipment_Log'!$M:$M,'15_Equipment_Log'!$B:$B,B42,'15_Equipment_Log'!$C:$C,C42,'15_Equipment_Log'!$D:$D,D42))</x:f>
      </x:c>
      <x:c r="J42" s="15"/>
      <x:c r="K42" s="15"/>
      <x:c r="L42" s="15"/>
      <x:c r="M42" s="15"/>
      <x:c r="N42" s="70" t="str">
        <x:f>IF(COUNTA(B42:E42,J42:M42)=0,"",F42+G42-H42-I42)</x:f>
      </x:c>
      <x:c r="O42" s="15" t="str">
        <x:f>IF(COUNTA(B42:E42,J42:M42)=0,"",TEXTJOIN("; ",TRUE,IF(B42="","Missing work date",""),IF(C42="","Missing project",""),IF(D42="","Missing job",""),IF(J42&lt;&gt;"Yes","Backup incomplete",""),IF(K42&lt;&gt;"Yes","Redline incomplete",""),IF(L42&lt;&gt;"Yes","Customer not approved",""),IF(M42&lt;&gt;"Ready","Invoice not ready","")))</x:f>
      </x:c>
    </x:row>
    <x:row r="43" ht="20" customHeight="1">
      <x:c r="A43" s="15"/>
      <x:c r="B43" s="28"/>
      <x:c r="C43" s="15"/>
      <x:c r="D43" s="15"/>
      <x:c r="E43" s="15"/>
      <x:c r="F43" s="70" t="str">
        <x:f>IF(OR(B43="",C43="",D43=""),"",SUMIFS('12_Production_Log'!$M:$M,'12_Production_Log'!$B:$B,B43,'12_Production_Log'!$C:$C,C43,'12_Production_Log'!$D:$D,D43))</x:f>
      </x:c>
      <x:c r="G43" s="70" t="str">
        <x:f>IF(OR(B43="",C43="",D43=""),"",SUMIFS('14_Materials_Log'!$I:$I,'14_Materials_Log'!$B:$B,B43,'14_Materials_Log'!$C:$C,C43,'14_Materials_Log'!$D:$D,D43,'14_Materials_Log'!$J:$J,"Yes"))</x:f>
      </x:c>
      <x:c r="H43" s="70" t="str">
        <x:f>IF(OR(B43="",C43="",D43=""),"",SUMIFS('13_Labor_Time'!$L:$L,'13_Labor_Time'!$B:$B,B43,'13_Labor_Time'!$C:$C,C43,'13_Labor_Time'!$D:$D,D43))</x:f>
      </x:c>
      <x:c r="I43" s="70" t="str">
        <x:f>IF(OR(B43="",C43="",D43=""),"",SUMIFS('15_Equipment_Log'!$M:$M,'15_Equipment_Log'!$B:$B,B43,'15_Equipment_Log'!$C:$C,C43,'15_Equipment_Log'!$D:$D,D43))</x:f>
      </x:c>
      <x:c r="J43" s="15"/>
      <x:c r="K43" s="15"/>
      <x:c r="L43" s="15"/>
      <x:c r="M43" s="15"/>
      <x:c r="N43" s="70" t="str">
        <x:f>IF(COUNTA(B43:E43,J43:M43)=0,"",F43+G43-H43-I43)</x:f>
      </x:c>
      <x:c r="O43" s="15" t="str">
        <x:f>IF(COUNTA(B43:E43,J43:M43)=0,"",TEXTJOIN("; ",TRUE,IF(B43="","Missing work date",""),IF(C43="","Missing project",""),IF(D43="","Missing job",""),IF(J43&lt;&gt;"Yes","Backup incomplete",""),IF(K43&lt;&gt;"Yes","Redline incomplete",""),IF(L43&lt;&gt;"Yes","Customer not approved",""),IF(M43&lt;&gt;"Ready","Invoice not ready","")))</x:f>
      </x:c>
    </x:row>
    <x:row r="44" ht="20" customHeight="1">
      <x:c r="A44" s="15"/>
      <x:c r="B44" s="28"/>
      <x:c r="C44" s="15"/>
      <x:c r="D44" s="15"/>
      <x:c r="E44" s="15"/>
      <x:c r="F44" s="70" t="str">
        <x:f>IF(OR(B44="",C44="",D44=""),"",SUMIFS('12_Production_Log'!$M:$M,'12_Production_Log'!$B:$B,B44,'12_Production_Log'!$C:$C,C44,'12_Production_Log'!$D:$D,D44))</x:f>
      </x:c>
      <x:c r="G44" s="70" t="str">
        <x:f>IF(OR(B44="",C44="",D44=""),"",SUMIFS('14_Materials_Log'!$I:$I,'14_Materials_Log'!$B:$B,B44,'14_Materials_Log'!$C:$C,C44,'14_Materials_Log'!$D:$D,D44,'14_Materials_Log'!$J:$J,"Yes"))</x:f>
      </x:c>
      <x:c r="H44" s="70" t="str">
        <x:f>IF(OR(B44="",C44="",D44=""),"",SUMIFS('13_Labor_Time'!$L:$L,'13_Labor_Time'!$B:$B,B44,'13_Labor_Time'!$C:$C,C44,'13_Labor_Time'!$D:$D,D44))</x:f>
      </x:c>
      <x:c r="I44" s="70" t="str">
        <x:f>IF(OR(B44="",C44="",D44=""),"",SUMIFS('15_Equipment_Log'!$M:$M,'15_Equipment_Log'!$B:$B,B44,'15_Equipment_Log'!$C:$C,C44,'15_Equipment_Log'!$D:$D,D44))</x:f>
      </x:c>
      <x:c r="J44" s="15"/>
      <x:c r="K44" s="15"/>
      <x:c r="L44" s="15"/>
      <x:c r="M44" s="15"/>
      <x:c r="N44" s="70" t="str">
        <x:f>IF(COUNTA(B44:E44,J44:M44)=0,"",F44+G44-H44-I44)</x:f>
      </x:c>
      <x:c r="O44" s="15" t="str">
        <x:f>IF(COUNTA(B44:E44,J44:M44)=0,"",TEXTJOIN("; ",TRUE,IF(B44="","Missing work date",""),IF(C44="","Missing project",""),IF(D44="","Missing job",""),IF(J44&lt;&gt;"Yes","Backup incomplete",""),IF(K44&lt;&gt;"Yes","Redline incomplete",""),IF(L44&lt;&gt;"Yes","Customer not approved",""),IF(M44&lt;&gt;"Ready","Invoice not ready","")))</x:f>
      </x:c>
    </x:row>
    <x:row r="45" ht="20" customHeight="1">
      <x:c r="A45" s="15"/>
      <x:c r="B45" s="28"/>
      <x:c r="C45" s="15"/>
      <x:c r="D45" s="15"/>
      <x:c r="E45" s="15"/>
      <x:c r="F45" s="70" t="str">
        <x:f>IF(OR(B45="",C45="",D45=""),"",SUMIFS('12_Production_Log'!$M:$M,'12_Production_Log'!$B:$B,B45,'12_Production_Log'!$C:$C,C45,'12_Production_Log'!$D:$D,D45))</x:f>
      </x:c>
      <x:c r="G45" s="70" t="str">
        <x:f>IF(OR(B45="",C45="",D45=""),"",SUMIFS('14_Materials_Log'!$I:$I,'14_Materials_Log'!$B:$B,B45,'14_Materials_Log'!$C:$C,C45,'14_Materials_Log'!$D:$D,D45,'14_Materials_Log'!$J:$J,"Yes"))</x:f>
      </x:c>
      <x:c r="H45" s="70" t="str">
        <x:f>IF(OR(B45="",C45="",D45=""),"",SUMIFS('13_Labor_Time'!$L:$L,'13_Labor_Time'!$B:$B,B45,'13_Labor_Time'!$C:$C,C45,'13_Labor_Time'!$D:$D,D45))</x:f>
      </x:c>
      <x:c r="I45" s="70" t="str">
        <x:f>IF(OR(B45="",C45="",D45=""),"",SUMIFS('15_Equipment_Log'!$M:$M,'15_Equipment_Log'!$B:$B,B45,'15_Equipment_Log'!$C:$C,C45,'15_Equipment_Log'!$D:$D,D45))</x:f>
      </x:c>
      <x:c r="J45" s="15"/>
      <x:c r="K45" s="15"/>
      <x:c r="L45" s="15"/>
      <x:c r="M45" s="15"/>
      <x:c r="N45" s="70" t="str">
        <x:f>IF(COUNTA(B45:E45,J45:M45)=0,"",F45+G45-H45-I45)</x:f>
      </x:c>
      <x:c r="O45" s="15" t="str">
        <x:f>IF(COUNTA(B45:E45,J45:M45)=0,"",TEXTJOIN("; ",TRUE,IF(B45="","Missing work date",""),IF(C45="","Missing project",""),IF(D45="","Missing job",""),IF(J45&lt;&gt;"Yes","Backup incomplete",""),IF(K45&lt;&gt;"Yes","Redline incomplete",""),IF(L45&lt;&gt;"Yes","Customer not approved",""),IF(M45&lt;&gt;"Ready","Invoice not ready","")))</x:f>
      </x:c>
    </x:row>
    <x:row r="46" ht="20" customHeight="1">
      <x:c r="A46" s="15"/>
      <x:c r="B46" s="28"/>
      <x:c r="C46" s="15"/>
      <x:c r="D46" s="15"/>
      <x:c r="E46" s="15"/>
      <x:c r="F46" s="70" t="str">
        <x:f>IF(OR(B46="",C46="",D46=""),"",SUMIFS('12_Production_Log'!$M:$M,'12_Production_Log'!$B:$B,B46,'12_Production_Log'!$C:$C,C46,'12_Production_Log'!$D:$D,D46))</x:f>
      </x:c>
      <x:c r="G46" s="70" t="str">
        <x:f>IF(OR(B46="",C46="",D46=""),"",SUMIFS('14_Materials_Log'!$I:$I,'14_Materials_Log'!$B:$B,B46,'14_Materials_Log'!$C:$C,C46,'14_Materials_Log'!$D:$D,D46,'14_Materials_Log'!$J:$J,"Yes"))</x:f>
      </x:c>
      <x:c r="H46" s="70" t="str">
        <x:f>IF(OR(B46="",C46="",D46=""),"",SUMIFS('13_Labor_Time'!$L:$L,'13_Labor_Time'!$B:$B,B46,'13_Labor_Time'!$C:$C,C46,'13_Labor_Time'!$D:$D,D46))</x:f>
      </x:c>
      <x:c r="I46" s="70" t="str">
        <x:f>IF(OR(B46="",C46="",D46=""),"",SUMIFS('15_Equipment_Log'!$M:$M,'15_Equipment_Log'!$B:$B,B46,'15_Equipment_Log'!$C:$C,C46,'15_Equipment_Log'!$D:$D,D46))</x:f>
      </x:c>
      <x:c r="J46" s="15"/>
      <x:c r="K46" s="15"/>
      <x:c r="L46" s="15"/>
      <x:c r="M46" s="15"/>
      <x:c r="N46" s="70" t="str">
        <x:f>IF(COUNTA(B46:E46,J46:M46)=0,"",F46+G46-H46-I46)</x:f>
      </x:c>
      <x:c r="O46" s="15" t="str">
        <x:f>IF(COUNTA(B46:E46,J46:M46)=0,"",TEXTJOIN("; ",TRUE,IF(B46="","Missing work date",""),IF(C46="","Missing project",""),IF(D46="","Missing job",""),IF(J46&lt;&gt;"Yes","Backup incomplete",""),IF(K46&lt;&gt;"Yes","Redline incomplete",""),IF(L46&lt;&gt;"Yes","Customer not approved",""),IF(M46&lt;&gt;"Ready","Invoice not ready","")))</x:f>
      </x:c>
    </x:row>
    <x:row r="47" ht="20" customHeight="1">
      <x:c r="A47" s="15"/>
      <x:c r="B47" s="28"/>
      <x:c r="C47" s="15"/>
      <x:c r="D47" s="15"/>
      <x:c r="E47" s="15"/>
      <x:c r="F47" s="70" t="str">
        <x:f>IF(OR(B47="",C47="",D47=""),"",SUMIFS('12_Production_Log'!$M:$M,'12_Production_Log'!$B:$B,B47,'12_Production_Log'!$C:$C,C47,'12_Production_Log'!$D:$D,D47))</x:f>
      </x:c>
      <x:c r="G47" s="70" t="str">
        <x:f>IF(OR(B47="",C47="",D47=""),"",SUMIFS('14_Materials_Log'!$I:$I,'14_Materials_Log'!$B:$B,B47,'14_Materials_Log'!$C:$C,C47,'14_Materials_Log'!$D:$D,D47,'14_Materials_Log'!$J:$J,"Yes"))</x:f>
      </x:c>
      <x:c r="H47" s="70" t="str">
        <x:f>IF(OR(B47="",C47="",D47=""),"",SUMIFS('13_Labor_Time'!$L:$L,'13_Labor_Time'!$B:$B,B47,'13_Labor_Time'!$C:$C,C47,'13_Labor_Time'!$D:$D,D47))</x:f>
      </x:c>
      <x:c r="I47" s="70" t="str">
        <x:f>IF(OR(B47="",C47="",D47=""),"",SUMIFS('15_Equipment_Log'!$M:$M,'15_Equipment_Log'!$B:$B,B47,'15_Equipment_Log'!$C:$C,C47,'15_Equipment_Log'!$D:$D,D47))</x:f>
      </x:c>
      <x:c r="J47" s="15"/>
      <x:c r="K47" s="15"/>
      <x:c r="L47" s="15"/>
      <x:c r="M47" s="15"/>
      <x:c r="N47" s="70" t="str">
        <x:f>IF(COUNTA(B47:E47,J47:M47)=0,"",F47+G47-H47-I47)</x:f>
      </x:c>
      <x:c r="O47" s="15" t="str">
        <x:f>IF(COUNTA(B47:E47,J47:M47)=0,"",TEXTJOIN("; ",TRUE,IF(B47="","Missing work date",""),IF(C47="","Missing project",""),IF(D47="","Missing job",""),IF(J47&lt;&gt;"Yes","Backup incomplete",""),IF(K47&lt;&gt;"Yes","Redline incomplete",""),IF(L47&lt;&gt;"Yes","Customer not approved",""),IF(M47&lt;&gt;"Ready","Invoice not ready","")))</x:f>
      </x:c>
    </x:row>
    <x:row r="48" ht="20" customHeight="1">
      <x:c r="A48" s="15"/>
      <x:c r="B48" s="28"/>
      <x:c r="C48" s="15"/>
      <x:c r="D48" s="15"/>
      <x:c r="E48" s="15"/>
      <x:c r="F48" s="70" t="str">
        <x:f>IF(OR(B48="",C48="",D48=""),"",SUMIFS('12_Production_Log'!$M:$M,'12_Production_Log'!$B:$B,B48,'12_Production_Log'!$C:$C,C48,'12_Production_Log'!$D:$D,D48))</x:f>
      </x:c>
      <x:c r="G48" s="70" t="str">
        <x:f>IF(OR(B48="",C48="",D48=""),"",SUMIFS('14_Materials_Log'!$I:$I,'14_Materials_Log'!$B:$B,B48,'14_Materials_Log'!$C:$C,C48,'14_Materials_Log'!$D:$D,D48,'14_Materials_Log'!$J:$J,"Yes"))</x:f>
      </x:c>
      <x:c r="H48" s="70" t="str">
        <x:f>IF(OR(B48="",C48="",D48=""),"",SUMIFS('13_Labor_Time'!$L:$L,'13_Labor_Time'!$B:$B,B48,'13_Labor_Time'!$C:$C,C48,'13_Labor_Time'!$D:$D,D48))</x:f>
      </x:c>
      <x:c r="I48" s="70" t="str">
        <x:f>IF(OR(B48="",C48="",D48=""),"",SUMIFS('15_Equipment_Log'!$M:$M,'15_Equipment_Log'!$B:$B,B48,'15_Equipment_Log'!$C:$C,C48,'15_Equipment_Log'!$D:$D,D48))</x:f>
      </x:c>
      <x:c r="J48" s="15"/>
      <x:c r="K48" s="15"/>
      <x:c r="L48" s="15"/>
      <x:c r="M48" s="15"/>
      <x:c r="N48" s="70" t="str">
        <x:f>IF(COUNTA(B48:E48,J48:M48)=0,"",F48+G48-H48-I48)</x:f>
      </x:c>
      <x:c r="O48" s="15" t="str">
        <x:f>IF(COUNTA(B48:E48,J48:M48)=0,"",TEXTJOIN("; ",TRUE,IF(B48="","Missing work date",""),IF(C48="","Missing project",""),IF(D48="","Missing job",""),IF(J48&lt;&gt;"Yes","Backup incomplete",""),IF(K48&lt;&gt;"Yes","Redline incomplete",""),IF(L48&lt;&gt;"Yes","Customer not approved",""),IF(M48&lt;&gt;"Ready","Invoice not ready","")))</x:f>
      </x:c>
    </x:row>
    <x:row r="49" ht="20" customHeight="1">
      <x:c r="A49" s="15"/>
      <x:c r="B49" s="28"/>
      <x:c r="C49" s="15"/>
      <x:c r="D49" s="15"/>
      <x:c r="E49" s="15"/>
      <x:c r="F49" s="70" t="str">
        <x:f>IF(OR(B49="",C49="",D49=""),"",SUMIFS('12_Production_Log'!$M:$M,'12_Production_Log'!$B:$B,B49,'12_Production_Log'!$C:$C,C49,'12_Production_Log'!$D:$D,D49))</x:f>
      </x:c>
      <x:c r="G49" s="70" t="str">
        <x:f>IF(OR(B49="",C49="",D49=""),"",SUMIFS('14_Materials_Log'!$I:$I,'14_Materials_Log'!$B:$B,B49,'14_Materials_Log'!$C:$C,C49,'14_Materials_Log'!$D:$D,D49,'14_Materials_Log'!$J:$J,"Yes"))</x:f>
      </x:c>
      <x:c r="H49" s="70" t="str">
        <x:f>IF(OR(B49="",C49="",D49=""),"",SUMIFS('13_Labor_Time'!$L:$L,'13_Labor_Time'!$B:$B,B49,'13_Labor_Time'!$C:$C,C49,'13_Labor_Time'!$D:$D,D49))</x:f>
      </x:c>
      <x:c r="I49" s="70" t="str">
        <x:f>IF(OR(B49="",C49="",D49=""),"",SUMIFS('15_Equipment_Log'!$M:$M,'15_Equipment_Log'!$B:$B,B49,'15_Equipment_Log'!$C:$C,C49,'15_Equipment_Log'!$D:$D,D49))</x:f>
      </x:c>
      <x:c r="J49" s="15"/>
      <x:c r="K49" s="15"/>
      <x:c r="L49" s="15"/>
      <x:c r="M49" s="15"/>
      <x:c r="N49" s="70" t="str">
        <x:f>IF(COUNTA(B49:E49,J49:M49)=0,"",F49+G49-H49-I49)</x:f>
      </x:c>
      <x:c r="O49" s="15" t="str">
        <x:f>IF(COUNTA(B49:E49,J49:M49)=0,"",TEXTJOIN("; ",TRUE,IF(B49="","Missing work date",""),IF(C49="","Missing project",""),IF(D49="","Missing job",""),IF(J49&lt;&gt;"Yes","Backup incomplete",""),IF(K49&lt;&gt;"Yes","Redline incomplete",""),IF(L49&lt;&gt;"Yes","Customer not approved",""),IF(M49&lt;&gt;"Ready","Invoice not ready","")))</x:f>
      </x:c>
    </x:row>
    <x:row r="50" ht="20" customHeight="1">
      <x:c r="A50" s="15"/>
      <x:c r="B50" s="28"/>
      <x:c r="C50" s="15"/>
      <x:c r="D50" s="15"/>
      <x:c r="E50" s="15"/>
      <x:c r="F50" s="70" t="str">
        <x:f>IF(OR(B50="",C50="",D50=""),"",SUMIFS('12_Production_Log'!$M:$M,'12_Production_Log'!$B:$B,B50,'12_Production_Log'!$C:$C,C50,'12_Production_Log'!$D:$D,D50))</x:f>
      </x:c>
      <x:c r="G50" s="70" t="str">
        <x:f>IF(OR(B50="",C50="",D50=""),"",SUMIFS('14_Materials_Log'!$I:$I,'14_Materials_Log'!$B:$B,B50,'14_Materials_Log'!$C:$C,C50,'14_Materials_Log'!$D:$D,D50,'14_Materials_Log'!$J:$J,"Yes"))</x:f>
      </x:c>
      <x:c r="H50" s="70" t="str">
        <x:f>IF(OR(B50="",C50="",D50=""),"",SUMIFS('13_Labor_Time'!$L:$L,'13_Labor_Time'!$B:$B,B50,'13_Labor_Time'!$C:$C,C50,'13_Labor_Time'!$D:$D,D50))</x:f>
      </x:c>
      <x:c r="I50" s="70" t="str">
        <x:f>IF(OR(B50="",C50="",D50=""),"",SUMIFS('15_Equipment_Log'!$M:$M,'15_Equipment_Log'!$B:$B,B50,'15_Equipment_Log'!$C:$C,C50,'15_Equipment_Log'!$D:$D,D50))</x:f>
      </x:c>
      <x:c r="J50" s="15"/>
      <x:c r="K50" s="15"/>
      <x:c r="L50" s="15"/>
      <x:c r="M50" s="15"/>
      <x:c r="N50" s="70" t="str">
        <x:f>IF(COUNTA(B50:E50,J50:M50)=0,"",F50+G50-H50-I50)</x:f>
      </x:c>
      <x:c r="O50" s="15" t="str">
        <x:f>IF(COUNTA(B50:E50,J50:M50)=0,"",TEXTJOIN("; ",TRUE,IF(B50="","Missing work date",""),IF(C50="","Missing project",""),IF(D50="","Missing job",""),IF(J50&lt;&gt;"Yes","Backup incomplete",""),IF(K50&lt;&gt;"Yes","Redline incomplete",""),IF(L50&lt;&gt;"Yes","Customer not approved",""),IF(M50&lt;&gt;"Ready","Invoice not ready","")))</x:f>
      </x:c>
    </x:row>
    <x:row r="51" ht="20" customHeight="1">
      <x:c r="A51" s="15"/>
      <x:c r="B51" s="28"/>
      <x:c r="C51" s="15"/>
      <x:c r="D51" s="15"/>
      <x:c r="E51" s="15"/>
      <x:c r="F51" s="70" t="str">
        <x:f>IF(OR(B51="",C51="",D51=""),"",SUMIFS('12_Production_Log'!$M:$M,'12_Production_Log'!$B:$B,B51,'12_Production_Log'!$C:$C,C51,'12_Production_Log'!$D:$D,D51))</x:f>
      </x:c>
      <x:c r="G51" s="70" t="str">
        <x:f>IF(OR(B51="",C51="",D51=""),"",SUMIFS('14_Materials_Log'!$I:$I,'14_Materials_Log'!$B:$B,B51,'14_Materials_Log'!$C:$C,C51,'14_Materials_Log'!$D:$D,D51,'14_Materials_Log'!$J:$J,"Yes"))</x:f>
      </x:c>
      <x:c r="H51" s="70" t="str">
        <x:f>IF(OR(B51="",C51="",D51=""),"",SUMIFS('13_Labor_Time'!$L:$L,'13_Labor_Time'!$B:$B,B51,'13_Labor_Time'!$C:$C,C51,'13_Labor_Time'!$D:$D,D51))</x:f>
      </x:c>
      <x:c r="I51" s="70" t="str">
        <x:f>IF(OR(B51="",C51="",D51=""),"",SUMIFS('15_Equipment_Log'!$M:$M,'15_Equipment_Log'!$B:$B,B51,'15_Equipment_Log'!$C:$C,C51,'15_Equipment_Log'!$D:$D,D51))</x:f>
      </x:c>
      <x:c r="J51" s="15"/>
      <x:c r="K51" s="15"/>
      <x:c r="L51" s="15"/>
      <x:c r="M51" s="15"/>
      <x:c r="N51" s="70" t="str">
        <x:f>IF(COUNTA(B51:E51,J51:M51)=0,"",F51+G51-H51-I51)</x:f>
      </x:c>
      <x:c r="O51" s="15" t="str">
        <x:f>IF(COUNTA(B51:E51,J51:M51)=0,"",TEXTJOIN("; ",TRUE,IF(B51="","Missing work date",""),IF(C51="","Missing project",""),IF(D51="","Missing job",""),IF(J51&lt;&gt;"Yes","Backup incomplete",""),IF(K51&lt;&gt;"Yes","Redline incomplete",""),IF(L51&lt;&gt;"Yes","Customer not approved",""),IF(M51&lt;&gt;"Ready","Invoice not ready","")))</x:f>
      </x:c>
    </x:row>
    <x:row r="52" ht="20" customHeight="1">
      <x:c r="A52" s="15"/>
      <x:c r="B52" s="28"/>
      <x:c r="C52" s="15"/>
      <x:c r="D52" s="15"/>
      <x:c r="E52" s="15"/>
      <x:c r="F52" s="70" t="str">
        <x:f>IF(OR(B52="",C52="",D52=""),"",SUMIFS('12_Production_Log'!$M:$M,'12_Production_Log'!$B:$B,B52,'12_Production_Log'!$C:$C,C52,'12_Production_Log'!$D:$D,D52))</x:f>
      </x:c>
      <x:c r="G52" s="70" t="str">
        <x:f>IF(OR(B52="",C52="",D52=""),"",SUMIFS('14_Materials_Log'!$I:$I,'14_Materials_Log'!$B:$B,B52,'14_Materials_Log'!$C:$C,C52,'14_Materials_Log'!$D:$D,D52,'14_Materials_Log'!$J:$J,"Yes"))</x:f>
      </x:c>
      <x:c r="H52" s="70" t="str">
        <x:f>IF(OR(B52="",C52="",D52=""),"",SUMIFS('13_Labor_Time'!$L:$L,'13_Labor_Time'!$B:$B,B52,'13_Labor_Time'!$C:$C,C52,'13_Labor_Time'!$D:$D,D52))</x:f>
      </x:c>
      <x:c r="I52" s="70" t="str">
        <x:f>IF(OR(B52="",C52="",D52=""),"",SUMIFS('15_Equipment_Log'!$M:$M,'15_Equipment_Log'!$B:$B,B52,'15_Equipment_Log'!$C:$C,C52,'15_Equipment_Log'!$D:$D,D52))</x:f>
      </x:c>
      <x:c r="J52" s="15"/>
      <x:c r="K52" s="15"/>
      <x:c r="L52" s="15"/>
      <x:c r="M52" s="15"/>
      <x:c r="N52" s="70" t="str">
        <x:f>IF(COUNTA(B52:E52,J52:M52)=0,"",F52+G52-H52-I52)</x:f>
      </x:c>
      <x:c r="O52" s="15" t="str">
        <x:f>IF(COUNTA(B52:E52,J52:M52)=0,"",TEXTJOIN("; ",TRUE,IF(B52="","Missing work date",""),IF(C52="","Missing project",""),IF(D52="","Missing job",""),IF(J52&lt;&gt;"Yes","Backup incomplete",""),IF(K52&lt;&gt;"Yes","Redline incomplete",""),IF(L52&lt;&gt;"Yes","Customer not approved",""),IF(M52&lt;&gt;"Ready","Invoice not ready","")))</x:f>
      </x:c>
    </x:row>
    <x:row r="53" ht="20" customHeight="1">
      <x:c r="A53" s="15"/>
      <x:c r="B53" s="28"/>
      <x:c r="C53" s="15"/>
      <x:c r="D53" s="15"/>
      <x:c r="E53" s="15"/>
      <x:c r="F53" s="70" t="str">
        <x:f>IF(OR(B53="",C53="",D53=""),"",SUMIFS('12_Production_Log'!$M:$M,'12_Production_Log'!$B:$B,B53,'12_Production_Log'!$C:$C,C53,'12_Production_Log'!$D:$D,D53))</x:f>
      </x:c>
      <x:c r="G53" s="70" t="str">
        <x:f>IF(OR(B53="",C53="",D53=""),"",SUMIFS('14_Materials_Log'!$I:$I,'14_Materials_Log'!$B:$B,B53,'14_Materials_Log'!$C:$C,C53,'14_Materials_Log'!$D:$D,D53,'14_Materials_Log'!$J:$J,"Yes"))</x:f>
      </x:c>
      <x:c r="H53" s="70" t="str">
        <x:f>IF(OR(B53="",C53="",D53=""),"",SUMIFS('13_Labor_Time'!$L:$L,'13_Labor_Time'!$B:$B,B53,'13_Labor_Time'!$C:$C,C53,'13_Labor_Time'!$D:$D,D53))</x:f>
      </x:c>
      <x:c r="I53" s="70" t="str">
        <x:f>IF(OR(B53="",C53="",D53=""),"",SUMIFS('15_Equipment_Log'!$M:$M,'15_Equipment_Log'!$B:$B,B53,'15_Equipment_Log'!$C:$C,C53,'15_Equipment_Log'!$D:$D,D53))</x:f>
      </x:c>
      <x:c r="J53" s="15"/>
      <x:c r="K53" s="15"/>
      <x:c r="L53" s="15"/>
      <x:c r="M53" s="15"/>
      <x:c r="N53" s="70" t="str">
        <x:f>IF(COUNTA(B53:E53,J53:M53)=0,"",F53+G53-H53-I53)</x:f>
      </x:c>
      <x:c r="O53" s="15" t="str">
        <x:f>IF(COUNTA(B53:E53,J53:M53)=0,"",TEXTJOIN("; ",TRUE,IF(B53="","Missing work date",""),IF(C53="","Missing project",""),IF(D53="","Missing job",""),IF(J53&lt;&gt;"Yes","Backup incomplete",""),IF(K53&lt;&gt;"Yes","Redline incomplete",""),IF(L53&lt;&gt;"Yes","Customer not approved",""),IF(M53&lt;&gt;"Ready","Invoice not ready","")))</x:f>
      </x:c>
    </x:row>
    <x:row r="54" ht="20" customHeight="1">
      <x:c r="A54" s="15"/>
      <x:c r="B54" s="28"/>
      <x:c r="C54" s="15"/>
      <x:c r="D54" s="15"/>
      <x:c r="E54" s="15"/>
      <x:c r="F54" s="70" t="str">
        <x:f>IF(OR(B54="",C54="",D54=""),"",SUMIFS('12_Production_Log'!$M:$M,'12_Production_Log'!$B:$B,B54,'12_Production_Log'!$C:$C,C54,'12_Production_Log'!$D:$D,D54))</x:f>
      </x:c>
      <x:c r="G54" s="70" t="str">
        <x:f>IF(OR(B54="",C54="",D54=""),"",SUMIFS('14_Materials_Log'!$I:$I,'14_Materials_Log'!$B:$B,B54,'14_Materials_Log'!$C:$C,C54,'14_Materials_Log'!$D:$D,D54,'14_Materials_Log'!$J:$J,"Yes"))</x:f>
      </x:c>
      <x:c r="H54" s="70" t="str">
        <x:f>IF(OR(B54="",C54="",D54=""),"",SUMIFS('13_Labor_Time'!$L:$L,'13_Labor_Time'!$B:$B,B54,'13_Labor_Time'!$C:$C,C54,'13_Labor_Time'!$D:$D,D54))</x:f>
      </x:c>
      <x:c r="I54" s="70" t="str">
        <x:f>IF(OR(B54="",C54="",D54=""),"",SUMIFS('15_Equipment_Log'!$M:$M,'15_Equipment_Log'!$B:$B,B54,'15_Equipment_Log'!$C:$C,C54,'15_Equipment_Log'!$D:$D,D54))</x:f>
      </x:c>
      <x:c r="J54" s="15"/>
      <x:c r="K54" s="15"/>
      <x:c r="L54" s="15"/>
      <x:c r="M54" s="15"/>
      <x:c r="N54" s="70" t="str">
        <x:f>IF(COUNTA(B54:E54,J54:M54)=0,"",F54+G54-H54-I54)</x:f>
      </x:c>
      <x:c r="O54" s="15" t="str">
        <x:f>IF(COUNTA(B54:E54,J54:M54)=0,"",TEXTJOIN("; ",TRUE,IF(B54="","Missing work date",""),IF(C54="","Missing project",""),IF(D54="","Missing job",""),IF(J54&lt;&gt;"Yes","Backup incomplete",""),IF(K54&lt;&gt;"Yes","Redline incomplete",""),IF(L54&lt;&gt;"Yes","Customer not approved",""),IF(M54&lt;&gt;"Ready","Invoice not ready","")))</x:f>
      </x:c>
    </x:row>
    <x:row r="55" ht="20" customHeight="1">
      <x:c r="A55" s="15"/>
      <x:c r="B55" s="28"/>
      <x:c r="C55" s="15"/>
      <x:c r="D55" s="15"/>
      <x:c r="E55" s="15"/>
      <x:c r="F55" s="70" t="str">
        <x:f>IF(OR(B55="",C55="",D55=""),"",SUMIFS('12_Production_Log'!$M:$M,'12_Production_Log'!$B:$B,B55,'12_Production_Log'!$C:$C,C55,'12_Production_Log'!$D:$D,D55))</x:f>
      </x:c>
      <x:c r="G55" s="70" t="str">
        <x:f>IF(OR(B55="",C55="",D55=""),"",SUMIFS('14_Materials_Log'!$I:$I,'14_Materials_Log'!$B:$B,B55,'14_Materials_Log'!$C:$C,C55,'14_Materials_Log'!$D:$D,D55,'14_Materials_Log'!$J:$J,"Yes"))</x:f>
      </x:c>
      <x:c r="H55" s="70" t="str">
        <x:f>IF(OR(B55="",C55="",D55=""),"",SUMIFS('13_Labor_Time'!$L:$L,'13_Labor_Time'!$B:$B,B55,'13_Labor_Time'!$C:$C,C55,'13_Labor_Time'!$D:$D,D55))</x:f>
      </x:c>
      <x:c r="I55" s="70" t="str">
        <x:f>IF(OR(B55="",C55="",D55=""),"",SUMIFS('15_Equipment_Log'!$M:$M,'15_Equipment_Log'!$B:$B,B55,'15_Equipment_Log'!$C:$C,C55,'15_Equipment_Log'!$D:$D,D55))</x:f>
      </x:c>
      <x:c r="J55" s="15"/>
      <x:c r="K55" s="15"/>
      <x:c r="L55" s="15"/>
      <x:c r="M55" s="15"/>
      <x:c r="N55" s="70" t="str">
        <x:f>IF(COUNTA(B55:E55,J55:M55)=0,"",F55+G55-H55-I55)</x:f>
      </x:c>
      <x:c r="O55" s="15" t="str">
        <x:f>IF(COUNTA(B55:E55,J55:M55)=0,"",TEXTJOIN("; ",TRUE,IF(B55="","Missing work date",""),IF(C55="","Missing project",""),IF(D55="","Missing job",""),IF(J55&lt;&gt;"Yes","Backup incomplete",""),IF(K55&lt;&gt;"Yes","Redline incomplete",""),IF(L55&lt;&gt;"Yes","Customer not approved",""),IF(M55&lt;&gt;"Ready","Invoice not ready","")))</x:f>
      </x:c>
    </x:row>
    <x:row r="56" ht="20" customHeight="1">
      <x:c r="A56" s="15"/>
      <x:c r="B56" s="28"/>
      <x:c r="C56" s="15"/>
      <x:c r="D56" s="15"/>
      <x:c r="E56" s="15"/>
      <x:c r="F56" s="70" t="str">
        <x:f>IF(OR(B56="",C56="",D56=""),"",SUMIFS('12_Production_Log'!$M:$M,'12_Production_Log'!$B:$B,B56,'12_Production_Log'!$C:$C,C56,'12_Production_Log'!$D:$D,D56))</x:f>
      </x:c>
      <x:c r="G56" s="70" t="str">
        <x:f>IF(OR(B56="",C56="",D56=""),"",SUMIFS('14_Materials_Log'!$I:$I,'14_Materials_Log'!$B:$B,B56,'14_Materials_Log'!$C:$C,C56,'14_Materials_Log'!$D:$D,D56,'14_Materials_Log'!$J:$J,"Yes"))</x:f>
      </x:c>
      <x:c r="H56" s="70" t="str">
        <x:f>IF(OR(B56="",C56="",D56=""),"",SUMIFS('13_Labor_Time'!$L:$L,'13_Labor_Time'!$B:$B,B56,'13_Labor_Time'!$C:$C,C56,'13_Labor_Time'!$D:$D,D56))</x:f>
      </x:c>
      <x:c r="I56" s="70" t="str">
        <x:f>IF(OR(B56="",C56="",D56=""),"",SUMIFS('15_Equipment_Log'!$M:$M,'15_Equipment_Log'!$B:$B,B56,'15_Equipment_Log'!$C:$C,C56,'15_Equipment_Log'!$D:$D,D56))</x:f>
      </x:c>
      <x:c r="J56" s="15"/>
      <x:c r="K56" s="15"/>
      <x:c r="L56" s="15"/>
      <x:c r="M56" s="15"/>
      <x:c r="N56" s="70" t="str">
        <x:f>IF(COUNTA(B56:E56,J56:M56)=0,"",F56+G56-H56-I56)</x:f>
      </x:c>
      <x:c r="O56" s="15" t="str">
        <x:f>IF(COUNTA(B56:E56,J56:M56)=0,"",TEXTJOIN("; ",TRUE,IF(B56="","Missing work date",""),IF(C56="","Missing project",""),IF(D56="","Missing job",""),IF(J56&lt;&gt;"Yes","Backup incomplete",""),IF(K56&lt;&gt;"Yes","Redline incomplete",""),IF(L56&lt;&gt;"Yes","Customer not approved",""),IF(M56&lt;&gt;"Ready","Invoice not ready","")))</x:f>
      </x:c>
    </x:row>
    <x:row r="57" ht="20" customHeight="1">
      <x:c r="A57" s="15"/>
      <x:c r="B57" s="28"/>
      <x:c r="C57" s="15"/>
      <x:c r="D57" s="15"/>
      <x:c r="E57" s="15"/>
      <x:c r="F57" s="70" t="str">
        <x:f>IF(OR(B57="",C57="",D57=""),"",SUMIFS('12_Production_Log'!$M:$M,'12_Production_Log'!$B:$B,B57,'12_Production_Log'!$C:$C,C57,'12_Production_Log'!$D:$D,D57))</x:f>
      </x:c>
      <x:c r="G57" s="70" t="str">
        <x:f>IF(OR(B57="",C57="",D57=""),"",SUMIFS('14_Materials_Log'!$I:$I,'14_Materials_Log'!$B:$B,B57,'14_Materials_Log'!$C:$C,C57,'14_Materials_Log'!$D:$D,D57,'14_Materials_Log'!$J:$J,"Yes"))</x:f>
      </x:c>
      <x:c r="H57" s="70" t="str">
        <x:f>IF(OR(B57="",C57="",D57=""),"",SUMIFS('13_Labor_Time'!$L:$L,'13_Labor_Time'!$B:$B,B57,'13_Labor_Time'!$C:$C,C57,'13_Labor_Time'!$D:$D,D57))</x:f>
      </x:c>
      <x:c r="I57" s="70" t="str">
        <x:f>IF(OR(B57="",C57="",D57=""),"",SUMIFS('15_Equipment_Log'!$M:$M,'15_Equipment_Log'!$B:$B,B57,'15_Equipment_Log'!$C:$C,C57,'15_Equipment_Log'!$D:$D,D57))</x:f>
      </x:c>
      <x:c r="J57" s="15"/>
      <x:c r="K57" s="15"/>
      <x:c r="L57" s="15"/>
      <x:c r="M57" s="15"/>
      <x:c r="N57" s="70" t="str">
        <x:f>IF(COUNTA(B57:E57,J57:M57)=0,"",F57+G57-H57-I57)</x:f>
      </x:c>
      <x:c r="O57" s="15" t="str">
        <x:f>IF(COUNTA(B57:E57,J57:M57)=0,"",TEXTJOIN("; ",TRUE,IF(B57="","Missing work date",""),IF(C57="","Missing project",""),IF(D57="","Missing job",""),IF(J57&lt;&gt;"Yes","Backup incomplete",""),IF(K57&lt;&gt;"Yes","Redline incomplete",""),IF(L57&lt;&gt;"Yes","Customer not approved",""),IF(M57&lt;&gt;"Ready","Invoice not ready","")))</x:f>
      </x:c>
    </x:row>
    <x:row r="58" ht="20" customHeight="1">
      <x:c r="A58" s="15"/>
      <x:c r="B58" s="28"/>
      <x:c r="C58" s="15"/>
      <x:c r="D58" s="15"/>
      <x:c r="E58" s="15"/>
      <x:c r="F58" s="70" t="str">
        <x:f>IF(OR(B58="",C58="",D58=""),"",SUMIFS('12_Production_Log'!$M:$M,'12_Production_Log'!$B:$B,B58,'12_Production_Log'!$C:$C,C58,'12_Production_Log'!$D:$D,D58))</x:f>
      </x:c>
      <x:c r="G58" s="70" t="str">
        <x:f>IF(OR(B58="",C58="",D58=""),"",SUMIFS('14_Materials_Log'!$I:$I,'14_Materials_Log'!$B:$B,B58,'14_Materials_Log'!$C:$C,C58,'14_Materials_Log'!$D:$D,D58,'14_Materials_Log'!$J:$J,"Yes"))</x:f>
      </x:c>
      <x:c r="H58" s="70" t="str">
        <x:f>IF(OR(B58="",C58="",D58=""),"",SUMIFS('13_Labor_Time'!$L:$L,'13_Labor_Time'!$B:$B,B58,'13_Labor_Time'!$C:$C,C58,'13_Labor_Time'!$D:$D,D58))</x:f>
      </x:c>
      <x:c r="I58" s="70" t="str">
        <x:f>IF(OR(B58="",C58="",D58=""),"",SUMIFS('15_Equipment_Log'!$M:$M,'15_Equipment_Log'!$B:$B,B58,'15_Equipment_Log'!$C:$C,C58,'15_Equipment_Log'!$D:$D,D58))</x:f>
      </x:c>
      <x:c r="J58" s="15"/>
      <x:c r="K58" s="15"/>
      <x:c r="L58" s="15"/>
      <x:c r="M58" s="15"/>
      <x:c r="N58" s="70" t="str">
        <x:f>IF(COUNTA(B58:E58,J58:M58)=0,"",F58+G58-H58-I58)</x:f>
      </x:c>
      <x:c r="O58" s="15" t="str">
        <x:f>IF(COUNTA(B58:E58,J58:M58)=0,"",TEXTJOIN("; ",TRUE,IF(B58="","Missing work date",""),IF(C58="","Missing project",""),IF(D58="","Missing job",""),IF(J58&lt;&gt;"Yes","Backup incomplete",""),IF(K58&lt;&gt;"Yes","Redline incomplete",""),IF(L58&lt;&gt;"Yes","Customer not approved",""),IF(M58&lt;&gt;"Ready","Invoice not ready","")))</x:f>
      </x:c>
    </x:row>
    <x:row r="59" ht="20" customHeight="1">
      <x:c r="A59" s="15"/>
      <x:c r="B59" s="28"/>
      <x:c r="C59" s="15"/>
      <x:c r="D59" s="15"/>
      <x:c r="E59" s="15"/>
      <x:c r="F59" s="70" t="str">
        <x:f>IF(OR(B59="",C59="",D59=""),"",SUMIFS('12_Production_Log'!$M:$M,'12_Production_Log'!$B:$B,B59,'12_Production_Log'!$C:$C,C59,'12_Production_Log'!$D:$D,D59))</x:f>
      </x:c>
      <x:c r="G59" s="70" t="str">
        <x:f>IF(OR(B59="",C59="",D59=""),"",SUMIFS('14_Materials_Log'!$I:$I,'14_Materials_Log'!$B:$B,B59,'14_Materials_Log'!$C:$C,C59,'14_Materials_Log'!$D:$D,D59,'14_Materials_Log'!$J:$J,"Yes"))</x:f>
      </x:c>
      <x:c r="H59" s="70" t="str">
        <x:f>IF(OR(B59="",C59="",D59=""),"",SUMIFS('13_Labor_Time'!$L:$L,'13_Labor_Time'!$B:$B,B59,'13_Labor_Time'!$C:$C,C59,'13_Labor_Time'!$D:$D,D59))</x:f>
      </x:c>
      <x:c r="I59" s="70" t="str">
        <x:f>IF(OR(B59="",C59="",D59=""),"",SUMIFS('15_Equipment_Log'!$M:$M,'15_Equipment_Log'!$B:$B,B59,'15_Equipment_Log'!$C:$C,C59,'15_Equipment_Log'!$D:$D,D59))</x:f>
      </x:c>
      <x:c r="J59" s="15"/>
      <x:c r="K59" s="15"/>
      <x:c r="L59" s="15"/>
      <x:c r="M59" s="15"/>
      <x:c r="N59" s="70" t="str">
        <x:f>IF(COUNTA(B59:E59,J59:M59)=0,"",F59+G59-H59-I59)</x:f>
      </x:c>
      <x:c r="O59" s="15" t="str">
        <x:f>IF(COUNTA(B59:E59,J59:M59)=0,"",TEXTJOIN("; ",TRUE,IF(B59="","Missing work date",""),IF(C59="","Missing project",""),IF(D59="","Missing job",""),IF(J59&lt;&gt;"Yes","Backup incomplete",""),IF(K59&lt;&gt;"Yes","Redline incomplete",""),IF(L59&lt;&gt;"Yes","Customer not approved",""),IF(M59&lt;&gt;"Ready","Invoice not ready","")))</x:f>
      </x:c>
    </x:row>
    <x:row r="60" ht="20" customHeight="1">
      <x:c r="A60" s="15"/>
      <x:c r="B60" s="28"/>
      <x:c r="C60" s="15"/>
      <x:c r="D60" s="15"/>
      <x:c r="E60" s="15"/>
      <x:c r="F60" s="70" t="str">
        <x:f>IF(OR(B60="",C60="",D60=""),"",SUMIFS('12_Production_Log'!$M:$M,'12_Production_Log'!$B:$B,B60,'12_Production_Log'!$C:$C,C60,'12_Production_Log'!$D:$D,D60))</x:f>
      </x:c>
      <x:c r="G60" s="70" t="str">
        <x:f>IF(OR(B60="",C60="",D60=""),"",SUMIFS('14_Materials_Log'!$I:$I,'14_Materials_Log'!$B:$B,B60,'14_Materials_Log'!$C:$C,C60,'14_Materials_Log'!$D:$D,D60,'14_Materials_Log'!$J:$J,"Yes"))</x:f>
      </x:c>
      <x:c r="H60" s="70" t="str">
        <x:f>IF(OR(B60="",C60="",D60=""),"",SUMIFS('13_Labor_Time'!$L:$L,'13_Labor_Time'!$B:$B,B60,'13_Labor_Time'!$C:$C,C60,'13_Labor_Time'!$D:$D,D60))</x:f>
      </x:c>
      <x:c r="I60" s="70" t="str">
        <x:f>IF(OR(B60="",C60="",D60=""),"",SUMIFS('15_Equipment_Log'!$M:$M,'15_Equipment_Log'!$B:$B,B60,'15_Equipment_Log'!$C:$C,C60,'15_Equipment_Log'!$D:$D,D60))</x:f>
      </x:c>
      <x:c r="J60" s="15"/>
      <x:c r="K60" s="15"/>
      <x:c r="L60" s="15"/>
      <x:c r="M60" s="15"/>
      <x:c r="N60" s="70" t="str">
        <x:f>IF(COUNTA(B60:E60,J60:M60)=0,"",F60+G60-H60-I60)</x:f>
      </x:c>
      <x:c r="O60" s="15" t="str">
        <x:f>IF(COUNTA(B60:E60,J60:M60)=0,"",TEXTJOIN("; ",TRUE,IF(B60="","Missing work date",""),IF(C60="","Missing project",""),IF(D60="","Missing job",""),IF(J60&lt;&gt;"Yes","Backup incomplete",""),IF(K60&lt;&gt;"Yes","Redline incomplete",""),IF(L60&lt;&gt;"Yes","Customer not approved",""),IF(M60&lt;&gt;"Ready","Invoice not ready","")))</x:f>
      </x:c>
    </x:row>
    <x:row r="61" ht="20" customHeight="1">
      <x:c r="A61" s="15"/>
      <x:c r="B61" s="28"/>
      <x:c r="C61" s="15"/>
      <x:c r="D61" s="15"/>
      <x:c r="E61" s="15"/>
      <x:c r="F61" s="70" t="str">
        <x:f>IF(OR(B61="",C61="",D61=""),"",SUMIFS('12_Production_Log'!$M:$M,'12_Production_Log'!$B:$B,B61,'12_Production_Log'!$C:$C,C61,'12_Production_Log'!$D:$D,D61))</x:f>
      </x:c>
      <x:c r="G61" s="70" t="str">
        <x:f>IF(OR(B61="",C61="",D61=""),"",SUMIFS('14_Materials_Log'!$I:$I,'14_Materials_Log'!$B:$B,B61,'14_Materials_Log'!$C:$C,C61,'14_Materials_Log'!$D:$D,D61,'14_Materials_Log'!$J:$J,"Yes"))</x:f>
      </x:c>
      <x:c r="H61" s="70" t="str">
        <x:f>IF(OR(B61="",C61="",D61=""),"",SUMIFS('13_Labor_Time'!$L:$L,'13_Labor_Time'!$B:$B,B61,'13_Labor_Time'!$C:$C,C61,'13_Labor_Time'!$D:$D,D61))</x:f>
      </x:c>
      <x:c r="I61" s="70" t="str">
        <x:f>IF(OR(B61="",C61="",D61=""),"",SUMIFS('15_Equipment_Log'!$M:$M,'15_Equipment_Log'!$B:$B,B61,'15_Equipment_Log'!$C:$C,C61,'15_Equipment_Log'!$D:$D,D61))</x:f>
      </x:c>
      <x:c r="J61" s="15"/>
      <x:c r="K61" s="15"/>
      <x:c r="L61" s="15"/>
      <x:c r="M61" s="15"/>
      <x:c r="N61" s="70" t="str">
        <x:f>IF(COUNTA(B61:E61,J61:M61)=0,"",F61+G61-H61-I61)</x:f>
      </x:c>
      <x:c r="O61" s="15" t="str">
        <x:f>IF(COUNTA(B61:E61,J61:M61)=0,"",TEXTJOIN("; ",TRUE,IF(B61="","Missing work date",""),IF(C61="","Missing project",""),IF(D61="","Missing job",""),IF(J61&lt;&gt;"Yes","Backup incomplete",""),IF(K61&lt;&gt;"Yes","Redline incomplete",""),IF(L61&lt;&gt;"Yes","Customer not approved",""),IF(M61&lt;&gt;"Ready","Invoice not ready","")))</x:f>
      </x:c>
    </x:row>
    <x:row r="62" ht="20" customHeight="1">
      <x:c r="A62" s="15"/>
      <x:c r="B62" s="28"/>
      <x:c r="C62" s="15"/>
      <x:c r="D62" s="15"/>
      <x:c r="E62" s="15"/>
      <x:c r="F62" s="70" t="str">
        <x:f>IF(OR(B62="",C62="",D62=""),"",SUMIFS('12_Production_Log'!$M:$M,'12_Production_Log'!$B:$B,B62,'12_Production_Log'!$C:$C,C62,'12_Production_Log'!$D:$D,D62))</x:f>
      </x:c>
      <x:c r="G62" s="70" t="str">
        <x:f>IF(OR(B62="",C62="",D62=""),"",SUMIFS('14_Materials_Log'!$I:$I,'14_Materials_Log'!$B:$B,B62,'14_Materials_Log'!$C:$C,C62,'14_Materials_Log'!$D:$D,D62,'14_Materials_Log'!$J:$J,"Yes"))</x:f>
      </x:c>
      <x:c r="H62" s="70" t="str">
        <x:f>IF(OR(B62="",C62="",D62=""),"",SUMIFS('13_Labor_Time'!$L:$L,'13_Labor_Time'!$B:$B,B62,'13_Labor_Time'!$C:$C,C62,'13_Labor_Time'!$D:$D,D62))</x:f>
      </x:c>
      <x:c r="I62" s="70" t="str">
        <x:f>IF(OR(B62="",C62="",D62=""),"",SUMIFS('15_Equipment_Log'!$M:$M,'15_Equipment_Log'!$B:$B,B62,'15_Equipment_Log'!$C:$C,C62,'15_Equipment_Log'!$D:$D,D62))</x:f>
      </x:c>
      <x:c r="J62" s="15"/>
      <x:c r="K62" s="15"/>
      <x:c r="L62" s="15"/>
      <x:c r="M62" s="15"/>
      <x:c r="N62" s="70" t="str">
        <x:f>IF(COUNTA(B62:E62,J62:M62)=0,"",F62+G62-H62-I62)</x:f>
      </x:c>
      <x:c r="O62" s="15" t="str">
        <x:f>IF(COUNTA(B62:E62,J62:M62)=0,"",TEXTJOIN("; ",TRUE,IF(B62="","Missing work date",""),IF(C62="","Missing project",""),IF(D62="","Missing job",""),IF(J62&lt;&gt;"Yes","Backup incomplete",""),IF(K62&lt;&gt;"Yes","Redline incomplete",""),IF(L62&lt;&gt;"Yes","Customer not approved",""),IF(M62&lt;&gt;"Ready","Invoice not ready","")))</x:f>
      </x:c>
    </x:row>
    <x:row r="63" ht="20" customHeight="1">
      <x:c r="A63" s="15"/>
      <x:c r="B63" s="28"/>
      <x:c r="C63" s="15"/>
      <x:c r="D63" s="15"/>
      <x:c r="E63" s="15"/>
      <x:c r="F63" s="70" t="str">
        <x:f>IF(OR(B63="",C63="",D63=""),"",SUMIFS('12_Production_Log'!$M:$M,'12_Production_Log'!$B:$B,B63,'12_Production_Log'!$C:$C,C63,'12_Production_Log'!$D:$D,D63))</x:f>
      </x:c>
      <x:c r="G63" s="70" t="str">
        <x:f>IF(OR(B63="",C63="",D63=""),"",SUMIFS('14_Materials_Log'!$I:$I,'14_Materials_Log'!$B:$B,B63,'14_Materials_Log'!$C:$C,C63,'14_Materials_Log'!$D:$D,D63,'14_Materials_Log'!$J:$J,"Yes"))</x:f>
      </x:c>
      <x:c r="H63" s="70" t="str">
        <x:f>IF(OR(B63="",C63="",D63=""),"",SUMIFS('13_Labor_Time'!$L:$L,'13_Labor_Time'!$B:$B,B63,'13_Labor_Time'!$C:$C,C63,'13_Labor_Time'!$D:$D,D63))</x:f>
      </x:c>
      <x:c r="I63" s="70" t="str">
        <x:f>IF(OR(B63="",C63="",D63=""),"",SUMIFS('15_Equipment_Log'!$M:$M,'15_Equipment_Log'!$B:$B,B63,'15_Equipment_Log'!$C:$C,C63,'15_Equipment_Log'!$D:$D,D63))</x:f>
      </x:c>
      <x:c r="J63" s="15"/>
      <x:c r="K63" s="15"/>
      <x:c r="L63" s="15"/>
      <x:c r="M63" s="15"/>
      <x:c r="N63" s="70" t="str">
        <x:f>IF(COUNTA(B63:E63,J63:M63)=0,"",F63+G63-H63-I63)</x:f>
      </x:c>
      <x:c r="O63" s="15" t="str">
        <x:f>IF(COUNTA(B63:E63,J63:M63)=0,"",TEXTJOIN("; ",TRUE,IF(B63="","Missing work date",""),IF(C63="","Missing project",""),IF(D63="","Missing job",""),IF(J63&lt;&gt;"Yes","Backup incomplete",""),IF(K63&lt;&gt;"Yes","Redline incomplete",""),IF(L63&lt;&gt;"Yes","Customer not approved",""),IF(M63&lt;&gt;"Ready","Invoice not ready","")))</x:f>
      </x:c>
    </x:row>
    <x:row r="64" ht="20" customHeight="1">
      <x:c r="A64" s="15"/>
      <x:c r="B64" s="28"/>
      <x:c r="C64" s="15"/>
      <x:c r="D64" s="15"/>
      <x:c r="E64" s="15"/>
      <x:c r="F64" s="70" t="str">
        <x:f>IF(OR(B64="",C64="",D64=""),"",SUMIFS('12_Production_Log'!$M:$M,'12_Production_Log'!$B:$B,B64,'12_Production_Log'!$C:$C,C64,'12_Production_Log'!$D:$D,D64))</x:f>
      </x:c>
      <x:c r="G64" s="70" t="str">
        <x:f>IF(OR(B64="",C64="",D64=""),"",SUMIFS('14_Materials_Log'!$I:$I,'14_Materials_Log'!$B:$B,B64,'14_Materials_Log'!$C:$C,C64,'14_Materials_Log'!$D:$D,D64,'14_Materials_Log'!$J:$J,"Yes"))</x:f>
      </x:c>
      <x:c r="H64" s="70" t="str">
        <x:f>IF(OR(B64="",C64="",D64=""),"",SUMIFS('13_Labor_Time'!$L:$L,'13_Labor_Time'!$B:$B,B64,'13_Labor_Time'!$C:$C,C64,'13_Labor_Time'!$D:$D,D64))</x:f>
      </x:c>
      <x:c r="I64" s="70" t="str">
        <x:f>IF(OR(B64="",C64="",D64=""),"",SUMIFS('15_Equipment_Log'!$M:$M,'15_Equipment_Log'!$B:$B,B64,'15_Equipment_Log'!$C:$C,C64,'15_Equipment_Log'!$D:$D,D64))</x:f>
      </x:c>
      <x:c r="J64" s="15"/>
      <x:c r="K64" s="15"/>
      <x:c r="L64" s="15"/>
      <x:c r="M64" s="15"/>
      <x:c r="N64" s="70" t="str">
        <x:f>IF(COUNTA(B64:E64,J64:M64)=0,"",F64+G64-H64-I64)</x:f>
      </x:c>
      <x:c r="O64" s="15" t="str">
        <x:f>IF(COUNTA(B64:E64,J64:M64)=0,"",TEXTJOIN("; ",TRUE,IF(B64="","Missing work date",""),IF(C64="","Missing project",""),IF(D64="","Missing job",""),IF(J64&lt;&gt;"Yes","Backup incomplete",""),IF(K64&lt;&gt;"Yes","Redline incomplete",""),IF(L64&lt;&gt;"Yes","Customer not approved",""),IF(M64&lt;&gt;"Ready","Invoice not ready","")))</x:f>
      </x:c>
    </x:row>
    <x:row r="65" ht="20" customHeight="1">
      <x:c r="A65" s="15"/>
      <x:c r="B65" s="28"/>
      <x:c r="C65" s="15"/>
      <x:c r="D65" s="15"/>
      <x:c r="E65" s="15"/>
      <x:c r="F65" s="70" t="str">
        <x:f>IF(OR(B65="",C65="",D65=""),"",SUMIFS('12_Production_Log'!$M:$M,'12_Production_Log'!$B:$B,B65,'12_Production_Log'!$C:$C,C65,'12_Production_Log'!$D:$D,D65))</x:f>
      </x:c>
      <x:c r="G65" s="70" t="str">
        <x:f>IF(OR(B65="",C65="",D65=""),"",SUMIFS('14_Materials_Log'!$I:$I,'14_Materials_Log'!$B:$B,B65,'14_Materials_Log'!$C:$C,C65,'14_Materials_Log'!$D:$D,D65,'14_Materials_Log'!$J:$J,"Yes"))</x:f>
      </x:c>
      <x:c r="H65" s="70" t="str">
        <x:f>IF(OR(B65="",C65="",D65=""),"",SUMIFS('13_Labor_Time'!$L:$L,'13_Labor_Time'!$B:$B,B65,'13_Labor_Time'!$C:$C,C65,'13_Labor_Time'!$D:$D,D65))</x:f>
      </x:c>
      <x:c r="I65" s="70" t="str">
        <x:f>IF(OR(B65="",C65="",D65=""),"",SUMIFS('15_Equipment_Log'!$M:$M,'15_Equipment_Log'!$B:$B,B65,'15_Equipment_Log'!$C:$C,C65,'15_Equipment_Log'!$D:$D,D65))</x:f>
      </x:c>
      <x:c r="J65" s="15"/>
      <x:c r="K65" s="15"/>
      <x:c r="L65" s="15"/>
      <x:c r="M65" s="15"/>
      <x:c r="N65" s="70" t="str">
        <x:f>IF(COUNTA(B65:E65,J65:M65)=0,"",F65+G65-H65-I65)</x:f>
      </x:c>
      <x:c r="O65" s="15" t="str">
        <x:f>IF(COUNTA(B65:E65,J65:M65)=0,"",TEXTJOIN("; ",TRUE,IF(B65="","Missing work date",""),IF(C65="","Missing project",""),IF(D65="","Missing job",""),IF(J65&lt;&gt;"Yes","Backup incomplete",""),IF(K65&lt;&gt;"Yes","Redline incomplete",""),IF(L65&lt;&gt;"Yes","Customer not approved",""),IF(M65&lt;&gt;"Ready","Invoice not ready","")))</x:f>
      </x:c>
    </x:row>
    <x:row r="66" ht="20" customHeight="1">
      <x:c r="A66" s="15"/>
      <x:c r="B66" s="28"/>
      <x:c r="C66" s="15"/>
      <x:c r="D66" s="15"/>
      <x:c r="E66" s="15"/>
      <x:c r="F66" s="70" t="str">
        <x:f>IF(OR(B66="",C66="",D66=""),"",SUMIFS('12_Production_Log'!$M:$M,'12_Production_Log'!$B:$B,B66,'12_Production_Log'!$C:$C,C66,'12_Production_Log'!$D:$D,D66))</x:f>
      </x:c>
      <x:c r="G66" s="70" t="str">
        <x:f>IF(OR(B66="",C66="",D66=""),"",SUMIFS('14_Materials_Log'!$I:$I,'14_Materials_Log'!$B:$B,B66,'14_Materials_Log'!$C:$C,C66,'14_Materials_Log'!$D:$D,D66,'14_Materials_Log'!$J:$J,"Yes"))</x:f>
      </x:c>
      <x:c r="H66" s="70" t="str">
        <x:f>IF(OR(B66="",C66="",D66=""),"",SUMIFS('13_Labor_Time'!$L:$L,'13_Labor_Time'!$B:$B,B66,'13_Labor_Time'!$C:$C,C66,'13_Labor_Time'!$D:$D,D66))</x:f>
      </x:c>
      <x:c r="I66" s="70" t="str">
        <x:f>IF(OR(B66="",C66="",D66=""),"",SUMIFS('15_Equipment_Log'!$M:$M,'15_Equipment_Log'!$B:$B,B66,'15_Equipment_Log'!$C:$C,C66,'15_Equipment_Log'!$D:$D,D66))</x:f>
      </x:c>
      <x:c r="J66" s="15"/>
      <x:c r="K66" s="15"/>
      <x:c r="L66" s="15"/>
      <x:c r="M66" s="15"/>
      <x:c r="N66" s="70" t="str">
        <x:f>IF(COUNTA(B66:E66,J66:M66)=0,"",F66+G66-H66-I66)</x:f>
      </x:c>
      <x:c r="O66" s="15" t="str">
        <x:f>IF(COUNTA(B66:E66,J66:M66)=0,"",TEXTJOIN("; ",TRUE,IF(B66="","Missing work date",""),IF(C66="","Missing project",""),IF(D66="","Missing job",""),IF(J66&lt;&gt;"Yes","Backup incomplete",""),IF(K66&lt;&gt;"Yes","Redline incomplete",""),IF(L66&lt;&gt;"Yes","Customer not approved",""),IF(M66&lt;&gt;"Ready","Invoice not ready","")))</x:f>
      </x:c>
    </x:row>
    <x:row r="67" ht="20" customHeight="1">
      <x:c r="A67" s="15"/>
      <x:c r="B67" s="28"/>
      <x:c r="C67" s="15"/>
      <x:c r="D67" s="15"/>
      <x:c r="E67" s="15"/>
      <x:c r="F67" s="70" t="str">
        <x:f>IF(OR(B67="",C67="",D67=""),"",SUMIFS('12_Production_Log'!$M:$M,'12_Production_Log'!$B:$B,B67,'12_Production_Log'!$C:$C,C67,'12_Production_Log'!$D:$D,D67))</x:f>
      </x:c>
      <x:c r="G67" s="70" t="str">
        <x:f>IF(OR(B67="",C67="",D67=""),"",SUMIFS('14_Materials_Log'!$I:$I,'14_Materials_Log'!$B:$B,B67,'14_Materials_Log'!$C:$C,C67,'14_Materials_Log'!$D:$D,D67,'14_Materials_Log'!$J:$J,"Yes"))</x:f>
      </x:c>
      <x:c r="H67" s="70" t="str">
        <x:f>IF(OR(B67="",C67="",D67=""),"",SUMIFS('13_Labor_Time'!$L:$L,'13_Labor_Time'!$B:$B,B67,'13_Labor_Time'!$C:$C,C67,'13_Labor_Time'!$D:$D,D67))</x:f>
      </x:c>
      <x:c r="I67" s="70" t="str">
        <x:f>IF(OR(B67="",C67="",D67=""),"",SUMIFS('15_Equipment_Log'!$M:$M,'15_Equipment_Log'!$B:$B,B67,'15_Equipment_Log'!$C:$C,C67,'15_Equipment_Log'!$D:$D,D67))</x:f>
      </x:c>
      <x:c r="J67" s="15"/>
      <x:c r="K67" s="15"/>
      <x:c r="L67" s="15"/>
      <x:c r="M67" s="15"/>
      <x:c r="N67" s="70" t="str">
        <x:f>IF(COUNTA(B67:E67,J67:M67)=0,"",F67+G67-H67-I67)</x:f>
      </x:c>
      <x:c r="O67" s="15" t="str">
        <x:f>IF(COUNTA(B67:E67,J67:M67)=0,"",TEXTJOIN("; ",TRUE,IF(B67="","Missing work date",""),IF(C67="","Missing project",""),IF(D67="","Missing job",""),IF(J67&lt;&gt;"Yes","Backup incomplete",""),IF(K67&lt;&gt;"Yes","Redline incomplete",""),IF(L67&lt;&gt;"Yes","Customer not approved",""),IF(M67&lt;&gt;"Ready","Invoice not ready","")))</x:f>
      </x:c>
    </x:row>
    <x:row r="68" ht="20" customHeight="1">
      <x:c r="A68" s="15"/>
      <x:c r="B68" s="28"/>
      <x:c r="C68" s="15"/>
      <x:c r="D68" s="15"/>
      <x:c r="E68" s="15"/>
      <x:c r="F68" s="70" t="str">
        <x:f>IF(OR(B68="",C68="",D68=""),"",SUMIFS('12_Production_Log'!$M:$M,'12_Production_Log'!$B:$B,B68,'12_Production_Log'!$C:$C,C68,'12_Production_Log'!$D:$D,D68))</x:f>
      </x:c>
      <x:c r="G68" s="70" t="str">
        <x:f>IF(OR(B68="",C68="",D68=""),"",SUMIFS('14_Materials_Log'!$I:$I,'14_Materials_Log'!$B:$B,B68,'14_Materials_Log'!$C:$C,C68,'14_Materials_Log'!$D:$D,D68,'14_Materials_Log'!$J:$J,"Yes"))</x:f>
      </x:c>
      <x:c r="H68" s="70" t="str">
        <x:f>IF(OR(B68="",C68="",D68=""),"",SUMIFS('13_Labor_Time'!$L:$L,'13_Labor_Time'!$B:$B,B68,'13_Labor_Time'!$C:$C,C68,'13_Labor_Time'!$D:$D,D68))</x:f>
      </x:c>
      <x:c r="I68" s="70" t="str">
        <x:f>IF(OR(B68="",C68="",D68=""),"",SUMIFS('15_Equipment_Log'!$M:$M,'15_Equipment_Log'!$B:$B,B68,'15_Equipment_Log'!$C:$C,C68,'15_Equipment_Log'!$D:$D,D68))</x:f>
      </x:c>
      <x:c r="J68" s="15"/>
      <x:c r="K68" s="15"/>
      <x:c r="L68" s="15"/>
      <x:c r="M68" s="15"/>
      <x:c r="N68" s="70" t="str">
        <x:f>IF(COUNTA(B68:E68,J68:M68)=0,"",F68+G68-H68-I68)</x:f>
      </x:c>
      <x:c r="O68" s="15" t="str">
        <x:f>IF(COUNTA(B68:E68,J68:M68)=0,"",TEXTJOIN("; ",TRUE,IF(B68="","Missing work date",""),IF(C68="","Missing project",""),IF(D68="","Missing job",""),IF(J68&lt;&gt;"Yes","Backup incomplete",""),IF(K68&lt;&gt;"Yes","Redline incomplete",""),IF(L68&lt;&gt;"Yes","Customer not approved",""),IF(M68&lt;&gt;"Ready","Invoice not ready","")))</x:f>
      </x:c>
    </x:row>
    <x:row r="69" ht="20" customHeight="1">
      <x:c r="A69" s="15"/>
      <x:c r="B69" s="28"/>
      <x:c r="C69" s="15"/>
      <x:c r="D69" s="15"/>
      <x:c r="E69" s="15"/>
      <x:c r="F69" s="70" t="str">
        <x:f>IF(OR(B69="",C69="",D69=""),"",SUMIFS('12_Production_Log'!$M:$M,'12_Production_Log'!$B:$B,B69,'12_Production_Log'!$C:$C,C69,'12_Production_Log'!$D:$D,D69))</x:f>
      </x:c>
      <x:c r="G69" s="70" t="str">
        <x:f>IF(OR(B69="",C69="",D69=""),"",SUMIFS('14_Materials_Log'!$I:$I,'14_Materials_Log'!$B:$B,B69,'14_Materials_Log'!$C:$C,C69,'14_Materials_Log'!$D:$D,D69,'14_Materials_Log'!$J:$J,"Yes"))</x:f>
      </x:c>
      <x:c r="H69" s="70" t="str">
        <x:f>IF(OR(B69="",C69="",D69=""),"",SUMIFS('13_Labor_Time'!$L:$L,'13_Labor_Time'!$B:$B,B69,'13_Labor_Time'!$C:$C,C69,'13_Labor_Time'!$D:$D,D69))</x:f>
      </x:c>
      <x:c r="I69" s="70" t="str">
        <x:f>IF(OR(B69="",C69="",D69=""),"",SUMIFS('15_Equipment_Log'!$M:$M,'15_Equipment_Log'!$B:$B,B69,'15_Equipment_Log'!$C:$C,C69,'15_Equipment_Log'!$D:$D,D69))</x:f>
      </x:c>
      <x:c r="J69" s="15"/>
      <x:c r="K69" s="15"/>
      <x:c r="L69" s="15"/>
      <x:c r="M69" s="15"/>
      <x:c r="N69" s="70" t="str">
        <x:f>IF(COUNTA(B69:E69,J69:M69)=0,"",F69+G69-H69-I69)</x:f>
      </x:c>
      <x:c r="O69" s="15" t="str">
        <x:f>IF(COUNTA(B69:E69,J69:M69)=0,"",TEXTJOIN("; ",TRUE,IF(B69="","Missing work date",""),IF(C69="","Missing project",""),IF(D69="","Missing job",""),IF(J69&lt;&gt;"Yes","Backup incomplete",""),IF(K69&lt;&gt;"Yes","Redline incomplete",""),IF(L69&lt;&gt;"Yes","Customer not approved",""),IF(M69&lt;&gt;"Ready","Invoice not ready","")))</x:f>
      </x:c>
    </x:row>
    <x:row r="70" ht="20" customHeight="1">
      <x:c r="A70" s="15"/>
      <x:c r="B70" s="28"/>
      <x:c r="C70" s="15"/>
      <x:c r="D70" s="15"/>
      <x:c r="E70" s="15"/>
      <x:c r="F70" s="70" t="str">
        <x:f>IF(OR(B70="",C70="",D70=""),"",SUMIFS('12_Production_Log'!$M:$M,'12_Production_Log'!$B:$B,B70,'12_Production_Log'!$C:$C,C70,'12_Production_Log'!$D:$D,D70))</x:f>
      </x:c>
      <x:c r="G70" s="70" t="str">
        <x:f>IF(OR(B70="",C70="",D70=""),"",SUMIFS('14_Materials_Log'!$I:$I,'14_Materials_Log'!$B:$B,B70,'14_Materials_Log'!$C:$C,C70,'14_Materials_Log'!$D:$D,D70,'14_Materials_Log'!$J:$J,"Yes"))</x:f>
      </x:c>
      <x:c r="H70" s="70" t="str">
        <x:f>IF(OR(B70="",C70="",D70=""),"",SUMIFS('13_Labor_Time'!$L:$L,'13_Labor_Time'!$B:$B,B70,'13_Labor_Time'!$C:$C,C70,'13_Labor_Time'!$D:$D,D70))</x:f>
      </x:c>
      <x:c r="I70" s="70" t="str">
        <x:f>IF(OR(B70="",C70="",D70=""),"",SUMIFS('15_Equipment_Log'!$M:$M,'15_Equipment_Log'!$B:$B,B70,'15_Equipment_Log'!$C:$C,C70,'15_Equipment_Log'!$D:$D,D70))</x:f>
      </x:c>
      <x:c r="J70" s="15"/>
      <x:c r="K70" s="15"/>
      <x:c r="L70" s="15"/>
      <x:c r="M70" s="15"/>
      <x:c r="N70" s="70" t="str">
        <x:f>IF(COUNTA(B70:E70,J70:M70)=0,"",F70+G70-H70-I70)</x:f>
      </x:c>
      <x:c r="O70" s="15" t="str">
        <x:f>IF(COUNTA(B70:E70,J70:M70)=0,"",TEXTJOIN("; ",TRUE,IF(B70="","Missing work date",""),IF(C70="","Missing project",""),IF(D70="","Missing job",""),IF(J70&lt;&gt;"Yes","Backup incomplete",""),IF(K70&lt;&gt;"Yes","Redline incomplete",""),IF(L70&lt;&gt;"Yes","Customer not approved",""),IF(M70&lt;&gt;"Ready","Invoice not ready","")))</x:f>
      </x:c>
    </x:row>
    <x:row r="71" ht="20" customHeight="1">
      <x:c r="A71" s="15"/>
      <x:c r="B71" s="28"/>
      <x:c r="C71" s="15"/>
      <x:c r="D71" s="15"/>
      <x:c r="E71" s="15"/>
      <x:c r="F71" s="70" t="str">
        <x:f>IF(OR(B71="",C71="",D71=""),"",SUMIFS('12_Production_Log'!$M:$M,'12_Production_Log'!$B:$B,B71,'12_Production_Log'!$C:$C,C71,'12_Production_Log'!$D:$D,D71))</x:f>
      </x:c>
      <x:c r="G71" s="70" t="str">
        <x:f>IF(OR(B71="",C71="",D71=""),"",SUMIFS('14_Materials_Log'!$I:$I,'14_Materials_Log'!$B:$B,B71,'14_Materials_Log'!$C:$C,C71,'14_Materials_Log'!$D:$D,D71,'14_Materials_Log'!$J:$J,"Yes"))</x:f>
      </x:c>
      <x:c r="H71" s="70" t="str">
        <x:f>IF(OR(B71="",C71="",D71=""),"",SUMIFS('13_Labor_Time'!$L:$L,'13_Labor_Time'!$B:$B,B71,'13_Labor_Time'!$C:$C,C71,'13_Labor_Time'!$D:$D,D71))</x:f>
      </x:c>
      <x:c r="I71" s="70" t="str">
        <x:f>IF(OR(B71="",C71="",D71=""),"",SUMIFS('15_Equipment_Log'!$M:$M,'15_Equipment_Log'!$B:$B,B71,'15_Equipment_Log'!$C:$C,C71,'15_Equipment_Log'!$D:$D,D71))</x:f>
      </x:c>
      <x:c r="J71" s="15"/>
      <x:c r="K71" s="15"/>
      <x:c r="L71" s="15"/>
      <x:c r="M71" s="15"/>
      <x:c r="N71" s="70" t="str">
        <x:f>IF(COUNTA(B71:E71,J71:M71)=0,"",F71+G71-H71-I71)</x:f>
      </x:c>
      <x:c r="O71" s="15" t="str">
        <x:f>IF(COUNTA(B71:E71,J71:M71)=0,"",TEXTJOIN("; ",TRUE,IF(B71="","Missing work date",""),IF(C71="","Missing project",""),IF(D71="","Missing job",""),IF(J71&lt;&gt;"Yes","Backup incomplete",""),IF(K71&lt;&gt;"Yes","Redline incomplete",""),IF(L71&lt;&gt;"Yes","Customer not approved",""),IF(M71&lt;&gt;"Ready","Invoice not ready","")))</x:f>
      </x:c>
    </x:row>
    <x:row r="72" ht="20" customHeight="1">
      <x:c r="A72" s="15"/>
      <x:c r="B72" s="28"/>
      <x:c r="C72" s="15"/>
      <x:c r="D72" s="15"/>
      <x:c r="E72" s="15"/>
      <x:c r="F72" s="70" t="str">
        <x:f>IF(OR(B72="",C72="",D72=""),"",SUMIFS('12_Production_Log'!$M:$M,'12_Production_Log'!$B:$B,B72,'12_Production_Log'!$C:$C,C72,'12_Production_Log'!$D:$D,D72))</x:f>
      </x:c>
      <x:c r="G72" s="70" t="str">
        <x:f>IF(OR(B72="",C72="",D72=""),"",SUMIFS('14_Materials_Log'!$I:$I,'14_Materials_Log'!$B:$B,B72,'14_Materials_Log'!$C:$C,C72,'14_Materials_Log'!$D:$D,D72,'14_Materials_Log'!$J:$J,"Yes"))</x:f>
      </x:c>
      <x:c r="H72" s="70" t="str">
        <x:f>IF(OR(B72="",C72="",D72=""),"",SUMIFS('13_Labor_Time'!$L:$L,'13_Labor_Time'!$B:$B,B72,'13_Labor_Time'!$C:$C,C72,'13_Labor_Time'!$D:$D,D72))</x:f>
      </x:c>
      <x:c r="I72" s="70" t="str">
        <x:f>IF(OR(B72="",C72="",D72=""),"",SUMIFS('15_Equipment_Log'!$M:$M,'15_Equipment_Log'!$B:$B,B72,'15_Equipment_Log'!$C:$C,C72,'15_Equipment_Log'!$D:$D,D72))</x:f>
      </x:c>
      <x:c r="J72" s="15"/>
      <x:c r="K72" s="15"/>
      <x:c r="L72" s="15"/>
      <x:c r="M72" s="15"/>
      <x:c r="N72" s="70" t="str">
        <x:f>IF(COUNTA(B72:E72,J72:M72)=0,"",F72+G72-H72-I72)</x:f>
      </x:c>
      <x:c r="O72" s="15" t="str">
        <x:f>IF(COUNTA(B72:E72,J72:M72)=0,"",TEXTJOIN("; ",TRUE,IF(B72="","Missing work date",""),IF(C72="","Missing project",""),IF(D72="","Missing job",""),IF(J72&lt;&gt;"Yes","Backup incomplete",""),IF(K72&lt;&gt;"Yes","Redline incomplete",""),IF(L72&lt;&gt;"Yes","Customer not approved",""),IF(M72&lt;&gt;"Ready","Invoice not ready","")))</x:f>
      </x:c>
    </x:row>
    <x:row r="73" ht="20" customHeight="1">
      <x:c r="A73" s="15"/>
      <x:c r="B73" s="28"/>
      <x:c r="C73" s="15"/>
      <x:c r="D73" s="15"/>
      <x:c r="E73" s="15"/>
      <x:c r="F73" s="70" t="str">
        <x:f>IF(OR(B73="",C73="",D73=""),"",SUMIFS('12_Production_Log'!$M:$M,'12_Production_Log'!$B:$B,B73,'12_Production_Log'!$C:$C,C73,'12_Production_Log'!$D:$D,D73))</x:f>
      </x:c>
      <x:c r="G73" s="70" t="str">
        <x:f>IF(OR(B73="",C73="",D73=""),"",SUMIFS('14_Materials_Log'!$I:$I,'14_Materials_Log'!$B:$B,B73,'14_Materials_Log'!$C:$C,C73,'14_Materials_Log'!$D:$D,D73,'14_Materials_Log'!$J:$J,"Yes"))</x:f>
      </x:c>
      <x:c r="H73" s="70" t="str">
        <x:f>IF(OR(B73="",C73="",D73=""),"",SUMIFS('13_Labor_Time'!$L:$L,'13_Labor_Time'!$B:$B,B73,'13_Labor_Time'!$C:$C,C73,'13_Labor_Time'!$D:$D,D73))</x:f>
      </x:c>
      <x:c r="I73" s="70" t="str">
        <x:f>IF(OR(B73="",C73="",D73=""),"",SUMIFS('15_Equipment_Log'!$M:$M,'15_Equipment_Log'!$B:$B,B73,'15_Equipment_Log'!$C:$C,C73,'15_Equipment_Log'!$D:$D,D73))</x:f>
      </x:c>
      <x:c r="J73" s="15"/>
      <x:c r="K73" s="15"/>
      <x:c r="L73" s="15"/>
      <x:c r="M73" s="15"/>
      <x:c r="N73" s="70" t="str">
        <x:f>IF(COUNTA(B73:E73,J73:M73)=0,"",F73+G73-H73-I73)</x:f>
      </x:c>
      <x:c r="O73" s="15" t="str">
        <x:f>IF(COUNTA(B73:E73,J73:M73)=0,"",TEXTJOIN("; ",TRUE,IF(B73="","Missing work date",""),IF(C73="","Missing project",""),IF(D73="","Missing job",""),IF(J73&lt;&gt;"Yes","Backup incomplete",""),IF(K73&lt;&gt;"Yes","Redline incomplete",""),IF(L73&lt;&gt;"Yes","Customer not approved",""),IF(M73&lt;&gt;"Ready","Invoice not ready","")))</x:f>
      </x:c>
    </x:row>
    <x:row r="74" ht="20" customHeight="1">
      <x:c r="A74" s="15"/>
      <x:c r="B74" s="28"/>
      <x:c r="C74" s="15"/>
      <x:c r="D74" s="15"/>
      <x:c r="E74" s="15"/>
      <x:c r="F74" s="70" t="str">
        <x:f>IF(OR(B74="",C74="",D74=""),"",SUMIFS('12_Production_Log'!$M:$M,'12_Production_Log'!$B:$B,B74,'12_Production_Log'!$C:$C,C74,'12_Production_Log'!$D:$D,D74))</x:f>
      </x:c>
      <x:c r="G74" s="70" t="str">
        <x:f>IF(OR(B74="",C74="",D74=""),"",SUMIFS('14_Materials_Log'!$I:$I,'14_Materials_Log'!$B:$B,B74,'14_Materials_Log'!$C:$C,C74,'14_Materials_Log'!$D:$D,D74,'14_Materials_Log'!$J:$J,"Yes"))</x:f>
      </x:c>
      <x:c r="H74" s="70" t="str">
        <x:f>IF(OR(B74="",C74="",D74=""),"",SUMIFS('13_Labor_Time'!$L:$L,'13_Labor_Time'!$B:$B,B74,'13_Labor_Time'!$C:$C,C74,'13_Labor_Time'!$D:$D,D74))</x:f>
      </x:c>
      <x:c r="I74" s="70" t="str">
        <x:f>IF(OR(B74="",C74="",D74=""),"",SUMIFS('15_Equipment_Log'!$M:$M,'15_Equipment_Log'!$B:$B,B74,'15_Equipment_Log'!$C:$C,C74,'15_Equipment_Log'!$D:$D,D74))</x:f>
      </x:c>
      <x:c r="J74" s="15"/>
      <x:c r="K74" s="15"/>
      <x:c r="L74" s="15"/>
      <x:c r="M74" s="15"/>
      <x:c r="N74" s="70" t="str">
        <x:f>IF(COUNTA(B74:E74,J74:M74)=0,"",F74+G74-H74-I74)</x:f>
      </x:c>
      <x:c r="O74" s="15" t="str">
        <x:f>IF(COUNTA(B74:E74,J74:M74)=0,"",TEXTJOIN("; ",TRUE,IF(B74="","Missing work date",""),IF(C74="","Missing project",""),IF(D74="","Missing job",""),IF(J74&lt;&gt;"Yes","Backup incomplete",""),IF(K74&lt;&gt;"Yes","Redline incomplete",""),IF(L74&lt;&gt;"Yes","Customer not approved",""),IF(M74&lt;&gt;"Ready","Invoice not ready","")))</x:f>
      </x:c>
    </x:row>
    <x:row r="75" ht="20" customHeight="1">
      <x:c r="A75" s="15"/>
      <x:c r="B75" s="28"/>
      <x:c r="C75" s="15"/>
      <x:c r="D75" s="15"/>
      <x:c r="E75" s="15"/>
      <x:c r="F75" s="70" t="str">
        <x:f>IF(OR(B75="",C75="",D75=""),"",SUMIFS('12_Production_Log'!$M:$M,'12_Production_Log'!$B:$B,B75,'12_Production_Log'!$C:$C,C75,'12_Production_Log'!$D:$D,D75))</x:f>
      </x:c>
      <x:c r="G75" s="70" t="str">
        <x:f>IF(OR(B75="",C75="",D75=""),"",SUMIFS('14_Materials_Log'!$I:$I,'14_Materials_Log'!$B:$B,B75,'14_Materials_Log'!$C:$C,C75,'14_Materials_Log'!$D:$D,D75,'14_Materials_Log'!$J:$J,"Yes"))</x:f>
      </x:c>
      <x:c r="H75" s="70" t="str">
        <x:f>IF(OR(B75="",C75="",D75=""),"",SUMIFS('13_Labor_Time'!$L:$L,'13_Labor_Time'!$B:$B,B75,'13_Labor_Time'!$C:$C,C75,'13_Labor_Time'!$D:$D,D75))</x:f>
      </x:c>
      <x:c r="I75" s="70" t="str">
        <x:f>IF(OR(B75="",C75="",D75=""),"",SUMIFS('15_Equipment_Log'!$M:$M,'15_Equipment_Log'!$B:$B,B75,'15_Equipment_Log'!$C:$C,C75,'15_Equipment_Log'!$D:$D,D75))</x:f>
      </x:c>
      <x:c r="J75" s="15"/>
      <x:c r="K75" s="15"/>
      <x:c r="L75" s="15"/>
      <x:c r="M75" s="15"/>
      <x:c r="N75" s="70" t="str">
        <x:f>IF(COUNTA(B75:E75,J75:M75)=0,"",F75+G75-H75-I75)</x:f>
      </x:c>
      <x:c r="O75" s="15" t="str">
        <x:f>IF(COUNTA(B75:E75,J75:M75)=0,"",TEXTJOIN("; ",TRUE,IF(B75="","Missing work date",""),IF(C75="","Missing project",""),IF(D75="","Missing job",""),IF(J75&lt;&gt;"Yes","Backup incomplete",""),IF(K75&lt;&gt;"Yes","Redline incomplete",""),IF(L75&lt;&gt;"Yes","Customer not approved",""),IF(M75&lt;&gt;"Ready","Invoice not ready","")))</x:f>
      </x:c>
    </x:row>
    <x:row r="76" ht="20" customHeight="1">
      <x:c r="A76" s="15"/>
      <x:c r="B76" s="28"/>
      <x:c r="C76" s="15"/>
      <x:c r="D76" s="15"/>
      <x:c r="E76" s="15"/>
      <x:c r="F76" s="70" t="str">
        <x:f>IF(OR(B76="",C76="",D76=""),"",SUMIFS('12_Production_Log'!$M:$M,'12_Production_Log'!$B:$B,B76,'12_Production_Log'!$C:$C,C76,'12_Production_Log'!$D:$D,D76))</x:f>
      </x:c>
      <x:c r="G76" s="70" t="str">
        <x:f>IF(OR(B76="",C76="",D76=""),"",SUMIFS('14_Materials_Log'!$I:$I,'14_Materials_Log'!$B:$B,B76,'14_Materials_Log'!$C:$C,C76,'14_Materials_Log'!$D:$D,D76,'14_Materials_Log'!$J:$J,"Yes"))</x:f>
      </x:c>
      <x:c r="H76" s="70" t="str">
        <x:f>IF(OR(B76="",C76="",D76=""),"",SUMIFS('13_Labor_Time'!$L:$L,'13_Labor_Time'!$B:$B,B76,'13_Labor_Time'!$C:$C,C76,'13_Labor_Time'!$D:$D,D76))</x:f>
      </x:c>
      <x:c r="I76" s="70" t="str">
        <x:f>IF(OR(B76="",C76="",D76=""),"",SUMIFS('15_Equipment_Log'!$M:$M,'15_Equipment_Log'!$B:$B,B76,'15_Equipment_Log'!$C:$C,C76,'15_Equipment_Log'!$D:$D,D76))</x:f>
      </x:c>
      <x:c r="J76" s="15"/>
      <x:c r="K76" s="15"/>
      <x:c r="L76" s="15"/>
      <x:c r="M76" s="15"/>
      <x:c r="N76" s="70" t="str">
        <x:f>IF(COUNTA(B76:E76,J76:M76)=0,"",F76+G76-H76-I76)</x:f>
      </x:c>
      <x:c r="O76" s="15" t="str">
        <x:f>IF(COUNTA(B76:E76,J76:M76)=0,"",TEXTJOIN("; ",TRUE,IF(B76="","Missing work date",""),IF(C76="","Missing project",""),IF(D76="","Missing job",""),IF(J76&lt;&gt;"Yes","Backup incomplete",""),IF(K76&lt;&gt;"Yes","Redline incomplete",""),IF(L76&lt;&gt;"Yes","Customer not approved",""),IF(M76&lt;&gt;"Ready","Invoice not ready","")))</x:f>
      </x:c>
    </x:row>
    <x:row r="77" ht="20" customHeight="1">
      <x:c r="A77" s="15"/>
      <x:c r="B77" s="28"/>
      <x:c r="C77" s="15"/>
      <x:c r="D77" s="15"/>
      <x:c r="E77" s="15"/>
      <x:c r="F77" s="70" t="str">
        <x:f>IF(OR(B77="",C77="",D77=""),"",SUMIFS('12_Production_Log'!$M:$M,'12_Production_Log'!$B:$B,B77,'12_Production_Log'!$C:$C,C77,'12_Production_Log'!$D:$D,D77))</x:f>
      </x:c>
      <x:c r="G77" s="70" t="str">
        <x:f>IF(OR(B77="",C77="",D77=""),"",SUMIFS('14_Materials_Log'!$I:$I,'14_Materials_Log'!$B:$B,B77,'14_Materials_Log'!$C:$C,C77,'14_Materials_Log'!$D:$D,D77,'14_Materials_Log'!$J:$J,"Yes"))</x:f>
      </x:c>
      <x:c r="H77" s="70" t="str">
        <x:f>IF(OR(B77="",C77="",D77=""),"",SUMIFS('13_Labor_Time'!$L:$L,'13_Labor_Time'!$B:$B,B77,'13_Labor_Time'!$C:$C,C77,'13_Labor_Time'!$D:$D,D77))</x:f>
      </x:c>
      <x:c r="I77" s="70" t="str">
        <x:f>IF(OR(B77="",C77="",D77=""),"",SUMIFS('15_Equipment_Log'!$M:$M,'15_Equipment_Log'!$B:$B,B77,'15_Equipment_Log'!$C:$C,C77,'15_Equipment_Log'!$D:$D,D77))</x:f>
      </x:c>
      <x:c r="J77" s="15"/>
      <x:c r="K77" s="15"/>
      <x:c r="L77" s="15"/>
      <x:c r="M77" s="15"/>
      <x:c r="N77" s="70" t="str">
        <x:f>IF(COUNTA(B77:E77,J77:M77)=0,"",F77+G77-H77-I77)</x:f>
      </x:c>
      <x:c r="O77" s="15" t="str">
        <x:f>IF(COUNTA(B77:E77,J77:M77)=0,"",TEXTJOIN("; ",TRUE,IF(B77="","Missing work date",""),IF(C77="","Missing project",""),IF(D77="","Missing job",""),IF(J77&lt;&gt;"Yes","Backup incomplete",""),IF(K77&lt;&gt;"Yes","Redline incomplete",""),IF(L77&lt;&gt;"Yes","Customer not approved",""),IF(M77&lt;&gt;"Ready","Invoice not ready","")))</x:f>
      </x:c>
    </x:row>
    <x:row r="78" ht="20" customHeight="1">
      <x:c r="A78" s="15"/>
      <x:c r="B78" s="28"/>
      <x:c r="C78" s="15"/>
      <x:c r="D78" s="15"/>
      <x:c r="E78" s="15"/>
      <x:c r="F78" s="70" t="str">
        <x:f>IF(OR(B78="",C78="",D78=""),"",SUMIFS('12_Production_Log'!$M:$M,'12_Production_Log'!$B:$B,B78,'12_Production_Log'!$C:$C,C78,'12_Production_Log'!$D:$D,D78))</x:f>
      </x:c>
      <x:c r="G78" s="70" t="str">
        <x:f>IF(OR(B78="",C78="",D78=""),"",SUMIFS('14_Materials_Log'!$I:$I,'14_Materials_Log'!$B:$B,B78,'14_Materials_Log'!$C:$C,C78,'14_Materials_Log'!$D:$D,D78,'14_Materials_Log'!$J:$J,"Yes"))</x:f>
      </x:c>
      <x:c r="H78" s="70" t="str">
        <x:f>IF(OR(B78="",C78="",D78=""),"",SUMIFS('13_Labor_Time'!$L:$L,'13_Labor_Time'!$B:$B,B78,'13_Labor_Time'!$C:$C,C78,'13_Labor_Time'!$D:$D,D78))</x:f>
      </x:c>
      <x:c r="I78" s="70" t="str">
        <x:f>IF(OR(B78="",C78="",D78=""),"",SUMIFS('15_Equipment_Log'!$M:$M,'15_Equipment_Log'!$B:$B,B78,'15_Equipment_Log'!$C:$C,C78,'15_Equipment_Log'!$D:$D,D78))</x:f>
      </x:c>
      <x:c r="J78" s="15"/>
      <x:c r="K78" s="15"/>
      <x:c r="L78" s="15"/>
      <x:c r="M78" s="15"/>
      <x:c r="N78" s="70" t="str">
        <x:f>IF(COUNTA(B78:E78,J78:M78)=0,"",F78+G78-H78-I78)</x:f>
      </x:c>
      <x:c r="O78" s="15" t="str">
        <x:f>IF(COUNTA(B78:E78,J78:M78)=0,"",TEXTJOIN("; ",TRUE,IF(B78="","Missing work date",""),IF(C78="","Missing project",""),IF(D78="","Missing job",""),IF(J78&lt;&gt;"Yes","Backup incomplete",""),IF(K78&lt;&gt;"Yes","Redline incomplete",""),IF(L78&lt;&gt;"Yes","Customer not approved",""),IF(M78&lt;&gt;"Ready","Invoice not ready","")))</x:f>
      </x:c>
    </x:row>
    <x:row r="79" ht="20" customHeight="1">
      <x:c r="A79" s="15"/>
      <x:c r="B79" s="28"/>
      <x:c r="C79" s="15"/>
      <x:c r="D79" s="15"/>
      <x:c r="E79" s="15"/>
      <x:c r="F79" s="70" t="str">
        <x:f>IF(OR(B79="",C79="",D79=""),"",SUMIFS('12_Production_Log'!$M:$M,'12_Production_Log'!$B:$B,B79,'12_Production_Log'!$C:$C,C79,'12_Production_Log'!$D:$D,D79))</x:f>
      </x:c>
      <x:c r="G79" s="70" t="str">
        <x:f>IF(OR(B79="",C79="",D79=""),"",SUMIFS('14_Materials_Log'!$I:$I,'14_Materials_Log'!$B:$B,B79,'14_Materials_Log'!$C:$C,C79,'14_Materials_Log'!$D:$D,D79,'14_Materials_Log'!$J:$J,"Yes"))</x:f>
      </x:c>
      <x:c r="H79" s="70" t="str">
        <x:f>IF(OR(B79="",C79="",D79=""),"",SUMIFS('13_Labor_Time'!$L:$L,'13_Labor_Time'!$B:$B,B79,'13_Labor_Time'!$C:$C,C79,'13_Labor_Time'!$D:$D,D79))</x:f>
      </x:c>
      <x:c r="I79" s="70" t="str">
        <x:f>IF(OR(B79="",C79="",D79=""),"",SUMIFS('15_Equipment_Log'!$M:$M,'15_Equipment_Log'!$B:$B,B79,'15_Equipment_Log'!$C:$C,C79,'15_Equipment_Log'!$D:$D,D79))</x:f>
      </x:c>
      <x:c r="J79" s="15"/>
      <x:c r="K79" s="15"/>
      <x:c r="L79" s="15"/>
      <x:c r="M79" s="15"/>
      <x:c r="N79" s="70" t="str">
        <x:f>IF(COUNTA(B79:E79,J79:M79)=0,"",F79+G79-H79-I79)</x:f>
      </x:c>
      <x:c r="O79" s="15" t="str">
        <x:f>IF(COUNTA(B79:E79,J79:M79)=0,"",TEXTJOIN("; ",TRUE,IF(B79="","Missing work date",""),IF(C79="","Missing project",""),IF(D79="","Missing job",""),IF(J79&lt;&gt;"Yes","Backup incomplete",""),IF(K79&lt;&gt;"Yes","Redline incomplete",""),IF(L79&lt;&gt;"Yes","Customer not approved",""),IF(M79&lt;&gt;"Ready","Invoice not ready","")))</x:f>
      </x:c>
    </x:row>
    <x:row r="80" ht="20" customHeight="1">
      <x:c r="A80" s="15"/>
      <x:c r="B80" s="28"/>
      <x:c r="C80" s="15"/>
      <x:c r="D80" s="15"/>
      <x:c r="E80" s="15"/>
      <x:c r="F80" s="70" t="str">
        <x:f>IF(OR(B80="",C80="",D80=""),"",SUMIFS('12_Production_Log'!$M:$M,'12_Production_Log'!$B:$B,B80,'12_Production_Log'!$C:$C,C80,'12_Production_Log'!$D:$D,D80))</x:f>
      </x:c>
      <x:c r="G80" s="70" t="str">
        <x:f>IF(OR(B80="",C80="",D80=""),"",SUMIFS('14_Materials_Log'!$I:$I,'14_Materials_Log'!$B:$B,B80,'14_Materials_Log'!$C:$C,C80,'14_Materials_Log'!$D:$D,D80,'14_Materials_Log'!$J:$J,"Yes"))</x:f>
      </x:c>
      <x:c r="H80" s="70" t="str">
        <x:f>IF(OR(B80="",C80="",D80=""),"",SUMIFS('13_Labor_Time'!$L:$L,'13_Labor_Time'!$B:$B,B80,'13_Labor_Time'!$C:$C,C80,'13_Labor_Time'!$D:$D,D80))</x:f>
      </x:c>
      <x:c r="I80" s="70" t="str">
        <x:f>IF(OR(B80="",C80="",D80=""),"",SUMIFS('15_Equipment_Log'!$M:$M,'15_Equipment_Log'!$B:$B,B80,'15_Equipment_Log'!$C:$C,C80,'15_Equipment_Log'!$D:$D,D80))</x:f>
      </x:c>
      <x:c r="J80" s="15"/>
      <x:c r="K80" s="15"/>
      <x:c r="L80" s="15"/>
      <x:c r="M80" s="15"/>
      <x:c r="N80" s="70" t="str">
        <x:f>IF(COUNTA(B80:E80,J80:M80)=0,"",F80+G80-H80-I80)</x:f>
      </x:c>
      <x:c r="O80" s="15" t="str">
        <x:f>IF(COUNTA(B80:E80,J80:M80)=0,"",TEXTJOIN("; ",TRUE,IF(B80="","Missing work date",""),IF(C80="","Missing project",""),IF(D80="","Missing job",""),IF(J80&lt;&gt;"Yes","Backup incomplete",""),IF(K80&lt;&gt;"Yes","Redline incomplete",""),IF(L80&lt;&gt;"Yes","Customer not approved",""),IF(M80&lt;&gt;"Ready","Invoice not ready","")))</x:f>
      </x:c>
    </x:row>
    <x:row r="81" ht="20" customHeight="1">
      <x:c r="A81" s="15"/>
      <x:c r="B81" s="28"/>
      <x:c r="C81" s="15"/>
      <x:c r="D81" s="15"/>
      <x:c r="E81" s="15"/>
      <x:c r="F81" s="70" t="str">
        <x:f>IF(OR(B81="",C81="",D81=""),"",SUMIFS('12_Production_Log'!$M:$M,'12_Production_Log'!$B:$B,B81,'12_Production_Log'!$C:$C,C81,'12_Production_Log'!$D:$D,D81))</x:f>
      </x:c>
      <x:c r="G81" s="70" t="str">
        <x:f>IF(OR(B81="",C81="",D81=""),"",SUMIFS('14_Materials_Log'!$I:$I,'14_Materials_Log'!$B:$B,B81,'14_Materials_Log'!$C:$C,C81,'14_Materials_Log'!$D:$D,D81,'14_Materials_Log'!$J:$J,"Yes"))</x:f>
      </x:c>
      <x:c r="H81" s="70" t="str">
        <x:f>IF(OR(B81="",C81="",D81=""),"",SUMIFS('13_Labor_Time'!$L:$L,'13_Labor_Time'!$B:$B,B81,'13_Labor_Time'!$C:$C,C81,'13_Labor_Time'!$D:$D,D81))</x:f>
      </x:c>
      <x:c r="I81" s="70" t="str">
        <x:f>IF(OR(B81="",C81="",D81=""),"",SUMIFS('15_Equipment_Log'!$M:$M,'15_Equipment_Log'!$B:$B,B81,'15_Equipment_Log'!$C:$C,C81,'15_Equipment_Log'!$D:$D,D81))</x:f>
      </x:c>
      <x:c r="J81" s="15"/>
      <x:c r="K81" s="15"/>
      <x:c r="L81" s="15"/>
      <x:c r="M81" s="15"/>
      <x:c r="N81" s="70" t="str">
        <x:f>IF(COUNTA(B81:E81,J81:M81)=0,"",F81+G81-H81-I81)</x:f>
      </x:c>
      <x:c r="O81" s="15" t="str">
        <x:f>IF(COUNTA(B81:E81,J81:M81)=0,"",TEXTJOIN("; ",TRUE,IF(B81="","Missing work date",""),IF(C81="","Missing project",""),IF(D81="","Missing job",""),IF(J81&lt;&gt;"Yes","Backup incomplete",""),IF(K81&lt;&gt;"Yes","Redline incomplete",""),IF(L81&lt;&gt;"Yes","Customer not approved",""),IF(M81&lt;&gt;"Ready","Invoice not ready","")))</x:f>
      </x:c>
    </x:row>
    <x:row r="82" ht="20" customHeight="1">
      <x:c r="A82" s="15"/>
      <x:c r="B82" s="28"/>
      <x:c r="C82" s="15"/>
      <x:c r="D82" s="15"/>
      <x:c r="E82" s="15"/>
      <x:c r="F82" s="70" t="str">
        <x:f>IF(OR(B82="",C82="",D82=""),"",SUMIFS('12_Production_Log'!$M:$M,'12_Production_Log'!$B:$B,B82,'12_Production_Log'!$C:$C,C82,'12_Production_Log'!$D:$D,D82))</x:f>
      </x:c>
      <x:c r="G82" s="70" t="str">
        <x:f>IF(OR(B82="",C82="",D82=""),"",SUMIFS('14_Materials_Log'!$I:$I,'14_Materials_Log'!$B:$B,B82,'14_Materials_Log'!$C:$C,C82,'14_Materials_Log'!$D:$D,D82,'14_Materials_Log'!$J:$J,"Yes"))</x:f>
      </x:c>
      <x:c r="H82" s="70" t="str">
        <x:f>IF(OR(B82="",C82="",D82=""),"",SUMIFS('13_Labor_Time'!$L:$L,'13_Labor_Time'!$B:$B,B82,'13_Labor_Time'!$C:$C,C82,'13_Labor_Time'!$D:$D,D82))</x:f>
      </x:c>
      <x:c r="I82" s="70" t="str">
        <x:f>IF(OR(B82="",C82="",D82=""),"",SUMIFS('15_Equipment_Log'!$M:$M,'15_Equipment_Log'!$B:$B,B82,'15_Equipment_Log'!$C:$C,C82,'15_Equipment_Log'!$D:$D,D82))</x:f>
      </x:c>
      <x:c r="J82" s="15"/>
      <x:c r="K82" s="15"/>
      <x:c r="L82" s="15"/>
      <x:c r="M82" s="15"/>
      <x:c r="N82" s="70" t="str">
        <x:f>IF(COUNTA(B82:E82,J82:M82)=0,"",F82+G82-H82-I82)</x:f>
      </x:c>
      <x:c r="O82" s="15" t="str">
        <x:f>IF(COUNTA(B82:E82,J82:M82)=0,"",TEXTJOIN("; ",TRUE,IF(B82="","Missing work date",""),IF(C82="","Missing project",""),IF(D82="","Missing job",""),IF(J82&lt;&gt;"Yes","Backup incomplete",""),IF(K82&lt;&gt;"Yes","Redline incomplete",""),IF(L82&lt;&gt;"Yes","Customer not approved",""),IF(M82&lt;&gt;"Ready","Invoice not ready","")))</x:f>
      </x:c>
    </x:row>
    <x:row r="83" ht="20" customHeight="1">
      <x:c r="A83" s="15"/>
      <x:c r="B83" s="28"/>
      <x:c r="C83" s="15"/>
      <x:c r="D83" s="15"/>
      <x:c r="E83" s="15"/>
      <x:c r="F83" s="70" t="str">
        <x:f>IF(OR(B83="",C83="",D83=""),"",SUMIFS('12_Production_Log'!$M:$M,'12_Production_Log'!$B:$B,B83,'12_Production_Log'!$C:$C,C83,'12_Production_Log'!$D:$D,D83))</x:f>
      </x:c>
      <x:c r="G83" s="70" t="str">
        <x:f>IF(OR(B83="",C83="",D83=""),"",SUMIFS('14_Materials_Log'!$I:$I,'14_Materials_Log'!$B:$B,B83,'14_Materials_Log'!$C:$C,C83,'14_Materials_Log'!$D:$D,D83,'14_Materials_Log'!$J:$J,"Yes"))</x:f>
      </x:c>
      <x:c r="H83" s="70" t="str">
        <x:f>IF(OR(B83="",C83="",D83=""),"",SUMIFS('13_Labor_Time'!$L:$L,'13_Labor_Time'!$B:$B,B83,'13_Labor_Time'!$C:$C,C83,'13_Labor_Time'!$D:$D,D83))</x:f>
      </x:c>
      <x:c r="I83" s="70" t="str">
        <x:f>IF(OR(B83="",C83="",D83=""),"",SUMIFS('15_Equipment_Log'!$M:$M,'15_Equipment_Log'!$B:$B,B83,'15_Equipment_Log'!$C:$C,C83,'15_Equipment_Log'!$D:$D,D83))</x:f>
      </x:c>
      <x:c r="J83" s="15"/>
      <x:c r="K83" s="15"/>
      <x:c r="L83" s="15"/>
      <x:c r="M83" s="15"/>
      <x:c r="N83" s="70" t="str">
        <x:f>IF(COUNTA(B83:E83,J83:M83)=0,"",F83+G83-H83-I83)</x:f>
      </x:c>
      <x:c r="O83" s="15" t="str">
        <x:f>IF(COUNTA(B83:E83,J83:M83)=0,"",TEXTJOIN("; ",TRUE,IF(B83="","Missing work date",""),IF(C83="","Missing project",""),IF(D83="","Missing job",""),IF(J83&lt;&gt;"Yes","Backup incomplete",""),IF(K83&lt;&gt;"Yes","Redline incomplete",""),IF(L83&lt;&gt;"Yes","Customer not approved",""),IF(M83&lt;&gt;"Ready","Invoice not ready","")))</x:f>
      </x:c>
    </x:row>
    <x:row r="84" ht="20" customHeight="1">
      <x:c r="A84" s="15"/>
      <x:c r="B84" s="28"/>
      <x:c r="C84" s="15"/>
      <x:c r="D84" s="15"/>
      <x:c r="E84" s="15"/>
      <x:c r="F84" s="70" t="str">
        <x:f>IF(OR(B84="",C84="",D84=""),"",SUMIFS('12_Production_Log'!$M:$M,'12_Production_Log'!$B:$B,B84,'12_Production_Log'!$C:$C,C84,'12_Production_Log'!$D:$D,D84))</x:f>
      </x:c>
      <x:c r="G84" s="70" t="str">
        <x:f>IF(OR(B84="",C84="",D84=""),"",SUMIFS('14_Materials_Log'!$I:$I,'14_Materials_Log'!$B:$B,B84,'14_Materials_Log'!$C:$C,C84,'14_Materials_Log'!$D:$D,D84,'14_Materials_Log'!$J:$J,"Yes"))</x:f>
      </x:c>
      <x:c r="H84" s="70" t="str">
        <x:f>IF(OR(B84="",C84="",D84=""),"",SUMIFS('13_Labor_Time'!$L:$L,'13_Labor_Time'!$B:$B,B84,'13_Labor_Time'!$C:$C,C84,'13_Labor_Time'!$D:$D,D84))</x:f>
      </x:c>
      <x:c r="I84" s="70" t="str">
        <x:f>IF(OR(B84="",C84="",D84=""),"",SUMIFS('15_Equipment_Log'!$M:$M,'15_Equipment_Log'!$B:$B,B84,'15_Equipment_Log'!$C:$C,C84,'15_Equipment_Log'!$D:$D,D84))</x:f>
      </x:c>
      <x:c r="J84" s="15"/>
      <x:c r="K84" s="15"/>
      <x:c r="L84" s="15"/>
      <x:c r="M84" s="15"/>
      <x:c r="N84" s="70" t="str">
        <x:f>IF(COUNTA(B84:E84,J84:M84)=0,"",F84+G84-H84-I84)</x:f>
      </x:c>
      <x:c r="O84" s="15" t="str">
        <x:f>IF(COUNTA(B84:E84,J84:M84)=0,"",TEXTJOIN("; ",TRUE,IF(B84="","Missing work date",""),IF(C84="","Missing project",""),IF(D84="","Missing job",""),IF(J84&lt;&gt;"Yes","Backup incomplete",""),IF(K84&lt;&gt;"Yes","Redline incomplete",""),IF(L84&lt;&gt;"Yes","Customer not approved",""),IF(M84&lt;&gt;"Ready","Invoice not ready","")))</x:f>
      </x:c>
    </x:row>
    <x:row r="85" ht="20" customHeight="1">
      <x:c r="A85" s="15"/>
      <x:c r="B85" s="28"/>
      <x:c r="C85" s="15"/>
      <x:c r="D85" s="15"/>
      <x:c r="E85" s="15"/>
      <x:c r="F85" s="70" t="str">
        <x:f>IF(OR(B85="",C85="",D85=""),"",SUMIFS('12_Production_Log'!$M:$M,'12_Production_Log'!$B:$B,B85,'12_Production_Log'!$C:$C,C85,'12_Production_Log'!$D:$D,D85))</x:f>
      </x:c>
      <x:c r="G85" s="70" t="str">
        <x:f>IF(OR(B85="",C85="",D85=""),"",SUMIFS('14_Materials_Log'!$I:$I,'14_Materials_Log'!$B:$B,B85,'14_Materials_Log'!$C:$C,C85,'14_Materials_Log'!$D:$D,D85,'14_Materials_Log'!$J:$J,"Yes"))</x:f>
      </x:c>
      <x:c r="H85" s="70" t="str">
        <x:f>IF(OR(B85="",C85="",D85=""),"",SUMIFS('13_Labor_Time'!$L:$L,'13_Labor_Time'!$B:$B,B85,'13_Labor_Time'!$C:$C,C85,'13_Labor_Time'!$D:$D,D85))</x:f>
      </x:c>
      <x:c r="I85" s="70" t="str">
        <x:f>IF(OR(B85="",C85="",D85=""),"",SUMIFS('15_Equipment_Log'!$M:$M,'15_Equipment_Log'!$B:$B,B85,'15_Equipment_Log'!$C:$C,C85,'15_Equipment_Log'!$D:$D,D85))</x:f>
      </x:c>
      <x:c r="J85" s="15"/>
      <x:c r="K85" s="15"/>
      <x:c r="L85" s="15"/>
      <x:c r="M85" s="15"/>
      <x:c r="N85" s="70" t="str">
        <x:f>IF(COUNTA(B85:E85,J85:M85)=0,"",F85+G85-H85-I85)</x:f>
      </x:c>
      <x:c r="O85" s="15" t="str">
        <x:f>IF(COUNTA(B85:E85,J85:M85)=0,"",TEXTJOIN("; ",TRUE,IF(B85="","Missing work date",""),IF(C85="","Missing project",""),IF(D85="","Missing job",""),IF(J85&lt;&gt;"Yes","Backup incomplete",""),IF(K85&lt;&gt;"Yes","Redline incomplete",""),IF(L85&lt;&gt;"Yes","Customer not approved",""),IF(M85&lt;&gt;"Ready","Invoice not ready","")))</x:f>
      </x:c>
    </x:row>
    <x:row r="86" ht="20" customHeight="1">
      <x:c r="A86" s="15"/>
      <x:c r="B86" s="28"/>
      <x:c r="C86" s="15"/>
      <x:c r="D86" s="15"/>
      <x:c r="E86" s="15"/>
      <x:c r="F86" s="70" t="str">
        <x:f>IF(OR(B86="",C86="",D86=""),"",SUMIFS('12_Production_Log'!$M:$M,'12_Production_Log'!$B:$B,B86,'12_Production_Log'!$C:$C,C86,'12_Production_Log'!$D:$D,D86))</x:f>
      </x:c>
      <x:c r="G86" s="70" t="str">
        <x:f>IF(OR(B86="",C86="",D86=""),"",SUMIFS('14_Materials_Log'!$I:$I,'14_Materials_Log'!$B:$B,B86,'14_Materials_Log'!$C:$C,C86,'14_Materials_Log'!$D:$D,D86,'14_Materials_Log'!$J:$J,"Yes"))</x:f>
      </x:c>
      <x:c r="H86" s="70" t="str">
        <x:f>IF(OR(B86="",C86="",D86=""),"",SUMIFS('13_Labor_Time'!$L:$L,'13_Labor_Time'!$B:$B,B86,'13_Labor_Time'!$C:$C,C86,'13_Labor_Time'!$D:$D,D86))</x:f>
      </x:c>
      <x:c r="I86" s="70" t="str">
        <x:f>IF(OR(B86="",C86="",D86=""),"",SUMIFS('15_Equipment_Log'!$M:$M,'15_Equipment_Log'!$B:$B,B86,'15_Equipment_Log'!$C:$C,C86,'15_Equipment_Log'!$D:$D,D86))</x:f>
      </x:c>
      <x:c r="J86" s="15"/>
      <x:c r="K86" s="15"/>
      <x:c r="L86" s="15"/>
      <x:c r="M86" s="15"/>
      <x:c r="N86" s="70" t="str">
        <x:f>IF(COUNTA(B86:E86,J86:M86)=0,"",F86+G86-H86-I86)</x:f>
      </x:c>
      <x:c r="O86" s="15" t="str">
        <x:f>IF(COUNTA(B86:E86,J86:M86)=0,"",TEXTJOIN("; ",TRUE,IF(B86="","Missing work date",""),IF(C86="","Missing project",""),IF(D86="","Missing job",""),IF(J86&lt;&gt;"Yes","Backup incomplete",""),IF(K86&lt;&gt;"Yes","Redline incomplete",""),IF(L86&lt;&gt;"Yes","Customer not approved",""),IF(M86&lt;&gt;"Ready","Invoice not ready","")))</x:f>
      </x:c>
    </x:row>
    <x:row r="87" ht="20" customHeight="1">
      <x:c r="A87" s="15"/>
      <x:c r="B87" s="28"/>
      <x:c r="C87" s="15"/>
      <x:c r="D87" s="15"/>
      <x:c r="E87" s="15"/>
      <x:c r="F87" s="70" t="str">
        <x:f>IF(OR(B87="",C87="",D87=""),"",SUMIFS('12_Production_Log'!$M:$M,'12_Production_Log'!$B:$B,B87,'12_Production_Log'!$C:$C,C87,'12_Production_Log'!$D:$D,D87))</x:f>
      </x:c>
      <x:c r="G87" s="70" t="str">
        <x:f>IF(OR(B87="",C87="",D87=""),"",SUMIFS('14_Materials_Log'!$I:$I,'14_Materials_Log'!$B:$B,B87,'14_Materials_Log'!$C:$C,C87,'14_Materials_Log'!$D:$D,D87,'14_Materials_Log'!$J:$J,"Yes"))</x:f>
      </x:c>
      <x:c r="H87" s="70" t="str">
        <x:f>IF(OR(B87="",C87="",D87=""),"",SUMIFS('13_Labor_Time'!$L:$L,'13_Labor_Time'!$B:$B,B87,'13_Labor_Time'!$C:$C,C87,'13_Labor_Time'!$D:$D,D87))</x:f>
      </x:c>
      <x:c r="I87" s="70" t="str">
        <x:f>IF(OR(B87="",C87="",D87=""),"",SUMIFS('15_Equipment_Log'!$M:$M,'15_Equipment_Log'!$B:$B,B87,'15_Equipment_Log'!$C:$C,C87,'15_Equipment_Log'!$D:$D,D87))</x:f>
      </x:c>
      <x:c r="J87" s="15"/>
      <x:c r="K87" s="15"/>
      <x:c r="L87" s="15"/>
      <x:c r="M87" s="15"/>
      <x:c r="N87" s="70" t="str">
        <x:f>IF(COUNTA(B87:E87,J87:M87)=0,"",F87+G87-H87-I87)</x:f>
      </x:c>
      <x:c r="O87" s="15" t="str">
        <x:f>IF(COUNTA(B87:E87,J87:M87)=0,"",TEXTJOIN("; ",TRUE,IF(B87="","Missing work date",""),IF(C87="","Missing project",""),IF(D87="","Missing job",""),IF(J87&lt;&gt;"Yes","Backup incomplete",""),IF(K87&lt;&gt;"Yes","Redline incomplete",""),IF(L87&lt;&gt;"Yes","Customer not approved",""),IF(M87&lt;&gt;"Ready","Invoice not ready","")))</x:f>
      </x:c>
    </x:row>
    <x:row r="88" ht="20" customHeight="1">
      <x:c r="A88" s="15"/>
      <x:c r="B88" s="28"/>
      <x:c r="C88" s="15"/>
      <x:c r="D88" s="15"/>
      <x:c r="E88" s="15"/>
      <x:c r="F88" s="70" t="str">
        <x:f>IF(OR(B88="",C88="",D88=""),"",SUMIFS('12_Production_Log'!$M:$M,'12_Production_Log'!$B:$B,B88,'12_Production_Log'!$C:$C,C88,'12_Production_Log'!$D:$D,D88))</x:f>
      </x:c>
      <x:c r="G88" s="70" t="str">
        <x:f>IF(OR(B88="",C88="",D88=""),"",SUMIFS('14_Materials_Log'!$I:$I,'14_Materials_Log'!$B:$B,B88,'14_Materials_Log'!$C:$C,C88,'14_Materials_Log'!$D:$D,D88,'14_Materials_Log'!$J:$J,"Yes"))</x:f>
      </x:c>
      <x:c r="H88" s="70" t="str">
        <x:f>IF(OR(B88="",C88="",D88=""),"",SUMIFS('13_Labor_Time'!$L:$L,'13_Labor_Time'!$B:$B,B88,'13_Labor_Time'!$C:$C,C88,'13_Labor_Time'!$D:$D,D88))</x:f>
      </x:c>
      <x:c r="I88" s="70" t="str">
        <x:f>IF(OR(B88="",C88="",D88=""),"",SUMIFS('15_Equipment_Log'!$M:$M,'15_Equipment_Log'!$B:$B,B88,'15_Equipment_Log'!$C:$C,C88,'15_Equipment_Log'!$D:$D,D88))</x:f>
      </x:c>
      <x:c r="J88" s="15"/>
      <x:c r="K88" s="15"/>
      <x:c r="L88" s="15"/>
      <x:c r="M88" s="15"/>
      <x:c r="N88" s="70" t="str">
        <x:f>IF(COUNTA(B88:E88,J88:M88)=0,"",F88+G88-H88-I88)</x:f>
      </x:c>
      <x:c r="O88" s="15" t="str">
        <x:f>IF(COUNTA(B88:E88,J88:M88)=0,"",TEXTJOIN("; ",TRUE,IF(B88="","Missing work date",""),IF(C88="","Missing project",""),IF(D88="","Missing job",""),IF(J88&lt;&gt;"Yes","Backup incomplete",""),IF(K88&lt;&gt;"Yes","Redline incomplete",""),IF(L88&lt;&gt;"Yes","Customer not approved",""),IF(M88&lt;&gt;"Ready","Invoice not ready","")))</x:f>
      </x:c>
    </x:row>
    <x:row r="89" ht="20" customHeight="1">
      <x:c r="A89" s="15"/>
      <x:c r="B89" s="28"/>
      <x:c r="C89" s="15"/>
      <x:c r="D89" s="15"/>
      <x:c r="E89" s="15"/>
      <x:c r="F89" s="70" t="str">
        <x:f>IF(OR(B89="",C89="",D89=""),"",SUMIFS('12_Production_Log'!$M:$M,'12_Production_Log'!$B:$B,B89,'12_Production_Log'!$C:$C,C89,'12_Production_Log'!$D:$D,D89))</x:f>
      </x:c>
      <x:c r="G89" s="70" t="str">
        <x:f>IF(OR(B89="",C89="",D89=""),"",SUMIFS('14_Materials_Log'!$I:$I,'14_Materials_Log'!$B:$B,B89,'14_Materials_Log'!$C:$C,C89,'14_Materials_Log'!$D:$D,D89,'14_Materials_Log'!$J:$J,"Yes"))</x:f>
      </x:c>
      <x:c r="H89" s="70" t="str">
        <x:f>IF(OR(B89="",C89="",D89=""),"",SUMIFS('13_Labor_Time'!$L:$L,'13_Labor_Time'!$B:$B,B89,'13_Labor_Time'!$C:$C,C89,'13_Labor_Time'!$D:$D,D89))</x:f>
      </x:c>
      <x:c r="I89" s="70" t="str">
        <x:f>IF(OR(B89="",C89="",D89=""),"",SUMIFS('15_Equipment_Log'!$M:$M,'15_Equipment_Log'!$B:$B,B89,'15_Equipment_Log'!$C:$C,C89,'15_Equipment_Log'!$D:$D,D89))</x:f>
      </x:c>
      <x:c r="J89" s="15"/>
      <x:c r="K89" s="15"/>
      <x:c r="L89" s="15"/>
      <x:c r="M89" s="15"/>
      <x:c r="N89" s="70" t="str">
        <x:f>IF(COUNTA(B89:E89,J89:M89)=0,"",F89+G89-H89-I89)</x:f>
      </x:c>
      <x:c r="O89" s="15" t="str">
        <x:f>IF(COUNTA(B89:E89,J89:M89)=0,"",TEXTJOIN("; ",TRUE,IF(B89="","Missing work date",""),IF(C89="","Missing project",""),IF(D89="","Missing job",""),IF(J89&lt;&gt;"Yes","Backup incomplete",""),IF(K89&lt;&gt;"Yes","Redline incomplete",""),IF(L89&lt;&gt;"Yes","Customer not approved",""),IF(M89&lt;&gt;"Ready","Invoice not ready","")))</x:f>
      </x:c>
    </x:row>
    <x:row r="90" ht="20" customHeight="1">
      <x:c r="A90" s="15"/>
      <x:c r="B90" s="28"/>
      <x:c r="C90" s="15"/>
      <x:c r="D90" s="15"/>
      <x:c r="E90" s="15"/>
      <x:c r="F90" s="70" t="str">
        <x:f>IF(OR(B90="",C90="",D90=""),"",SUMIFS('12_Production_Log'!$M:$M,'12_Production_Log'!$B:$B,B90,'12_Production_Log'!$C:$C,C90,'12_Production_Log'!$D:$D,D90))</x:f>
      </x:c>
      <x:c r="G90" s="70" t="str">
        <x:f>IF(OR(B90="",C90="",D90=""),"",SUMIFS('14_Materials_Log'!$I:$I,'14_Materials_Log'!$B:$B,B90,'14_Materials_Log'!$C:$C,C90,'14_Materials_Log'!$D:$D,D90,'14_Materials_Log'!$J:$J,"Yes"))</x:f>
      </x:c>
      <x:c r="H90" s="70" t="str">
        <x:f>IF(OR(B90="",C90="",D90=""),"",SUMIFS('13_Labor_Time'!$L:$L,'13_Labor_Time'!$B:$B,B90,'13_Labor_Time'!$C:$C,C90,'13_Labor_Time'!$D:$D,D90))</x:f>
      </x:c>
      <x:c r="I90" s="70" t="str">
        <x:f>IF(OR(B90="",C90="",D90=""),"",SUMIFS('15_Equipment_Log'!$M:$M,'15_Equipment_Log'!$B:$B,B90,'15_Equipment_Log'!$C:$C,C90,'15_Equipment_Log'!$D:$D,D90))</x:f>
      </x:c>
      <x:c r="J90" s="15"/>
      <x:c r="K90" s="15"/>
      <x:c r="L90" s="15"/>
      <x:c r="M90" s="15"/>
      <x:c r="N90" s="70" t="str">
        <x:f>IF(COUNTA(B90:E90,J90:M90)=0,"",F90+G90-H90-I90)</x:f>
      </x:c>
      <x:c r="O90" s="15" t="str">
        <x:f>IF(COUNTA(B90:E90,J90:M90)=0,"",TEXTJOIN("; ",TRUE,IF(B90="","Missing work date",""),IF(C90="","Missing project",""),IF(D90="","Missing job",""),IF(J90&lt;&gt;"Yes","Backup incomplete",""),IF(K90&lt;&gt;"Yes","Redline incomplete",""),IF(L90&lt;&gt;"Yes","Customer not approved",""),IF(M90&lt;&gt;"Ready","Invoice not ready","")))</x:f>
      </x:c>
    </x:row>
    <x:row r="91" ht="20" customHeight="1">
      <x:c r="A91" s="15"/>
      <x:c r="B91" s="28"/>
      <x:c r="C91" s="15"/>
      <x:c r="D91" s="15"/>
      <x:c r="E91" s="15"/>
      <x:c r="F91" s="70" t="str">
        <x:f>IF(OR(B91="",C91="",D91=""),"",SUMIFS('12_Production_Log'!$M:$M,'12_Production_Log'!$B:$B,B91,'12_Production_Log'!$C:$C,C91,'12_Production_Log'!$D:$D,D91))</x:f>
      </x:c>
      <x:c r="G91" s="70" t="str">
        <x:f>IF(OR(B91="",C91="",D91=""),"",SUMIFS('14_Materials_Log'!$I:$I,'14_Materials_Log'!$B:$B,B91,'14_Materials_Log'!$C:$C,C91,'14_Materials_Log'!$D:$D,D91,'14_Materials_Log'!$J:$J,"Yes"))</x:f>
      </x:c>
      <x:c r="H91" s="70" t="str">
        <x:f>IF(OR(B91="",C91="",D91=""),"",SUMIFS('13_Labor_Time'!$L:$L,'13_Labor_Time'!$B:$B,B91,'13_Labor_Time'!$C:$C,C91,'13_Labor_Time'!$D:$D,D91))</x:f>
      </x:c>
      <x:c r="I91" s="70" t="str">
        <x:f>IF(OR(B91="",C91="",D91=""),"",SUMIFS('15_Equipment_Log'!$M:$M,'15_Equipment_Log'!$B:$B,B91,'15_Equipment_Log'!$C:$C,C91,'15_Equipment_Log'!$D:$D,D91))</x:f>
      </x:c>
      <x:c r="J91" s="15"/>
      <x:c r="K91" s="15"/>
      <x:c r="L91" s="15"/>
      <x:c r="M91" s="15"/>
      <x:c r="N91" s="70" t="str">
        <x:f>IF(COUNTA(B91:E91,J91:M91)=0,"",F91+G91-H91-I91)</x:f>
      </x:c>
      <x:c r="O91" s="15" t="str">
        <x:f>IF(COUNTA(B91:E91,J91:M91)=0,"",TEXTJOIN("; ",TRUE,IF(B91="","Missing work date",""),IF(C91="","Missing project",""),IF(D91="","Missing job",""),IF(J91&lt;&gt;"Yes","Backup incomplete",""),IF(K91&lt;&gt;"Yes","Redline incomplete",""),IF(L91&lt;&gt;"Yes","Customer not approved",""),IF(M91&lt;&gt;"Ready","Invoice not ready","")))</x:f>
      </x:c>
    </x:row>
    <x:row r="92" ht="20" customHeight="1">
      <x:c r="A92" s="15"/>
      <x:c r="B92" s="28"/>
      <x:c r="C92" s="15"/>
      <x:c r="D92" s="15"/>
      <x:c r="E92" s="15"/>
      <x:c r="F92" s="70" t="str">
        <x:f>IF(OR(B92="",C92="",D92=""),"",SUMIFS('12_Production_Log'!$M:$M,'12_Production_Log'!$B:$B,B92,'12_Production_Log'!$C:$C,C92,'12_Production_Log'!$D:$D,D92))</x:f>
      </x:c>
      <x:c r="G92" s="70" t="str">
        <x:f>IF(OR(B92="",C92="",D92=""),"",SUMIFS('14_Materials_Log'!$I:$I,'14_Materials_Log'!$B:$B,B92,'14_Materials_Log'!$C:$C,C92,'14_Materials_Log'!$D:$D,D92,'14_Materials_Log'!$J:$J,"Yes"))</x:f>
      </x:c>
      <x:c r="H92" s="70" t="str">
        <x:f>IF(OR(B92="",C92="",D92=""),"",SUMIFS('13_Labor_Time'!$L:$L,'13_Labor_Time'!$B:$B,B92,'13_Labor_Time'!$C:$C,C92,'13_Labor_Time'!$D:$D,D92))</x:f>
      </x:c>
      <x:c r="I92" s="70" t="str">
        <x:f>IF(OR(B92="",C92="",D92=""),"",SUMIFS('15_Equipment_Log'!$M:$M,'15_Equipment_Log'!$B:$B,B92,'15_Equipment_Log'!$C:$C,C92,'15_Equipment_Log'!$D:$D,D92))</x:f>
      </x:c>
      <x:c r="J92" s="15"/>
      <x:c r="K92" s="15"/>
      <x:c r="L92" s="15"/>
      <x:c r="M92" s="15"/>
      <x:c r="N92" s="70" t="str">
        <x:f>IF(COUNTA(B92:E92,J92:M92)=0,"",F92+G92-H92-I92)</x:f>
      </x:c>
      <x:c r="O92" s="15" t="str">
        <x:f>IF(COUNTA(B92:E92,J92:M92)=0,"",TEXTJOIN("; ",TRUE,IF(B92="","Missing work date",""),IF(C92="","Missing project",""),IF(D92="","Missing job",""),IF(J92&lt;&gt;"Yes","Backup incomplete",""),IF(K92&lt;&gt;"Yes","Redline incomplete",""),IF(L92&lt;&gt;"Yes","Customer not approved",""),IF(M92&lt;&gt;"Ready","Invoice not ready","")))</x:f>
      </x:c>
    </x:row>
    <x:row r="93" ht="20" customHeight="1">
      <x:c r="A93" s="15"/>
      <x:c r="B93" s="28"/>
      <x:c r="C93" s="15"/>
      <x:c r="D93" s="15"/>
      <x:c r="E93" s="15"/>
      <x:c r="F93" s="70" t="str">
        <x:f>IF(OR(B93="",C93="",D93=""),"",SUMIFS('12_Production_Log'!$M:$M,'12_Production_Log'!$B:$B,B93,'12_Production_Log'!$C:$C,C93,'12_Production_Log'!$D:$D,D93))</x:f>
      </x:c>
      <x:c r="G93" s="70" t="str">
        <x:f>IF(OR(B93="",C93="",D93=""),"",SUMIFS('14_Materials_Log'!$I:$I,'14_Materials_Log'!$B:$B,B93,'14_Materials_Log'!$C:$C,C93,'14_Materials_Log'!$D:$D,D93,'14_Materials_Log'!$J:$J,"Yes"))</x:f>
      </x:c>
      <x:c r="H93" s="70" t="str">
        <x:f>IF(OR(B93="",C93="",D93=""),"",SUMIFS('13_Labor_Time'!$L:$L,'13_Labor_Time'!$B:$B,B93,'13_Labor_Time'!$C:$C,C93,'13_Labor_Time'!$D:$D,D93))</x:f>
      </x:c>
      <x:c r="I93" s="70" t="str">
        <x:f>IF(OR(B93="",C93="",D93=""),"",SUMIFS('15_Equipment_Log'!$M:$M,'15_Equipment_Log'!$B:$B,B93,'15_Equipment_Log'!$C:$C,C93,'15_Equipment_Log'!$D:$D,D93))</x:f>
      </x:c>
      <x:c r="J93" s="15"/>
      <x:c r="K93" s="15"/>
      <x:c r="L93" s="15"/>
      <x:c r="M93" s="15"/>
      <x:c r="N93" s="70" t="str">
        <x:f>IF(COUNTA(B93:E93,J93:M93)=0,"",F93+G93-H93-I93)</x:f>
      </x:c>
      <x:c r="O93" s="15" t="str">
        <x:f>IF(COUNTA(B93:E93,J93:M93)=0,"",TEXTJOIN("; ",TRUE,IF(B93="","Missing work date",""),IF(C93="","Missing project",""),IF(D93="","Missing job",""),IF(J93&lt;&gt;"Yes","Backup incomplete",""),IF(K93&lt;&gt;"Yes","Redline incomplete",""),IF(L93&lt;&gt;"Yes","Customer not approved",""),IF(M93&lt;&gt;"Ready","Invoice not ready","")))</x:f>
      </x:c>
    </x:row>
    <x:row r="94" ht="20" customHeight="1">
      <x:c r="A94" s="15"/>
      <x:c r="B94" s="28"/>
      <x:c r="C94" s="15"/>
      <x:c r="D94" s="15"/>
      <x:c r="E94" s="15"/>
      <x:c r="F94" s="70" t="str">
        <x:f>IF(OR(B94="",C94="",D94=""),"",SUMIFS('12_Production_Log'!$M:$M,'12_Production_Log'!$B:$B,B94,'12_Production_Log'!$C:$C,C94,'12_Production_Log'!$D:$D,D94))</x:f>
      </x:c>
      <x:c r="G94" s="70" t="str">
        <x:f>IF(OR(B94="",C94="",D94=""),"",SUMIFS('14_Materials_Log'!$I:$I,'14_Materials_Log'!$B:$B,B94,'14_Materials_Log'!$C:$C,C94,'14_Materials_Log'!$D:$D,D94,'14_Materials_Log'!$J:$J,"Yes"))</x:f>
      </x:c>
      <x:c r="H94" s="70" t="str">
        <x:f>IF(OR(B94="",C94="",D94=""),"",SUMIFS('13_Labor_Time'!$L:$L,'13_Labor_Time'!$B:$B,B94,'13_Labor_Time'!$C:$C,C94,'13_Labor_Time'!$D:$D,D94))</x:f>
      </x:c>
      <x:c r="I94" s="70" t="str">
        <x:f>IF(OR(B94="",C94="",D94=""),"",SUMIFS('15_Equipment_Log'!$M:$M,'15_Equipment_Log'!$B:$B,B94,'15_Equipment_Log'!$C:$C,C94,'15_Equipment_Log'!$D:$D,D94))</x:f>
      </x:c>
      <x:c r="J94" s="15"/>
      <x:c r="K94" s="15"/>
      <x:c r="L94" s="15"/>
      <x:c r="M94" s="15"/>
      <x:c r="N94" s="70" t="str">
        <x:f>IF(COUNTA(B94:E94,J94:M94)=0,"",F94+G94-H94-I94)</x:f>
      </x:c>
      <x:c r="O94" s="15" t="str">
        <x:f>IF(COUNTA(B94:E94,J94:M94)=0,"",TEXTJOIN("; ",TRUE,IF(B94="","Missing work date",""),IF(C94="","Missing project",""),IF(D94="","Missing job",""),IF(J94&lt;&gt;"Yes","Backup incomplete",""),IF(K94&lt;&gt;"Yes","Redline incomplete",""),IF(L94&lt;&gt;"Yes","Customer not approved",""),IF(M94&lt;&gt;"Ready","Invoice not ready","")))</x:f>
      </x:c>
    </x:row>
    <x:row r="95" ht="20" customHeight="1">
      <x:c r="A95" s="15"/>
      <x:c r="B95" s="28"/>
      <x:c r="C95" s="15"/>
      <x:c r="D95" s="15"/>
      <x:c r="E95" s="15"/>
      <x:c r="F95" s="70" t="str">
        <x:f>IF(OR(B95="",C95="",D95=""),"",SUMIFS('12_Production_Log'!$M:$M,'12_Production_Log'!$B:$B,B95,'12_Production_Log'!$C:$C,C95,'12_Production_Log'!$D:$D,D95))</x:f>
      </x:c>
      <x:c r="G95" s="70" t="str">
        <x:f>IF(OR(B95="",C95="",D95=""),"",SUMIFS('14_Materials_Log'!$I:$I,'14_Materials_Log'!$B:$B,B95,'14_Materials_Log'!$C:$C,C95,'14_Materials_Log'!$D:$D,D95,'14_Materials_Log'!$J:$J,"Yes"))</x:f>
      </x:c>
      <x:c r="H95" s="70" t="str">
        <x:f>IF(OR(B95="",C95="",D95=""),"",SUMIFS('13_Labor_Time'!$L:$L,'13_Labor_Time'!$B:$B,B95,'13_Labor_Time'!$C:$C,C95,'13_Labor_Time'!$D:$D,D95))</x:f>
      </x:c>
      <x:c r="I95" s="70" t="str">
        <x:f>IF(OR(B95="",C95="",D95=""),"",SUMIFS('15_Equipment_Log'!$M:$M,'15_Equipment_Log'!$B:$B,B95,'15_Equipment_Log'!$C:$C,C95,'15_Equipment_Log'!$D:$D,D95))</x:f>
      </x:c>
      <x:c r="J95" s="15"/>
      <x:c r="K95" s="15"/>
      <x:c r="L95" s="15"/>
      <x:c r="M95" s="15"/>
      <x:c r="N95" s="70" t="str">
        <x:f>IF(COUNTA(B95:E95,J95:M95)=0,"",F95+G95-H95-I95)</x:f>
      </x:c>
      <x:c r="O95" s="15" t="str">
        <x:f>IF(COUNTA(B95:E95,J95:M95)=0,"",TEXTJOIN("; ",TRUE,IF(B95="","Missing work date",""),IF(C95="","Missing project",""),IF(D95="","Missing job",""),IF(J95&lt;&gt;"Yes","Backup incomplete",""),IF(K95&lt;&gt;"Yes","Redline incomplete",""),IF(L95&lt;&gt;"Yes","Customer not approved",""),IF(M95&lt;&gt;"Ready","Invoice not ready","")))</x:f>
      </x:c>
    </x:row>
    <x:row r="96" ht="20" customHeight="1">
      <x:c r="A96" s="15"/>
      <x:c r="B96" s="28"/>
      <x:c r="C96" s="15"/>
      <x:c r="D96" s="15"/>
      <x:c r="E96" s="15"/>
      <x:c r="F96" s="70" t="str">
        <x:f>IF(OR(B96="",C96="",D96=""),"",SUMIFS('12_Production_Log'!$M:$M,'12_Production_Log'!$B:$B,B96,'12_Production_Log'!$C:$C,C96,'12_Production_Log'!$D:$D,D96))</x:f>
      </x:c>
      <x:c r="G96" s="70" t="str">
        <x:f>IF(OR(B96="",C96="",D96=""),"",SUMIFS('14_Materials_Log'!$I:$I,'14_Materials_Log'!$B:$B,B96,'14_Materials_Log'!$C:$C,C96,'14_Materials_Log'!$D:$D,D96,'14_Materials_Log'!$J:$J,"Yes"))</x:f>
      </x:c>
      <x:c r="H96" s="70" t="str">
        <x:f>IF(OR(B96="",C96="",D96=""),"",SUMIFS('13_Labor_Time'!$L:$L,'13_Labor_Time'!$B:$B,B96,'13_Labor_Time'!$C:$C,C96,'13_Labor_Time'!$D:$D,D96))</x:f>
      </x:c>
      <x:c r="I96" s="70" t="str">
        <x:f>IF(OR(B96="",C96="",D96=""),"",SUMIFS('15_Equipment_Log'!$M:$M,'15_Equipment_Log'!$B:$B,B96,'15_Equipment_Log'!$C:$C,C96,'15_Equipment_Log'!$D:$D,D96))</x:f>
      </x:c>
      <x:c r="J96" s="15"/>
      <x:c r="K96" s="15"/>
      <x:c r="L96" s="15"/>
      <x:c r="M96" s="15"/>
      <x:c r="N96" s="70" t="str">
        <x:f>IF(COUNTA(B96:E96,J96:M96)=0,"",F96+G96-H96-I96)</x:f>
      </x:c>
      <x:c r="O96" s="15" t="str">
        <x:f>IF(COUNTA(B96:E96,J96:M96)=0,"",TEXTJOIN("; ",TRUE,IF(B96="","Missing work date",""),IF(C96="","Missing project",""),IF(D96="","Missing job",""),IF(J96&lt;&gt;"Yes","Backup incomplete",""),IF(K96&lt;&gt;"Yes","Redline incomplete",""),IF(L96&lt;&gt;"Yes","Customer not approved",""),IF(M96&lt;&gt;"Ready","Invoice not ready","")))</x:f>
      </x:c>
    </x:row>
    <x:row r="97" ht="20" customHeight="1">
      <x:c r="A97" s="15"/>
      <x:c r="B97" s="28"/>
      <x:c r="C97" s="15"/>
      <x:c r="D97" s="15"/>
      <x:c r="E97" s="15"/>
      <x:c r="F97" s="70" t="str">
        <x:f>IF(OR(B97="",C97="",D97=""),"",SUMIFS('12_Production_Log'!$M:$M,'12_Production_Log'!$B:$B,B97,'12_Production_Log'!$C:$C,C97,'12_Production_Log'!$D:$D,D97))</x:f>
      </x:c>
      <x:c r="G97" s="70" t="str">
        <x:f>IF(OR(B97="",C97="",D97=""),"",SUMIFS('14_Materials_Log'!$I:$I,'14_Materials_Log'!$B:$B,B97,'14_Materials_Log'!$C:$C,C97,'14_Materials_Log'!$D:$D,D97,'14_Materials_Log'!$J:$J,"Yes"))</x:f>
      </x:c>
      <x:c r="H97" s="70" t="str">
        <x:f>IF(OR(B97="",C97="",D97=""),"",SUMIFS('13_Labor_Time'!$L:$L,'13_Labor_Time'!$B:$B,B97,'13_Labor_Time'!$C:$C,C97,'13_Labor_Time'!$D:$D,D97))</x:f>
      </x:c>
      <x:c r="I97" s="70" t="str">
        <x:f>IF(OR(B97="",C97="",D97=""),"",SUMIFS('15_Equipment_Log'!$M:$M,'15_Equipment_Log'!$B:$B,B97,'15_Equipment_Log'!$C:$C,C97,'15_Equipment_Log'!$D:$D,D97))</x:f>
      </x:c>
      <x:c r="J97" s="15"/>
      <x:c r="K97" s="15"/>
      <x:c r="L97" s="15"/>
      <x:c r="M97" s="15"/>
      <x:c r="N97" s="70" t="str">
        <x:f>IF(COUNTA(B97:E97,J97:M97)=0,"",F97+G97-H97-I97)</x:f>
      </x:c>
      <x:c r="O97" s="15" t="str">
        <x:f>IF(COUNTA(B97:E97,J97:M97)=0,"",TEXTJOIN("; ",TRUE,IF(B97="","Missing work date",""),IF(C97="","Missing project",""),IF(D97="","Missing job",""),IF(J97&lt;&gt;"Yes","Backup incomplete",""),IF(K97&lt;&gt;"Yes","Redline incomplete",""),IF(L97&lt;&gt;"Yes","Customer not approved",""),IF(M97&lt;&gt;"Ready","Invoice not ready","")))</x:f>
      </x:c>
    </x:row>
    <x:row r="98" ht="20" customHeight="1">
      <x:c r="A98" s="15"/>
      <x:c r="B98" s="28"/>
      <x:c r="C98" s="15"/>
      <x:c r="D98" s="15"/>
      <x:c r="E98" s="15"/>
      <x:c r="F98" s="70" t="str">
        <x:f>IF(OR(B98="",C98="",D98=""),"",SUMIFS('12_Production_Log'!$M:$M,'12_Production_Log'!$B:$B,B98,'12_Production_Log'!$C:$C,C98,'12_Production_Log'!$D:$D,D98))</x:f>
      </x:c>
      <x:c r="G98" s="70" t="str">
        <x:f>IF(OR(B98="",C98="",D98=""),"",SUMIFS('14_Materials_Log'!$I:$I,'14_Materials_Log'!$B:$B,B98,'14_Materials_Log'!$C:$C,C98,'14_Materials_Log'!$D:$D,D98,'14_Materials_Log'!$J:$J,"Yes"))</x:f>
      </x:c>
      <x:c r="H98" s="70" t="str">
        <x:f>IF(OR(B98="",C98="",D98=""),"",SUMIFS('13_Labor_Time'!$L:$L,'13_Labor_Time'!$B:$B,B98,'13_Labor_Time'!$C:$C,C98,'13_Labor_Time'!$D:$D,D98))</x:f>
      </x:c>
      <x:c r="I98" s="70" t="str">
        <x:f>IF(OR(B98="",C98="",D98=""),"",SUMIFS('15_Equipment_Log'!$M:$M,'15_Equipment_Log'!$B:$B,B98,'15_Equipment_Log'!$C:$C,C98,'15_Equipment_Log'!$D:$D,D98))</x:f>
      </x:c>
      <x:c r="J98" s="15"/>
      <x:c r="K98" s="15"/>
      <x:c r="L98" s="15"/>
      <x:c r="M98" s="15"/>
      <x:c r="N98" s="70" t="str">
        <x:f>IF(COUNTA(B98:E98,J98:M98)=0,"",F98+G98-H98-I98)</x:f>
      </x:c>
      <x:c r="O98" s="15" t="str">
        <x:f>IF(COUNTA(B98:E98,J98:M98)=0,"",TEXTJOIN("; ",TRUE,IF(B98="","Missing work date",""),IF(C98="","Missing project",""),IF(D98="","Missing job",""),IF(J98&lt;&gt;"Yes","Backup incomplete",""),IF(K98&lt;&gt;"Yes","Redline incomplete",""),IF(L98&lt;&gt;"Yes","Customer not approved",""),IF(M98&lt;&gt;"Ready","Invoice not ready","")))</x:f>
      </x:c>
    </x:row>
    <x:row r="99" ht="20" customHeight="1">
      <x:c r="A99" s="15"/>
      <x:c r="B99" s="28"/>
      <x:c r="C99" s="15"/>
      <x:c r="D99" s="15"/>
      <x:c r="E99" s="15"/>
      <x:c r="F99" s="70" t="str">
        <x:f>IF(OR(B99="",C99="",D99=""),"",SUMIFS('12_Production_Log'!$M:$M,'12_Production_Log'!$B:$B,B99,'12_Production_Log'!$C:$C,C99,'12_Production_Log'!$D:$D,D99))</x:f>
      </x:c>
      <x:c r="G99" s="70" t="str">
        <x:f>IF(OR(B99="",C99="",D99=""),"",SUMIFS('14_Materials_Log'!$I:$I,'14_Materials_Log'!$B:$B,B99,'14_Materials_Log'!$C:$C,C99,'14_Materials_Log'!$D:$D,D99,'14_Materials_Log'!$J:$J,"Yes"))</x:f>
      </x:c>
      <x:c r="H99" s="70" t="str">
        <x:f>IF(OR(B99="",C99="",D99=""),"",SUMIFS('13_Labor_Time'!$L:$L,'13_Labor_Time'!$B:$B,B99,'13_Labor_Time'!$C:$C,C99,'13_Labor_Time'!$D:$D,D99))</x:f>
      </x:c>
      <x:c r="I99" s="70" t="str">
        <x:f>IF(OR(B99="",C99="",D99=""),"",SUMIFS('15_Equipment_Log'!$M:$M,'15_Equipment_Log'!$B:$B,B99,'15_Equipment_Log'!$C:$C,C99,'15_Equipment_Log'!$D:$D,D99))</x:f>
      </x:c>
      <x:c r="J99" s="15"/>
      <x:c r="K99" s="15"/>
      <x:c r="L99" s="15"/>
      <x:c r="M99" s="15"/>
      <x:c r="N99" s="70" t="str">
        <x:f>IF(COUNTA(B99:E99,J99:M99)=0,"",F99+G99-H99-I99)</x:f>
      </x:c>
      <x:c r="O99" s="15" t="str">
        <x:f>IF(COUNTA(B99:E99,J99:M99)=0,"",TEXTJOIN("; ",TRUE,IF(B99="","Missing work date",""),IF(C99="","Missing project",""),IF(D99="","Missing job",""),IF(J99&lt;&gt;"Yes","Backup incomplete",""),IF(K99&lt;&gt;"Yes","Redline incomplete",""),IF(L99&lt;&gt;"Yes","Customer not approved",""),IF(M99&lt;&gt;"Ready","Invoice not ready","")))</x:f>
      </x:c>
    </x:row>
    <x:row r="100" ht="20" customHeight="1">
      <x:c r="A100" s="15"/>
      <x:c r="B100" s="28"/>
      <x:c r="C100" s="15"/>
      <x:c r="D100" s="15"/>
      <x:c r="E100" s="15"/>
      <x:c r="F100" s="70" t="str">
        <x:f>IF(OR(B100="",C100="",D100=""),"",SUMIFS('12_Production_Log'!$M:$M,'12_Production_Log'!$B:$B,B100,'12_Production_Log'!$C:$C,C100,'12_Production_Log'!$D:$D,D100))</x:f>
      </x:c>
      <x:c r="G100" s="70" t="str">
        <x:f>IF(OR(B100="",C100="",D100=""),"",SUMIFS('14_Materials_Log'!$I:$I,'14_Materials_Log'!$B:$B,B100,'14_Materials_Log'!$C:$C,C100,'14_Materials_Log'!$D:$D,D100,'14_Materials_Log'!$J:$J,"Yes"))</x:f>
      </x:c>
      <x:c r="H100" s="70" t="str">
        <x:f>IF(OR(B100="",C100="",D100=""),"",SUMIFS('13_Labor_Time'!$L:$L,'13_Labor_Time'!$B:$B,B100,'13_Labor_Time'!$C:$C,C100,'13_Labor_Time'!$D:$D,D100))</x:f>
      </x:c>
      <x:c r="I100" s="70" t="str">
        <x:f>IF(OR(B100="",C100="",D100=""),"",SUMIFS('15_Equipment_Log'!$M:$M,'15_Equipment_Log'!$B:$B,B100,'15_Equipment_Log'!$C:$C,C100,'15_Equipment_Log'!$D:$D,D100))</x:f>
      </x:c>
      <x:c r="J100" s="15"/>
      <x:c r="K100" s="15"/>
      <x:c r="L100" s="15"/>
      <x:c r="M100" s="15"/>
      <x:c r="N100" s="70" t="str">
        <x:f>IF(COUNTA(B100:E100,J100:M100)=0,"",F100+G100-H100-I100)</x:f>
      </x:c>
      <x:c r="O100" s="15" t="str">
        <x:f>IF(COUNTA(B100:E100,J100:M100)=0,"",TEXTJOIN("; ",TRUE,IF(B100="","Missing work date",""),IF(C100="","Missing project",""),IF(D100="","Missing job",""),IF(J100&lt;&gt;"Yes","Backup incomplete",""),IF(K100&lt;&gt;"Yes","Redline incomplete",""),IF(L100&lt;&gt;"Yes","Customer not approved",""),IF(M100&lt;&gt;"Ready","Invoice not ready","")))</x:f>
      </x:c>
    </x:row>
    <x:row r="101" ht="20" customHeight="1">
      <x:c r="A101" s="15"/>
      <x:c r="B101" s="28"/>
      <x:c r="C101" s="15"/>
      <x:c r="D101" s="15"/>
      <x:c r="E101" s="15"/>
      <x:c r="F101" s="70" t="str">
        <x:f>IF(OR(B101="",C101="",D101=""),"",SUMIFS('12_Production_Log'!$M:$M,'12_Production_Log'!$B:$B,B101,'12_Production_Log'!$C:$C,C101,'12_Production_Log'!$D:$D,D101))</x:f>
      </x:c>
      <x:c r="G101" s="70" t="str">
        <x:f>IF(OR(B101="",C101="",D101=""),"",SUMIFS('14_Materials_Log'!$I:$I,'14_Materials_Log'!$B:$B,B101,'14_Materials_Log'!$C:$C,C101,'14_Materials_Log'!$D:$D,D101,'14_Materials_Log'!$J:$J,"Yes"))</x:f>
      </x:c>
      <x:c r="H101" s="70" t="str">
        <x:f>IF(OR(B101="",C101="",D101=""),"",SUMIFS('13_Labor_Time'!$L:$L,'13_Labor_Time'!$B:$B,B101,'13_Labor_Time'!$C:$C,C101,'13_Labor_Time'!$D:$D,D101))</x:f>
      </x:c>
      <x:c r="I101" s="70" t="str">
        <x:f>IF(OR(B101="",C101="",D101=""),"",SUMIFS('15_Equipment_Log'!$M:$M,'15_Equipment_Log'!$B:$B,B101,'15_Equipment_Log'!$C:$C,C101,'15_Equipment_Log'!$D:$D,D101))</x:f>
      </x:c>
      <x:c r="J101" s="15"/>
      <x:c r="K101" s="15"/>
      <x:c r="L101" s="15"/>
      <x:c r="M101" s="15"/>
      <x:c r="N101" s="70" t="str">
        <x:f>IF(COUNTA(B101:E101,J101:M101)=0,"",F101+G101-H101-I101)</x:f>
      </x:c>
      <x:c r="O101" s="15" t="str">
        <x:f>IF(COUNTA(B101:E101,J101:M101)=0,"",TEXTJOIN("; ",TRUE,IF(B101="","Missing work date",""),IF(C101="","Missing project",""),IF(D101="","Missing job",""),IF(J101&lt;&gt;"Yes","Backup incomplete",""),IF(K101&lt;&gt;"Yes","Redline incomplete",""),IF(L101&lt;&gt;"Yes","Customer not approved",""),IF(M101&lt;&gt;"Ready","Invoice not ready","")))</x:f>
      </x:c>
    </x:row>
    <x:row r="102" ht="20" customHeight="1">
      <x:c r="A102" s="15"/>
      <x:c r="B102" s="28"/>
      <x:c r="C102" s="15"/>
      <x:c r="D102" s="15"/>
      <x:c r="E102" s="15"/>
      <x:c r="F102" s="70" t="str">
        <x:f>IF(OR(B102="",C102="",D102=""),"",SUMIFS('12_Production_Log'!$M:$M,'12_Production_Log'!$B:$B,B102,'12_Production_Log'!$C:$C,C102,'12_Production_Log'!$D:$D,D102))</x:f>
      </x:c>
      <x:c r="G102" s="70" t="str">
        <x:f>IF(OR(B102="",C102="",D102=""),"",SUMIFS('14_Materials_Log'!$I:$I,'14_Materials_Log'!$B:$B,B102,'14_Materials_Log'!$C:$C,C102,'14_Materials_Log'!$D:$D,D102,'14_Materials_Log'!$J:$J,"Yes"))</x:f>
      </x:c>
      <x:c r="H102" s="70" t="str">
        <x:f>IF(OR(B102="",C102="",D102=""),"",SUMIFS('13_Labor_Time'!$L:$L,'13_Labor_Time'!$B:$B,B102,'13_Labor_Time'!$C:$C,C102,'13_Labor_Time'!$D:$D,D102))</x:f>
      </x:c>
      <x:c r="I102" s="70" t="str">
        <x:f>IF(OR(B102="",C102="",D102=""),"",SUMIFS('15_Equipment_Log'!$M:$M,'15_Equipment_Log'!$B:$B,B102,'15_Equipment_Log'!$C:$C,C102,'15_Equipment_Log'!$D:$D,D102))</x:f>
      </x:c>
      <x:c r="J102" s="15"/>
      <x:c r="K102" s="15"/>
      <x:c r="L102" s="15"/>
      <x:c r="M102" s="15"/>
      <x:c r="N102" s="70" t="str">
        <x:f>IF(COUNTA(B102:E102,J102:M102)=0,"",F102+G102-H102-I102)</x:f>
      </x:c>
      <x:c r="O102" s="15" t="str">
        <x:f>IF(COUNTA(B102:E102,J102:M102)=0,"",TEXTJOIN("; ",TRUE,IF(B102="","Missing work date",""),IF(C102="","Missing project",""),IF(D102="","Missing job",""),IF(J102&lt;&gt;"Yes","Backup incomplete",""),IF(K102&lt;&gt;"Yes","Redline incomplete",""),IF(L102&lt;&gt;"Yes","Customer not approved",""),IF(M102&lt;&gt;"Ready","Invoice not ready","")))</x:f>
      </x:c>
    </x:row>
    <x:row r="103" ht="20" customHeight="1">
      <x:c r="A103" s="15"/>
      <x:c r="B103" s="28"/>
      <x:c r="C103" s="15"/>
      <x:c r="D103" s="15"/>
      <x:c r="E103" s="15"/>
      <x:c r="F103" s="70" t="str">
        <x:f>IF(OR(B103="",C103="",D103=""),"",SUMIFS('12_Production_Log'!$M:$M,'12_Production_Log'!$B:$B,B103,'12_Production_Log'!$C:$C,C103,'12_Production_Log'!$D:$D,D103))</x:f>
      </x:c>
      <x:c r="G103" s="70" t="str">
        <x:f>IF(OR(B103="",C103="",D103=""),"",SUMIFS('14_Materials_Log'!$I:$I,'14_Materials_Log'!$B:$B,B103,'14_Materials_Log'!$C:$C,C103,'14_Materials_Log'!$D:$D,D103,'14_Materials_Log'!$J:$J,"Yes"))</x:f>
      </x:c>
      <x:c r="H103" s="70" t="str">
        <x:f>IF(OR(B103="",C103="",D103=""),"",SUMIFS('13_Labor_Time'!$L:$L,'13_Labor_Time'!$B:$B,B103,'13_Labor_Time'!$C:$C,C103,'13_Labor_Time'!$D:$D,D103))</x:f>
      </x:c>
      <x:c r="I103" s="70" t="str">
        <x:f>IF(OR(B103="",C103="",D103=""),"",SUMIFS('15_Equipment_Log'!$M:$M,'15_Equipment_Log'!$B:$B,B103,'15_Equipment_Log'!$C:$C,C103,'15_Equipment_Log'!$D:$D,D103))</x:f>
      </x:c>
      <x:c r="J103" s="15"/>
      <x:c r="K103" s="15"/>
      <x:c r="L103" s="15"/>
      <x:c r="M103" s="15"/>
      <x:c r="N103" s="70" t="str">
        <x:f>IF(COUNTA(B103:E103,J103:M103)=0,"",F103+G103-H103-I103)</x:f>
      </x:c>
      <x:c r="O103" s="15" t="str">
        <x:f>IF(COUNTA(B103:E103,J103:M103)=0,"",TEXTJOIN("; ",TRUE,IF(B103="","Missing work date",""),IF(C103="","Missing project",""),IF(D103="","Missing job",""),IF(J103&lt;&gt;"Yes","Backup incomplete",""),IF(K103&lt;&gt;"Yes","Redline incomplete",""),IF(L103&lt;&gt;"Yes","Customer not approved",""),IF(M103&lt;&gt;"Ready","Invoice not ready","")))</x:f>
      </x:c>
    </x:row>
    <x:row r="104" ht="20" customHeight="1">
      <x:c r="A104" s="15"/>
      <x:c r="B104" s="28"/>
      <x:c r="C104" s="15"/>
      <x:c r="D104" s="15"/>
      <x:c r="E104" s="15"/>
      <x:c r="F104" s="70" t="str">
        <x:f>IF(OR(B104="",C104="",D104=""),"",SUMIFS('12_Production_Log'!$M:$M,'12_Production_Log'!$B:$B,B104,'12_Production_Log'!$C:$C,C104,'12_Production_Log'!$D:$D,D104))</x:f>
      </x:c>
      <x:c r="G104" s="70" t="str">
        <x:f>IF(OR(B104="",C104="",D104=""),"",SUMIFS('14_Materials_Log'!$I:$I,'14_Materials_Log'!$B:$B,B104,'14_Materials_Log'!$C:$C,C104,'14_Materials_Log'!$D:$D,D104,'14_Materials_Log'!$J:$J,"Yes"))</x:f>
      </x:c>
      <x:c r="H104" s="70" t="str">
        <x:f>IF(OR(B104="",C104="",D104=""),"",SUMIFS('13_Labor_Time'!$L:$L,'13_Labor_Time'!$B:$B,B104,'13_Labor_Time'!$C:$C,C104,'13_Labor_Time'!$D:$D,D104))</x:f>
      </x:c>
      <x:c r="I104" s="70" t="str">
        <x:f>IF(OR(B104="",C104="",D104=""),"",SUMIFS('15_Equipment_Log'!$M:$M,'15_Equipment_Log'!$B:$B,B104,'15_Equipment_Log'!$C:$C,C104,'15_Equipment_Log'!$D:$D,D104))</x:f>
      </x:c>
      <x:c r="J104" s="15"/>
      <x:c r="K104" s="15"/>
      <x:c r="L104" s="15"/>
      <x:c r="M104" s="15"/>
      <x:c r="N104" s="70" t="str">
        <x:f>IF(COUNTA(B104:E104,J104:M104)=0,"",F104+G104-H104-I104)</x:f>
      </x:c>
      <x:c r="O104" s="15" t="str">
        <x:f>IF(COUNTA(B104:E104,J104:M104)=0,"",TEXTJOIN("; ",TRUE,IF(B104="","Missing work date",""),IF(C104="","Missing project",""),IF(D104="","Missing job",""),IF(J104&lt;&gt;"Yes","Backup incomplete",""),IF(K104&lt;&gt;"Yes","Redline incomplete",""),IF(L104&lt;&gt;"Yes","Customer not approved",""),IF(M104&lt;&gt;"Ready","Invoice not ready","")))</x:f>
      </x:c>
    </x:row>
    <x:row r="105" ht="20" customHeight="1">
      <x:c r="A105" s="15"/>
      <x:c r="B105" s="28"/>
      <x:c r="C105" s="15"/>
      <x:c r="D105" s="15"/>
      <x:c r="E105" s="15"/>
      <x:c r="F105" s="70" t="str">
        <x:f>IF(OR(B105="",C105="",D105=""),"",SUMIFS('12_Production_Log'!$M:$M,'12_Production_Log'!$B:$B,B105,'12_Production_Log'!$C:$C,C105,'12_Production_Log'!$D:$D,D105))</x:f>
      </x:c>
      <x:c r="G105" s="70" t="str">
        <x:f>IF(OR(B105="",C105="",D105=""),"",SUMIFS('14_Materials_Log'!$I:$I,'14_Materials_Log'!$B:$B,B105,'14_Materials_Log'!$C:$C,C105,'14_Materials_Log'!$D:$D,D105,'14_Materials_Log'!$J:$J,"Yes"))</x:f>
      </x:c>
      <x:c r="H105" s="70" t="str">
        <x:f>IF(OR(B105="",C105="",D105=""),"",SUMIFS('13_Labor_Time'!$L:$L,'13_Labor_Time'!$B:$B,B105,'13_Labor_Time'!$C:$C,C105,'13_Labor_Time'!$D:$D,D105))</x:f>
      </x:c>
      <x:c r="I105" s="70" t="str">
        <x:f>IF(OR(B105="",C105="",D105=""),"",SUMIFS('15_Equipment_Log'!$M:$M,'15_Equipment_Log'!$B:$B,B105,'15_Equipment_Log'!$C:$C,C105,'15_Equipment_Log'!$D:$D,D105))</x:f>
      </x:c>
      <x:c r="J105" s="15"/>
      <x:c r="K105" s="15"/>
      <x:c r="L105" s="15"/>
      <x:c r="M105" s="15"/>
      <x:c r="N105" s="70" t="str">
        <x:f>IF(COUNTA(B105:E105,J105:M105)=0,"",F105+G105-H105-I105)</x:f>
      </x:c>
      <x:c r="O105" s="15" t="str">
        <x:f>IF(COUNTA(B105:E105,J105:M105)=0,"",TEXTJOIN("; ",TRUE,IF(B105="","Missing work date",""),IF(C105="","Missing project",""),IF(D105="","Missing job",""),IF(J105&lt;&gt;"Yes","Backup incomplete",""),IF(K105&lt;&gt;"Yes","Redline incomplete",""),IF(L105&lt;&gt;"Yes","Customer not approved",""),IF(M105&lt;&gt;"Ready","Invoice not ready","")))</x:f>
      </x:c>
    </x:row>
    <x:row r="106" ht="20" customHeight="1">
      <x:c r="A106" s="15"/>
      <x:c r="B106" s="28"/>
      <x:c r="C106" s="15"/>
      <x:c r="D106" s="15"/>
      <x:c r="E106" s="15"/>
      <x:c r="F106" s="70" t="str">
        <x:f>IF(OR(B106="",C106="",D106=""),"",SUMIFS('12_Production_Log'!$M:$M,'12_Production_Log'!$B:$B,B106,'12_Production_Log'!$C:$C,C106,'12_Production_Log'!$D:$D,D106))</x:f>
      </x:c>
      <x:c r="G106" s="70" t="str">
        <x:f>IF(OR(B106="",C106="",D106=""),"",SUMIFS('14_Materials_Log'!$I:$I,'14_Materials_Log'!$B:$B,B106,'14_Materials_Log'!$C:$C,C106,'14_Materials_Log'!$D:$D,D106,'14_Materials_Log'!$J:$J,"Yes"))</x:f>
      </x:c>
      <x:c r="H106" s="70" t="str">
        <x:f>IF(OR(B106="",C106="",D106=""),"",SUMIFS('13_Labor_Time'!$L:$L,'13_Labor_Time'!$B:$B,B106,'13_Labor_Time'!$C:$C,C106,'13_Labor_Time'!$D:$D,D106))</x:f>
      </x:c>
      <x:c r="I106" s="70" t="str">
        <x:f>IF(OR(B106="",C106="",D106=""),"",SUMIFS('15_Equipment_Log'!$M:$M,'15_Equipment_Log'!$B:$B,B106,'15_Equipment_Log'!$C:$C,C106,'15_Equipment_Log'!$D:$D,D106))</x:f>
      </x:c>
      <x:c r="J106" s="15"/>
      <x:c r="K106" s="15"/>
      <x:c r="L106" s="15"/>
      <x:c r="M106" s="15"/>
      <x:c r="N106" s="70" t="str">
        <x:f>IF(COUNTA(B106:E106,J106:M106)=0,"",F106+G106-H106-I106)</x:f>
      </x:c>
      <x:c r="O106" s="15" t="str">
        <x:f>IF(COUNTA(B106:E106,J106:M106)=0,"",TEXTJOIN("; ",TRUE,IF(B106="","Missing work date",""),IF(C106="","Missing project",""),IF(D106="","Missing job",""),IF(J106&lt;&gt;"Yes","Backup incomplete",""),IF(K106&lt;&gt;"Yes","Redline incomplete",""),IF(L106&lt;&gt;"Yes","Customer not approved",""),IF(M106&lt;&gt;"Ready","Invoice not ready","")))</x:f>
      </x:c>
    </x:row>
    <x:row r="107" ht="20" customHeight="1">
      <x:c r="A107" s="15"/>
      <x:c r="B107" s="28"/>
      <x:c r="C107" s="15"/>
      <x:c r="D107" s="15"/>
      <x:c r="E107" s="15"/>
      <x:c r="F107" s="70" t="str">
        <x:f>IF(OR(B107="",C107="",D107=""),"",SUMIFS('12_Production_Log'!$M:$M,'12_Production_Log'!$B:$B,B107,'12_Production_Log'!$C:$C,C107,'12_Production_Log'!$D:$D,D107))</x:f>
      </x:c>
      <x:c r="G107" s="70" t="str">
        <x:f>IF(OR(B107="",C107="",D107=""),"",SUMIFS('14_Materials_Log'!$I:$I,'14_Materials_Log'!$B:$B,B107,'14_Materials_Log'!$C:$C,C107,'14_Materials_Log'!$D:$D,D107,'14_Materials_Log'!$J:$J,"Yes"))</x:f>
      </x:c>
      <x:c r="H107" s="70" t="str">
        <x:f>IF(OR(B107="",C107="",D107=""),"",SUMIFS('13_Labor_Time'!$L:$L,'13_Labor_Time'!$B:$B,B107,'13_Labor_Time'!$C:$C,C107,'13_Labor_Time'!$D:$D,D107))</x:f>
      </x:c>
      <x:c r="I107" s="70" t="str">
        <x:f>IF(OR(B107="",C107="",D107=""),"",SUMIFS('15_Equipment_Log'!$M:$M,'15_Equipment_Log'!$B:$B,B107,'15_Equipment_Log'!$C:$C,C107,'15_Equipment_Log'!$D:$D,D107))</x:f>
      </x:c>
      <x:c r="J107" s="15"/>
      <x:c r="K107" s="15"/>
      <x:c r="L107" s="15"/>
      <x:c r="M107" s="15"/>
      <x:c r="N107" s="70" t="str">
        <x:f>IF(COUNTA(B107:E107,J107:M107)=0,"",F107+G107-H107-I107)</x:f>
      </x:c>
      <x:c r="O107" s="15" t="str">
        <x:f>IF(COUNTA(B107:E107,J107:M107)=0,"",TEXTJOIN("; ",TRUE,IF(B107="","Missing work date",""),IF(C107="","Missing project",""),IF(D107="","Missing job",""),IF(J107&lt;&gt;"Yes","Backup incomplete",""),IF(K107&lt;&gt;"Yes","Redline incomplete",""),IF(L107&lt;&gt;"Yes","Customer not approved",""),IF(M107&lt;&gt;"Ready","Invoice not ready","")))</x:f>
      </x:c>
    </x:row>
    <x:row r="108" ht="20" customHeight="1">
      <x:c r="A108" s="15"/>
      <x:c r="B108" s="28"/>
      <x:c r="C108" s="15"/>
      <x:c r="D108" s="15"/>
      <x:c r="E108" s="15"/>
      <x:c r="F108" s="70" t="str">
        <x:f>IF(OR(B108="",C108="",D108=""),"",SUMIFS('12_Production_Log'!$M:$M,'12_Production_Log'!$B:$B,B108,'12_Production_Log'!$C:$C,C108,'12_Production_Log'!$D:$D,D108))</x:f>
      </x:c>
      <x:c r="G108" s="70" t="str">
        <x:f>IF(OR(B108="",C108="",D108=""),"",SUMIFS('14_Materials_Log'!$I:$I,'14_Materials_Log'!$B:$B,B108,'14_Materials_Log'!$C:$C,C108,'14_Materials_Log'!$D:$D,D108,'14_Materials_Log'!$J:$J,"Yes"))</x:f>
      </x:c>
      <x:c r="H108" s="70" t="str">
        <x:f>IF(OR(B108="",C108="",D108=""),"",SUMIFS('13_Labor_Time'!$L:$L,'13_Labor_Time'!$B:$B,B108,'13_Labor_Time'!$C:$C,C108,'13_Labor_Time'!$D:$D,D108))</x:f>
      </x:c>
      <x:c r="I108" s="70" t="str">
        <x:f>IF(OR(B108="",C108="",D108=""),"",SUMIFS('15_Equipment_Log'!$M:$M,'15_Equipment_Log'!$B:$B,B108,'15_Equipment_Log'!$C:$C,C108,'15_Equipment_Log'!$D:$D,D108))</x:f>
      </x:c>
      <x:c r="J108" s="15"/>
      <x:c r="K108" s="15"/>
      <x:c r="L108" s="15"/>
      <x:c r="M108" s="15"/>
      <x:c r="N108" s="70" t="str">
        <x:f>IF(COUNTA(B108:E108,J108:M108)=0,"",F108+G108-H108-I108)</x:f>
      </x:c>
      <x:c r="O108" s="15" t="str">
        <x:f>IF(COUNTA(B108:E108,J108:M108)=0,"",TEXTJOIN("; ",TRUE,IF(B108="","Missing work date",""),IF(C108="","Missing project",""),IF(D108="","Missing job",""),IF(J108&lt;&gt;"Yes","Backup incomplete",""),IF(K108&lt;&gt;"Yes","Redline incomplete",""),IF(L108&lt;&gt;"Yes","Customer not approved",""),IF(M108&lt;&gt;"Ready","Invoice not ready","")))</x:f>
      </x:c>
    </x:row>
    <x:row r="109" ht="20" customHeight="1">
      <x:c r="A109" s="15"/>
      <x:c r="B109" s="28"/>
      <x:c r="C109" s="15"/>
      <x:c r="D109" s="15"/>
      <x:c r="E109" s="15"/>
      <x:c r="F109" s="70" t="str">
        <x:f>IF(OR(B109="",C109="",D109=""),"",SUMIFS('12_Production_Log'!$M:$M,'12_Production_Log'!$B:$B,B109,'12_Production_Log'!$C:$C,C109,'12_Production_Log'!$D:$D,D109))</x:f>
      </x:c>
      <x:c r="G109" s="70" t="str">
        <x:f>IF(OR(B109="",C109="",D109=""),"",SUMIFS('14_Materials_Log'!$I:$I,'14_Materials_Log'!$B:$B,B109,'14_Materials_Log'!$C:$C,C109,'14_Materials_Log'!$D:$D,D109,'14_Materials_Log'!$J:$J,"Yes"))</x:f>
      </x:c>
      <x:c r="H109" s="70" t="str">
        <x:f>IF(OR(B109="",C109="",D109=""),"",SUMIFS('13_Labor_Time'!$L:$L,'13_Labor_Time'!$B:$B,B109,'13_Labor_Time'!$C:$C,C109,'13_Labor_Time'!$D:$D,D109))</x:f>
      </x:c>
      <x:c r="I109" s="70" t="str">
        <x:f>IF(OR(B109="",C109="",D109=""),"",SUMIFS('15_Equipment_Log'!$M:$M,'15_Equipment_Log'!$B:$B,B109,'15_Equipment_Log'!$C:$C,C109,'15_Equipment_Log'!$D:$D,D109))</x:f>
      </x:c>
      <x:c r="J109" s="15"/>
      <x:c r="K109" s="15"/>
      <x:c r="L109" s="15"/>
      <x:c r="M109" s="15"/>
      <x:c r="N109" s="70" t="str">
        <x:f>IF(COUNTA(B109:E109,J109:M109)=0,"",F109+G109-H109-I109)</x:f>
      </x:c>
      <x:c r="O109" s="15" t="str">
        <x:f>IF(COUNTA(B109:E109,J109:M109)=0,"",TEXTJOIN("; ",TRUE,IF(B109="","Missing work date",""),IF(C109="","Missing project",""),IF(D109="","Missing job",""),IF(J109&lt;&gt;"Yes","Backup incomplete",""),IF(K109&lt;&gt;"Yes","Redline incomplete",""),IF(L109&lt;&gt;"Yes","Customer not approved",""),IF(M109&lt;&gt;"Ready","Invoice not ready","")))</x:f>
      </x:c>
    </x:row>
    <x:row r="110" ht="20" customHeight="1">
      <x:c r="A110" s="15"/>
      <x:c r="B110" s="28"/>
      <x:c r="C110" s="15"/>
      <x:c r="D110" s="15"/>
      <x:c r="E110" s="15"/>
      <x:c r="F110" s="70" t="str">
        <x:f>IF(OR(B110="",C110="",D110=""),"",SUMIFS('12_Production_Log'!$M:$M,'12_Production_Log'!$B:$B,B110,'12_Production_Log'!$C:$C,C110,'12_Production_Log'!$D:$D,D110))</x:f>
      </x:c>
      <x:c r="G110" s="70" t="str">
        <x:f>IF(OR(B110="",C110="",D110=""),"",SUMIFS('14_Materials_Log'!$I:$I,'14_Materials_Log'!$B:$B,B110,'14_Materials_Log'!$C:$C,C110,'14_Materials_Log'!$D:$D,D110,'14_Materials_Log'!$J:$J,"Yes"))</x:f>
      </x:c>
      <x:c r="H110" s="70" t="str">
        <x:f>IF(OR(B110="",C110="",D110=""),"",SUMIFS('13_Labor_Time'!$L:$L,'13_Labor_Time'!$B:$B,B110,'13_Labor_Time'!$C:$C,C110,'13_Labor_Time'!$D:$D,D110))</x:f>
      </x:c>
      <x:c r="I110" s="70" t="str">
        <x:f>IF(OR(B110="",C110="",D110=""),"",SUMIFS('15_Equipment_Log'!$M:$M,'15_Equipment_Log'!$B:$B,B110,'15_Equipment_Log'!$C:$C,C110,'15_Equipment_Log'!$D:$D,D110))</x:f>
      </x:c>
      <x:c r="J110" s="15"/>
      <x:c r="K110" s="15"/>
      <x:c r="L110" s="15"/>
      <x:c r="M110" s="15"/>
      <x:c r="N110" s="70" t="str">
        <x:f>IF(COUNTA(B110:E110,J110:M110)=0,"",F110+G110-H110-I110)</x:f>
      </x:c>
      <x:c r="O110" s="15" t="str">
        <x:f>IF(COUNTA(B110:E110,J110:M110)=0,"",TEXTJOIN("; ",TRUE,IF(B110="","Missing work date",""),IF(C110="","Missing project",""),IF(D110="","Missing job",""),IF(J110&lt;&gt;"Yes","Backup incomplete",""),IF(K110&lt;&gt;"Yes","Redline incomplete",""),IF(L110&lt;&gt;"Yes","Customer not approved",""),IF(M110&lt;&gt;"Ready","Invoice not ready","")))</x:f>
      </x:c>
    </x:row>
    <x:row r="111" ht="20" customHeight="1">
      <x:c r="A111" s="15"/>
      <x:c r="B111" s="28"/>
      <x:c r="C111" s="15"/>
      <x:c r="D111" s="15"/>
      <x:c r="E111" s="15"/>
      <x:c r="F111" s="70" t="str">
        <x:f>IF(OR(B111="",C111="",D111=""),"",SUMIFS('12_Production_Log'!$M:$M,'12_Production_Log'!$B:$B,B111,'12_Production_Log'!$C:$C,C111,'12_Production_Log'!$D:$D,D111))</x:f>
      </x:c>
      <x:c r="G111" s="70" t="str">
        <x:f>IF(OR(B111="",C111="",D111=""),"",SUMIFS('14_Materials_Log'!$I:$I,'14_Materials_Log'!$B:$B,B111,'14_Materials_Log'!$C:$C,C111,'14_Materials_Log'!$D:$D,D111,'14_Materials_Log'!$J:$J,"Yes"))</x:f>
      </x:c>
      <x:c r="H111" s="70" t="str">
        <x:f>IF(OR(B111="",C111="",D111=""),"",SUMIFS('13_Labor_Time'!$L:$L,'13_Labor_Time'!$B:$B,B111,'13_Labor_Time'!$C:$C,C111,'13_Labor_Time'!$D:$D,D111))</x:f>
      </x:c>
      <x:c r="I111" s="70" t="str">
        <x:f>IF(OR(B111="",C111="",D111=""),"",SUMIFS('15_Equipment_Log'!$M:$M,'15_Equipment_Log'!$B:$B,B111,'15_Equipment_Log'!$C:$C,C111,'15_Equipment_Log'!$D:$D,D111))</x:f>
      </x:c>
      <x:c r="J111" s="15"/>
      <x:c r="K111" s="15"/>
      <x:c r="L111" s="15"/>
      <x:c r="M111" s="15"/>
      <x:c r="N111" s="70" t="str">
        <x:f>IF(COUNTA(B111:E111,J111:M111)=0,"",F111+G111-H111-I111)</x:f>
      </x:c>
      <x:c r="O111" s="15" t="str">
        <x:f>IF(COUNTA(B111:E111,J111:M111)=0,"",TEXTJOIN("; ",TRUE,IF(B111="","Missing work date",""),IF(C111="","Missing project",""),IF(D111="","Missing job",""),IF(J111&lt;&gt;"Yes","Backup incomplete",""),IF(K111&lt;&gt;"Yes","Redline incomplete",""),IF(L111&lt;&gt;"Yes","Customer not approved",""),IF(M111&lt;&gt;"Ready","Invoice not ready","")))</x:f>
      </x:c>
    </x:row>
    <x:row r="112" ht="20" customHeight="1">
      <x:c r="A112" s="15"/>
      <x:c r="B112" s="28"/>
      <x:c r="C112" s="15"/>
      <x:c r="D112" s="15"/>
      <x:c r="E112" s="15"/>
      <x:c r="F112" s="70" t="str">
        <x:f>IF(OR(B112="",C112="",D112=""),"",SUMIFS('12_Production_Log'!$M:$M,'12_Production_Log'!$B:$B,B112,'12_Production_Log'!$C:$C,C112,'12_Production_Log'!$D:$D,D112))</x:f>
      </x:c>
      <x:c r="G112" s="70" t="str">
        <x:f>IF(OR(B112="",C112="",D112=""),"",SUMIFS('14_Materials_Log'!$I:$I,'14_Materials_Log'!$B:$B,B112,'14_Materials_Log'!$C:$C,C112,'14_Materials_Log'!$D:$D,D112,'14_Materials_Log'!$J:$J,"Yes"))</x:f>
      </x:c>
      <x:c r="H112" s="70" t="str">
        <x:f>IF(OR(B112="",C112="",D112=""),"",SUMIFS('13_Labor_Time'!$L:$L,'13_Labor_Time'!$B:$B,B112,'13_Labor_Time'!$C:$C,C112,'13_Labor_Time'!$D:$D,D112))</x:f>
      </x:c>
      <x:c r="I112" s="70" t="str">
        <x:f>IF(OR(B112="",C112="",D112=""),"",SUMIFS('15_Equipment_Log'!$M:$M,'15_Equipment_Log'!$B:$B,B112,'15_Equipment_Log'!$C:$C,C112,'15_Equipment_Log'!$D:$D,D112))</x:f>
      </x:c>
      <x:c r="J112" s="15"/>
      <x:c r="K112" s="15"/>
      <x:c r="L112" s="15"/>
      <x:c r="M112" s="15"/>
      <x:c r="N112" s="70" t="str">
        <x:f>IF(COUNTA(B112:E112,J112:M112)=0,"",F112+G112-H112-I112)</x:f>
      </x:c>
      <x:c r="O112" s="15" t="str">
        <x:f>IF(COUNTA(B112:E112,J112:M112)=0,"",TEXTJOIN("; ",TRUE,IF(B112="","Missing work date",""),IF(C112="","Missing project",""),IF(D112="","Missing job",""),IF(J112&lt;&gt;"Yes","Backup incomplete",""),IF(K112&lt;&gt;"Yes","Redline incomplete",""),IF(L112&lt;&gt;"Yes","Customer not approved",""),IF(M112&lt;&gt;"Ready","Invoice not ready","")))</x:f>
      </x:c>
    </x:row>
    <x:row r="113" ht="20" customHeight="1">
      <x:c r="A113" s="15"/>
      <x:c r="B113" s="28"/>
      <x:c r="C113" s="15"/>
      <x:c r="D113" s="15"/>
      <x:c r="E113" s="15"/>
      <x:c r="F113" s="70" t="str">
        <x:f>IF(OR(B113="",C113="",D113=""),"",SUMIFS('12_Production_Log'!$M:$M,'12_Production_Log'!$B:$B,B113,'12_Production_Log'!$C:$C,C113,'12_Production_Log'!$D:$D,D113))</x:f>
      </x:c>
      <x:c r="G113" s="70" t="str">
        <x:f>IF(OR(B113="",C113="",D113=""),"",SUMIFS('14_Materials_Log'!$I:$I,'14_Materials_Log'!$B:$B,B113,'14_Materials_Log'!$C:$C,C113,'14_Materials_Log'!$D:$D,D113,'14_Materials_Log'!$J:$J,"Yes"))</x:f>
      </x:c>
      <x:c r="H113" s="70" t="str">
        <x:f>IF(OR(B113="",C113="",D113=""),"",SUMIFS('13_Labor_Time'!$L:$L,'13_Labor_Time'!$B:$B,B113,'13_Labor_Time'!$C:$C,C113,'13_Labor_Time'!$D:$D,D113))</x:f>
      </x:c>
      <x:c r="I113" s="70" t="str">
        <x:f>IF(OR(B113="",C113="",D113=""),"",SUMIFS('15_Equipment_Log'!$M:$M,'15_Equipment_Log'!$B:$B,B113,'15_Equipment_Log'!$C:$C,C113,'15_Equipment_Log'!$D:$D,D113))</x:f>
      </x:c>
      <x:c r="J113" s="15"/>
      <x:c r="K113" s="15"/>
      <x:c r="L113" s="15"/>
      <x:c r="M113" s="15"/>
      <x:c r="N113" s="70" t="str">
        <x:f>IF(COUNTA(B113:E113,J113:M113)=0,"",F113+G113-H113-I113)</x:f>
      </x:c>
      <x:c r="O113" s="15" t="str">
        <x:f>IF(COUNTA(B113:E113,J113:M113)=0,"",TEXTJOIN("; ",TRUE,IF(B113="","Missing work date",""),IF(C113="","Missing project",""),IF(D113="","Missing job",""),IF(J113&lt;&gt;"Yes","Backup incomplete",""),IF(K113&lt;&gt;"Yes","Redline incomplete",""),IF(L113&lt;&gt;"Yes","Customer not approved",""),IF(M113&lt;&gt;"Ready","Invoice not ready","")))</x:f>
      </x:c>
    </x:row>
    <x:row r="114" ht="20" customHeight="1">
      <x:c r="A114" s="15"/>
      <x:c r="B114" s="28"/>
      <x:c r="C114" s="15"/>
      <x:c r="D114" s="15"/>
      <x:c r="E114" s="15"/>
      <x:c r="F114" s="70" t="str">
        <x:f>IF(OR(B114="",C114="",D114=""),"",SUMIFS('12_Production_Log'!$M:$M,'12_Production_Log'!$B:$B,B114,'12_Production_Log'!$C:$C,C114,'12_Production_Log'!$D:$D,D114))</x:f>
      </x:c>
      <x:c r="G114" s="70" t="str">
        <x:f>IF(OR(B114="",C114="",D114=""),"",SUMIFS('14_Materials_Log'!$I:$I,'14_Materials_Log'!$B:$B,B114,'14_Materials_Log'!$C:$C,C114,'14_Materials_Log'!$D:$D,D114,'14_Materials_Log'!$J:$J,"Yes"))</x:f>
      </x:c>
      <x:c r="H114" s="70" t="str">
        <x:f>IF(OR(B114="",C114="",D114=""),"",SUMIFS('13_Labor_Time'!$L:$L,'13_Labor_Time'!$B:$B,B114,'13_Labor_Time'!$C:$C,C114,'13_Labor_Time'!$D:$D,D114))</x:f>
      </x:c>
      <x:c r="I114" s="70" t="str">
        <x:f>IF(OR(B114="",C114="",D114=""),"",SUMIFS('15_Equipment_Log'!$M:$M,'15_Equipment_Log'!$B:$B,B114,'15_Equipment_Log'!$C:$C,C114,'15_Equipment_Log'!$D:$D,D114))</x:f>
      </x:c>
      <x:c r="J114" s="15"/>
      <x:c r="K114" s="15"/>
      <x:c r="L114" s="15"/>
      <x:c r="M114" s="15"/>
      <x:c r="N114" s="70" t="str">
        <x:f>IF(COUNTA(B114:E114,J114:M114)=0,"",F114+G114-H114-I114)</x:f>
      </x:c>
      <x:c r="O114" s="15" t="str">
        <x:f>IF(COUNTA(B114:E114,J114:M114)=0,"",TEXTJOIN("; ",TRUE,IF(B114="","Missing work date",""),IF(C114="","Missing project",""),IF(D114="","Missing job",""),IF(J114&lt;&gt;"Yes","Backup incomplete",""),IF(K114&lt;&gt;"Yes","Redline incomplete",""),IF(L114&lt;&gt;"Yes","Customer not approved",""),IF(M114&lt;&gt;"Ready","Invoice not ready","")))</x:f>
      </x:c>
    </x:row>
    <x:row r="115" ht="20" customHeight="1">
      <x:c r="A115" s="15"/>
      <x:c r="B115" s="28"/>
      <x:c r="C115" s="15"/>
      <x:c r="D115" s="15"/>
      <x:c r="E115" s="15"/>
      <x:c r="F115" s="70" t="str">
        <x:f>IF(OR(B115="",C115="",D115=""),"",SUMIFS('12_Production_Log'!$M:$M,'12_Production_Log'!$B:$B,B115,'12_Production_Log'!$C:$C,C115,'12_Production_Log'!$D:$D,D115))</x:f>
      </x:c>
      <x:c r="G115" s="70" t="str">
        <x:f>IF(OR(B115="",C115="",D115=""),"",SUMIFS('14_Materials_Log'!$I:$I,'14_Materials_Log'!$B:$B,B115,'14_Materials_Log'!$C:$C,C115,'14_Materials_Log'!$D:$D,D115,'14_Materials_Log'!$J:$J,"Yes"))</x:f>
      </x:c>
      <x:c r="H115" s="70" t="str">
        <x:f>IF(OR(B115="",C115="",D115=""),"",SUMIFS('13_Labor_Time'!$L:$L,'13_Labor_Time'!$B:$B,B115,'13_Labor_Time'!$C:$C,C115,'13_Labor_Time'!$D:$D,D115))</x:f>
      </x:c>
      <x:c r="I115" s="70" t="str">
        <x:f>IF(OR(B115="",C115="",D115=""),"",SUMIFS('15_Equipment_Log'!$M:$M,'15_Equipment_Log'!$B:$B,B115,'15_Equipment_Log'!$C:$C,C115,'15_Equipment_Log'!$D:$D,D115))</x:f>
      </x:c>
      <x:c r="J115" s="15"/>
      <x:c r="K115" s="15"/>
      <x:c r="L115" s="15"/>
      <x:c r="M115" s="15"/>
      <x:c r="N115" s="70" t="str">
        <x:f>IF(COUNTA(B115:E115,J115:M115)=0,"",F115+G115-H115-I115)</x:f>
      </x:c>
      <x:c r="O115" s="15" t="str">
        <x:f>IF(COUNTA(B115:E115,J115:M115)=0,"",TEXTJOIN("; ",TRUE,IF(B115="","Missing work date",""),IF(C115="","Missing project",""),IF(D115="","Missing job",""),IF(J115&lt;&gt;"Yes","Backup incomplete",""),IF(K115&lt;&gt;"Yes","Redline incomplete",""),IF(L115&lt;&gt;"Yes","Customer not approved",""),IF(M115&lt;&gt;"Ready","Invoice not ready","")))</x:f>
      </x:c>
    </x:row>
    <x:row r="116" ht="20" customHeight="1">
      <x:c r="A116" s="15"/>
      <x:c r="B116" s="28"/>
      <x:c r="C116" s="15"/>
      <x:c r="D116" s="15"/>
      <x:c r="E116" s="15"/>
      <x:c r="F116" s="70" t="str">
        <x:f>IF(OR(B116="",C116="",D116=""),"",SUMIFS('12_Production_Log'!$M:$M,'12_Production_Log'!$B:$B,B116,'12_Production_Log'!$C:$C,C116,'12_Production_Log'!$D:$D,D116))</x:f>
      </x:c>
      <x:c r="G116" s="70" t="str">
        <x:f>IF(OR(B116="",C116="",D116=""),"",SUMIFS('14_Materials_Log'!$I:$I,'14_Materials_Log'!$B:$B,B116,'14_Materials_Log'!$C:$C,C116,'14_Materials_Log'!$D:$D,D116,'14_Materials_Log'!$J:$J,"Yes"))</x:f>
      </x:c>
      <x:c r="H116" s="70" t="str">
        <x:f>IF(OR(B116="",C116="",D116=""),"",SUMIFS('13_Labor_Time'!$L:$L,'13_Labor_Time'!$B:$B,B116,'13_Labor_Time'!$C:$C,C116,'13_Labor_Time'!$D:$D,D116))</x:f>
      </x:c>
      <x:c r="I116" s="70" t="str">
        <x:f>IF(OR(B116="",C116="",D116=""),"",SUMIFS('15_Equipment_Log'!$M:$M,'15_Equipment_Log'!$B:$B,B116,'15_Equipment_Log'!$C:$C,C116,'15_Equipment_Log'!$D:$D,D116))</x:f>
      </x:c>
      <x:c r="J116" s="15"/>
      <x:c r="K116" s="15"/>
      <x:c r="L116" s="15"/>
      <x:c r="M116" s="15"/>
      <x:c r="N116" s="70" t="str">
        <x:f>IF(COUNTA(B116:E116,J116:M116)=0,"",F116+G116-H116-I116)</x:f>
      </x:c>
      <x:c r="O116" s="15" t="str">
        <x:f>IF(COUNTA(B116:E116,J116:M116)=0,"",TEXTJOIN("; ",TRUE,IF(B116="","Missing work date",""),IF(C116="","Missing project",""),IF(D116="","Missing job",""),IF(J116&lt;&gt;"Yes","Backup incomplete",""),IF(K116&lt;&gt;"Yes","Redline incomplete",""),IF(L116&lt;&gt;"Yes","Customer not approved",""),IF(M116&lt;&gt;"Ready","Invoice not ready","")))</x:f>
      </x:c>
    </x:row>
    <x:row r="117" ht="20" customHeight="1">
      <x:c r="A117" s="15"/>
      <x:c r="B117" s="28"/>
      <x:c r="C117" s="15"/>
      <x:c r="D117" s="15"/>
      <x:c r="E117" s="15"/>
      <x:c r="F117" s="70" t="str">
        <x:f>IF(OR(B117="",C117="",D117=""),"",SUMIFS('12_Production_Log'!$M:$M,'12_Production_Log'!$B:$B,B117,'12_Production_Log'!$C:$C,C117,'12_Production_Log'!$D:$D,D117))</x:f>
      </x:c>
      <x:c r="G117" s="70" t="str">
        <x:f>IF(OR(B117="",C117="",D117=""),"",SUMIFS('14_Materials_Log'!$I:$I,'14_Materials_Log'!$B:$B,B117,'14_Materials_Log'!$C:$C,C117,'14_Materials_Log'!$D:$D,D117,'14_Materials_Log'!$J:$J,"Yes"))</x:f>
      </x:c>
      <x:c r="H117" s="70" t="str">
        <x:f>IF(OR(B117="",C117="",D117=""),"",SUMIFS('13_Labor_Time'!$L:$L,'13_Labor_Time'!$B:$B,B117,'13_Labor_Time'!$C:$C,C117,'13_Labor_Time'!$D:$D,D117))</x:f>
      </x:c>
      <x:c r="I117" s="70" t="str">
        <x:f>IF(OR(B117="",C117="",D117=""),"",SUMIFS('15_Equipment_Log'!$M:$M,'15_Equipment_Log'!$B:$B,B117,'15_Equipment_Log'!$C:$C,C117,'15_Equipment_Log'!$D:$D,D117))</x:f>
      </x:c>
      <x:c r="J117" s="15"/>
      <x:c r="K117" s="15"/>
      <x:c r="L117" s="15"/>
      <x:c r="M117" s="15"/>
      <x:c r="N117" s="70" t="str">
        <x:f>IF(COUNTA(B117:E117,J117:M117)=0,"",F117+G117-H117-I117)</x:f>
      </x:c>
      <x:c r="O117" s="15" t="str">
        <x:f>IF(COUNTA(B117:E117,J117:M117)=0,"",TEXTJOIN("; ",TRUE,IF(B117="","Missing work date",""),IF(C117="","Missing project",""),IF(D117="","Missing job",""),IF(J117&lt;&gt;"Yes","Backup incomplete",""),IF(K117&lt;&gt;"Yes","Redline incomplete",""),IF(L117&lt;&gt;"Yes","Customer not approved",""),IF(M117&lt;&gt;"Ready","Invoice not ready","")))</x:f>
      </x:c>
    </x:row>
    <x:row r="118" ht="20" customHeight="1">
      <x:c r="A118" s="15"/>
      <x:c r="B118" s="28"/>
      <x:c r="C118" s="15"/>
      <x:c r="D118" s="15"/>
      <x:c r="E118" s="15"/>
      <x:c r="F118" s="70" t="str">
        <x:f>IF(OR(B118="",C118="",D118=""),"",SUMIFS('12_Production_Log'!$M:$M,'12_Production_Log'!$B:$B,B118,'12_Production_Log'!$C:$C,C118,'12_Production_Log'!$D:$D,D118))</x:f>
      </x:c>
      <x:c r="G118" s="70" t="str">
        <x:f>IF(OR(B118="",C118="",D118=""),"",SUMIFS('14_Materials_Log'!$I:$I,'14_Materials_Log'!$B:$B,B118,'14_Materials_Log'!$C:$C,C118,'14_Materials_Log'!$D:$D,D118,'14_Materials_Log'!$J:$J,"Yes"))</x:f>
      </x:c>
      <x:c r="H118" s="70" t="str">
        <x:f>IF(OR(B118="",C118="",D118=""),"",SUMIFS('13_Labor_Time'!$L:$L,'13_Labor_Time'!$B:$B,B118,'13_Labor_Time'!$C:$C,C118,'13_Labor_Time'!$D:$D,D118))</x:f>
      </x:c>
      <x:c r="I118" s="70" t="str">
        <x:f>IF(OR(B118="",C118="",D118=""),"",SUMIFS('15_Equipment_Log'!$M:$M,'15_Equipment_Log'!$B:$B,B118,'15_Equipment_Log'!$C:$C,C118,'15_Equipment_Log'!$D:$D,D118))</x:f>
      </x:c>
      <x:c r="J118" s="15"/>
      <x:c r="K118" s="15"/>
      <x:c r="L118" s="15"/>
      <x:c r="M118" s="15"/>
      <x:c r="N118" s="70" t="str">
        <x:f>IF(COUNTA(B118:E118,J118:M118)=0,"",F118+G118-H118-I118)</x:f>
      </x:c>
      <x:c r="O118" s="15" t="str">
        <x:f>IF(COUNTA(B118:E118,J118:M118)=0,"",TEXTJOIN("; ",TRUE,IF(B118="","Missing work date",""),IF(C118="","Missing project",""),IF(D118="","Missing job",""),IF(J118&lt;&gt;"Yes","Backup incomplete",""),IF(K118&lt;&gt;"Yes","Redline incomplete",""),IF(L118&lt;&gt;"Yes","Customer not approved",""),IF(M118&lt;&gt;"Ready","Invoice not ready","")))</x:f>
      </x:c>
    </x:row>
    <x:row r="119" ht="20" customHeight="1">
      <x:c r="A119" s="15"/>
      <x:c r="B119" s="28"/>
      <x:c r="C119" s="15"/>
      <x:c r="D119" s="15"/>
      <x:c r="E119" s="15"/>
      <x:c r="F119" s="70" t="str">
        <x:f>IF(OR(B119="",C119="",D119=""),"",SUMIFS('12_Production_Log'!$M:$M,'12_Production_Log'!$B:$B,B119,'12_Production_Log'!$C:$C,C119,'12_Production_Log'!$D:$D,D119))</x:f>
      </x:c>
      <x:c r="G119" s="70" t="str">
        <x:f>IF(OR(B119="",C119="",D119=""),"",SUMIFS('14_Materials_Log'!$I:$I,'14_Materials_Log'!$B:$B,B119,'14_Materials_Log'!$C:$C,C119,'14_Materials_Log'!$D:$D,D119,'14_Materials_Log'!$J:$J,"Yes"))</x:f>
      </x:c>
      <x:c r="H119" s="70" t="str">
        <x:f>IF(OR(B119="",C119="",D119=""),"",SUMIFS('13_Labor_Time'!$L:$L,'13_Labor_Time'!$B:$B,B119,'13_Labor_Time'!$C:$C,C119,'13_Labor_Time'!$D:$D,D119))</x:f>
      </x:c>
      <x:c r="I119" s="70" t="str">
        <x:f>IF(OR(B119="",C119="",D119=""),"",SUMIFS('15_Equipment_Log'!$M:$M,'15_Equipment_Log'!$B:$B,B119,'15_Equipment_Log'!$C:$C,C119,'15_Equipment_Log'!$D:$D,D119))</x:f>
      </x:c>
      <x:c r="J119" s="15"/>
      <x:c r="K119" s="15"/>
      <x:c r="L119" s="15"/>
      <x:c r="M119" s="15"/>
      <x:c r="N119" s="70" t="str">
        <x:f>IF(COUNTA(B119:E119,J119:M119)=0,"",F119+G119-H119-I119)</x:f>
      </x:c>
      <x:c r="O119" s="15" t="str">
        <x:f>IF(COUNTA(B119:E119,J119:M119)=0,"",TEXTJOIN("; ",TRUE,IF(B119="","Missing work date",""),IF(C119="","Missing project",""),IF(D119="","Missing job",""),IF(J119&lt;&gt;"Yes","Backup incomplete",""),IF(K119&lt;&gt;"Yes","Redline incomplete",""),IF(L119&lt;&gt;"Yes","Customer not approved",""),IF(M119&lt;&gt;"Ready","Invoice not ready","")))</x:f>
      </x:c>
    </x:row>
    <x:row r="120" ht="20" customHeight="1">
      <x:c r="A120" s="15"/>
      <x:c r="B120" s="28"/>
      <x:c r="C120" s="15"/>
      <x:c r="D120" s="15"/>
      <x:c r="E120" s="15"/>
      <x:c r="F120" s="70" t="str">
        <x:f>IF(OR(B120="",C120="",D120=""),"",SUMIFS('12_Production_Log'!$M:$M,'12_Production_Log'!$B:$B,B120,'12_Production_Log'!$C:$C,C120,'12_Production_Log'!$D:$D,D120))</x:f>
      </x:c>
      <x:c r="G120" s="70" t="str">
        <x:f>IF(OR(B120="",C120="",D120=""),"",SUMIFS('14_Materials_Log'!$I:$I,'14_Materials_Log'!$B:$B,B120,'14_Materials_Log'!$C:$C,C120,'14_Materials_Log'!$D:$D,D120,'14_Materials_Log'!$J:$J,"Yes"))</x:f>
      </x:c>
      <x:c r="H120" s="70" t="str">
        <x:f>IF(OR(B120="",C120="",D120=""),"",SUMIFS('13_Labor_Time'!$L:$L,'13_Labor_Time'!$B:$B,B120,'13_Labor_Time'!$C:$C,C120,'13_Labor_Time'!$D:$D,D120))</x:f>
      </x:c>
      <x:c r="I120" s="70" t="str">
        <x:f>IF(OR(B120="",C120="",D120=""),"",SUMIFS('15_Equipment_Log'!$M:$M,'15_Equipment_Log'!$B:$B,B120,'15_Equipment_Log'!$C:$C,C120,'15_Equipment_Log'!$D:$D,D120))</x:f>
      </x:c>
      <x:c r="J120" s="15"/>
      <x:c r="K120" s="15"/>
      <x:c r="L120" s="15"/>
      <x:c r="M120" s="15"/>
      <x:c r="N120" s="70" t="str">
        <x:f>IF(COUNTA(B120:E120,J120:M120)=0,"",F120+G120-H120-I120)</x:f>
      </x:c>
      <x:c r="O120" s="15" t="str">
        <x:f>IF(COUNTA(B120:E120,J120:M120)=0,"",TEXTJOIN("; ",TRUE,IF(B120="","Missing work date",""),IF(C120="","Missing project",""),IF(D120="","Missing job",""),IF(J120&lt;&gt;"Yes","Backup incomplete",""),IF(K120&lt;&gt;"Yes","Redline incomplete",""),IF(L120&lt;&gt;"Yes","Customer not approved",""),IF(M120&lt;&gt;"Ready","Invoice not ready","")))</x:f>
      </x:c>
    </x:row>
    <x:row r="121" ht="20" customHeight="1">
      <x:c r="A121" s="15"/>
      <x:c r="B121" s="28"/>
      <x:c r="C121" s="15"/>
      <x:c r="D121" s="15"/>
      <x:c r="E121" s="15"/>
      <x:c r="F121" s="70" t="str">
        <x:f>IF(OR(B121="",C121="",D121=""),"",SUMIFS('12_Production_Log'!$M:$M,'12_Production_Log'!$B:$B,B121,'12_Production_Log'!$C:$C,C121,'12_Production_Log'!$D:$D,D121))</x:f>
      </x:c>
      <x:c r="G121" s="70" t="str">
        <x:f>IF(OR(B121="",C121="",D121=""),"",SUMIFS('14_Materials_Log'!$I:$I,'14_Materials_Log'!$B:$B,B121,'14_Materials_Log'!$C:$C,C121,'14_Materials_Log'!$D:$D,D121,'14_Materials_Log'!$J:$J,"Yes"))</x:f>
      </x:c>
      <x:c r="H121" s="70" t="str">
        <x:f>IF(OR(B121="",C121="",D121=""),"",SUMIFS('13_Labor_Time'!$L:$L,'13_Labor_Time'!$B:$B,B121,'13_Labor_Time'!$C:$C,C121,'13_Labor_Time'!$D:$D,D121))</x:f>
      </x:c>
      <x:c r="I121" s="70" t="str">
        <x:f>IF(OR(B121="",C121="",D121=""),"",SUMIFS('15_Equipment_Log'!$M:$M,'15_Equipment_Log'!$B:$B,B121,'15_Equipment_Log'!$C:$C,C121,'15_Equipment_Log'!$D:$D,D121))</x:f>
      </x:c>
      <x:c r="J121" s="15"/>
      <x:c r="K121" s="15"/>
      <x:c r="L121" s="15"/>
      <x:c r="M121" s="15"/>
      <x:c r="N121" s="70" t="str">
        <x:f>IF(COUNTA(B121:E121,J121:M121)=0,"",F121+G121-H121-I121)</x:f>
      </x:c>
      <x:c r="O121" s="15" t="str">
        <x:f>IF(COUNTA(B121:E121,J121:M121)=0,"",TEXTJOIN("; ",TRUE,IF(B121="","Missing work date",""),IF(C121="","Missing project",""),IF(D121="","Missing job",""),IF(J121&lt;&gt;"Yes","Backup incomplete",""),IF(K121&lt;&gt;"Yes","Redline incomplete",""),IF(L121&lt;&gt;"Yes","Customer not approved",""),IF(M121&lt;&gt;"Ready","Invoice not ready","")))</x:f>
      </x:c>
    </x:row>
    <x:row r="122" ht="20" customHeight="1">
      <x:c r="A122" s="15"/>
      <x:c r="B122" s="28"/>
      <x:c r="C122" s="15"/>
      <x:c r="D122" s="15"/>
      <x:c r="E122" s="15"/>
      <x:c r="F122" s="70" t="str">
        <x:f>IF(OR(B122="",C122="",D122=""),"",SUMIFS('12_Production_Log'!$M:$M,'12_Production_Log'!$B:$B,B122,'12_Production_Log'!$C:$C,C122,'12_Production_Log'!$D:$D,D122))</x:f>
      </x:c>
      <x:c r="G122" s="70" t="str">
        <x:f>IF(OR(B122="",C122="",D122=""),"",SUMIFS('14_Materials_Log'!$I:$I,'14_Materials_Log'!$B:$B,B122,'14_Materials_Log'!$C:$C,C122,'14_Materials_Log'!$D:$D,D122,'14_Materials_Log'!$J:$J,"Yes"))</x:f>
      </x:c>
      <x:c r="H122" s="70" t="str">
        <x:f>IF(OR(B122="",C122="",D122=""),"",SUMIFS('13_Labor_Time'!$L:$L,'13_Labor_Time'!$B:$B,B122,'13_Labor_Time'!$C:$C,C122,'13_Labor_Time'!$D:$D,D122))</x:f>
      </x:c>
      <x:c r="I122" s="70" t="str">
        <x:f>IF(OR(B122="",C122="",D122=""),"",SUMIFS('15_Equipment_Log'!$M:$M,'15_Equipment_Log'!$B:$B,B122,'15_Equipment_Log'!$C:$C,C122,'15_Equipment_Log'!$D:$D,D122))</x:f>
      </x:c>
      <x:c r="J122" s="15"/>
      <x:c r="K122" s="15"/>
      <x:c r="L122" s="15"/>
      <x:c r="M122" s="15"/>
      <x:c r="N122" s="70" t="str">
        <x:f>IF(COUNTA(B122:E122,J122:M122)=0,"",F122+G122-H122-I122)</x:f>
      </x:c>
      <x:c r="O122" s="15" t="str">
        <x:f>IF(COUNTA(B122:E122,J122:M122)=0,"",TEXTJOIN("; ",TRUE,IF(B122="","Missing work date",""),IF(C122="","Missing project",""),IF(D122="","Missing job",""),IF(J122&lt;&gt;"Yes","Backup incomplete",""),IF(K122&lt;&gt;"Yes","Redline incomplete",""),IF(L122&lt;&gt;"Yes","Customer not approved",""),IF(M122&lt;&gt;"Ready","Invoice not ready","")))</x:f>
      </x:c>
    </x:row>
    <x:row r="123" ht="20" customHeight="1">
      <x:c r="A123" s="15"/>
      <x:c r="B123" s="28"/>
      <x:c r="C123" s="15"/>
      <x:c r="D123" s="15"/>
      <x:c r="E123" s="15"/>
      <x:c r="F123" s="70" t="str">
        <x:f>IF(OR(B123="",C123="",D123=""),"",SUMIFS('12_Production_Log'!$M:$M,'12_Production_Log'!$B:$B,B123,'12_Production_Log'!$C:$C,C123,'12_Production_Log'!$D:$D,D123))</x:f>
      </x:c>
      <x:c r="G123" s="70" t="str">
        <x:f>IF(OR(B123="",C123="",D123=""),"",SUMIFS('14_Materials_Log'!$I:$I,'14_Materials_Log'!$B:$B,B123,'14_Materials_Log'!$C:$C,C123,'14_Materials_Log'!$D:$D,D123,'14_Materials_Log'!$J:$J,"Yes"))</x:f>
      </x:c>
      <x:c r="H123" s="70" t="str">
        <x:f>IF(OR(B123="",C123="",D123=""),"",SUMIFS('13_Labor_Time'!$L:$L,'13_Labor_Time'!$B:$B,B123,'13_Labor_Time'!$C:$C,C123,'13_Labor_Time'!$D:$D,D123))</x:f>
      </x:c>
      <x:c r="I123" s="70" t="str">
        <x:f>IF(OR(B123="",C123="",D123=""),"",SUMIFS('15_Equipment_Log'!$M:$M,'15_Equipment_Log'!$B:$B,B123,'15_Equipment_Log'!$C:$C,C123,'15_Equipment_Log'!$D:$D,D123))</x:f>
      </x:c>
      <x:c r="J123" s="15"/>
      <x:c r="K123" s="15"/>
      <x:c r="L123" s="15"/>
      <x:c r="M123" s="15"/>
      <x:c r="N123" s="70" t="str">
        <x:f>IF(COUNTA(B123:E123,J123:M123)=0,"",F123+G123-H123-I123)</x:f>
      </x:c>
      <x:c r="O123" s="15" t="str">
        <x:f>IF(COUNTA(B123:E123,J123:M123)=0,"",TEXTJOIN("; ",TRUE,IF(B123="","Missing work date",""),IF(C123="","Missing project",""),IF(D123="","Missing job",""),IF(J123&lt;&gt;"Yes","Backup incomplete",""),IF(K123&lt;&gt;"Yes","Redline incomplete",""),IF(L123&lt;&gt;"Yes","Customer not approved",""),IF(M123&lt;&gt;"Ready","Invoice not ready","")))</x:f>
      </x:c>
    </x:row>
    <x:row r="124" ht="20" customHeight="1">
      <x:c r="A124" s="15"/>
      <x:c r="B124" s="28"/>
      <x:c r="C124" s="15"/>
      <x:c r="D124" s="15"/>
      <x:c r="E124" s="15"/>
      <x:c r="F124" s="70" t="str">
        <x:f>IF(OR(B124="",C124="",D124=""),"",SUMIFS('12_Production_Log'!$M:$M,'12_Production_Log'!$B:$B,B124,'12_Production_Log'!$C:$C,C124,'12_Production_Log'!$D:$D,D124))</x:f>
      </x:c>
      <x:c r="G124" s="70" t="str">
        <x:f>IF(OR(B124="",C124="",D124=""),"",SUMIFS('14_Materials_Log'!$I:$I,'14_Materials_Log'!$B:$B,B124,'14_Materials_Log'!$C:$C,C124,'14_Materials_Log'!$D:$D,D124,'14_Materials_Log'!$J:$J,"Yes"))</x:f>
      </x:c>
      <x:c r="H124" s="70" t="str">
        <x:f>IF(OR(B124="",C124="",D124=""),"",SUMIFS('13_Labor_Time'!$L:$L,'13_Labor_Time'!$B:$B,B124,'13_Labor_Time'!$C:$C,C124,'13_Labor_Time'!$D:$D,D124))</x:f>
      </x:c>
      <x:c r="I124" s="70" t="str">
        <x:f>IF(OR(B124="",C124="",D124=""),"",SUMIFS('15_Equipment_Log'!$M:$M,'15_Equipment_Log'!$B:$B,B124,'15_Equipment_Log'!$C:$C,C124,'15_Equipment_Log'!$D:$D,D124))</x:f>
      </x:c>
      <x:c r="J124" s="15"/>
      <x:c r="K124" s="15"/>
      <x:c r="L124" s="15"/>
      <x:c r="M124" s="15"/>
      <x:c r="N124" s="70" t="str">
        <x:f>IF(COUNTA(B124:E124,J124:M124)=0,"",F124+G124-H124-I124)</x:f>
      </x:c>
      <x:c r="O124" s="15" t="str">
        <x:f>IF(COUNTA(B124:E124,J124:M124)=0,"",TEXTJOIN("; ",TRUE,IF(B124="","Missing work date",""),IF(C124="","Missing project",""),IF(D124="","Missing job",""),IF(J124&lt;&gt;"Yes","Backup incomplete",""),IF(K124&lt;&gt;"Yes","Redline incomplete",""),IF(L124&lt;&gt;"Yes","Customer not approved",""),IF(M124&lt;&gt;"Ready","Invoice not ready","")))</x:f>
      </x:c>
    </x:row>
    <x:row r="125" ht="20" customHeight="1">
      <x:c r="A125" s="15"/>
      <x:c r="B125" s="28"/>
      <x:c r="C125" s="15"/>
      <x:c r="D125" s="15"/>
      <x:c r="E125" s="15"/>
      <x:c r="F125" s="70" t="str">
        <x:f>IF(OR(B125="",C125="",D125=""),"",SUMIFS('12_Production_Log'!$M:$M,'12_Production_Log'!$B:$B,B125,'12_Production_Log'!$C:$C,C125,'12_Production_Log'!$D:$D,D125))</x:f>
      </x:c>
      <x:c r="G125" s="70" t="str">
        <x:f>IF(OR(B125="",C125="",D125=""),"",SUMIFS('14_Materials_Log'!$I:$I,'14_Materials_Log'!$B:$B,B125,'14_Materials_Log'!$C:$C,C125,'14_Materials_Log'!$D:$D,D125,'14_Materials_Log'!$J:$J,"Yes"))</x:f>
      </x:c>
      <x:c r="H125" s="70" t="str">
        <x:f>IF(OR(B125="",C125="",D125=""),"",SUMIFS('13_Labor_Time'!$L:$L,'13_Labor_Time'!$B:$B,B125,'13_Labor_Time'!$C:$C,C125,'13_Labor_Time'!$D:$D,D125))</x:f>
      </x:c>
      <x:c r="I125" s="70" t="str">
        <x:f>IF(OR(B125="",C125="",D125=""),"",SUMIFS('15_Equipment_Log'!$M:$M,'15_Equipment_Log'!$B:$B,B125,'15_Equipment_Log'!$C:$C,C125,'15_Equipment_Log'!$D:$D,D125))</x:f>
      </x:c>
      <x:c r="J125" s="15"/>
      <x:c r="K125" s="15"/>
      <x:c r="L125" s="15"/>
      <x:c r="M125" s="15"/>
      <x:c r="N125" s="70" t="str">
        <x:f>IF(COUNTA(B125:E125,J125:M125)=0,"",F125+G125-H125-I125)</x:f>
      </x:c>
      <x:c r="O125" s="15" t="str">
        <x:f>IF(COUNTA(B125:E125,J125:M125)=0,"",TEXTJOIN("; ",TRUE,IF(B125="","Missing work date",""),IF(C125="","Missing project",""),IF(D125="","Missing job",""),IF(J125&lt;&gt;"Yes","Backup incomplete",""),IF(K125&lt;&gt;"Yes","Redline incomplete",""),IF(L125&lt;&gt;"Yes","Customer not approved",""),IF(M125&lt;&gt;"Ready","Invoice not ready","")))</x:f>
      </x:c>
    </x:row>
    <x:row r="126" ht="20" customHeight="1">
      <x:c r="A126" s="15"/>
      <x:c r="B126" s="28"/>
      <x:c r="C126" s="15"/>
      <x:c r="D126" s="15"/>
      <x:c r="E126" s="15"/>
      <x:c r="F126" s="70" t="str">
        <x:f>IF(OR(B126="",C126="",D126=""),"",SUMIFS('12_Production_Log'!$M:$M,'12_Production_Log'!$B:$B,B126,'12_Production_Log'!$C:$C,C126,'12_Production_Log'!$D:$D,D126))</x:f>
      </x:c>
      <x:c r="G126" s="70" t="str">
        <x:f>IF(OR(B126="",C126="",D126=""),"",SUMIFS('14_Materials_Log'!$I:$I,'14_Materials_Log'!$B:$B,B126,'14_Materials_Log'!$C:$C,C126,'14_Materials_Log'!$D:$D,D126,'14_Materials_Log'!$J:$J,"Yes"))</x:f>
      </x:c>
      <x:c r="H126" s="70" t="str">
        <x:f>IF(OR(B126="",C126="",D126=""),"",SUMIFS('13_Labor_Time'!$L:$L,'13_Labor_Time'!$B:$B,B126,'13_Labor_Time'!$C:$C,C126,'13_Labor_Time'!$D:$D,D126))</x:f>
      </x:c>
      <x:c r="I126" s="70" t="str">
        <x:f>IF(OR(B126="",C126="",D126=""),"",SUMIFS('15_Equipment_Log'!$M:$M,'15_Equipment_Log'!$B:$B,B126,'15_Equipment_Log'!$C:$C,C126,'15_Equipment_Log'!$D:$D,D126))</x:f>
      </x:c>
      <x:c r="J126" s="15"/>
      <x:c r="K126" s="15"/>
      <x:c r="L126" s="15"/>
      <x:c r="M126" s="15"/>
      <x:c r="N126" s="70" t="str">
        <x:f>IF(COUNTA(B126:E126,J126:M126)=0,"",F126+G126-H126-I126)</x:f>
      </x:c>
      <x:c r="O126" s="15" t="str">
        <x:f>IF(COUNTA(B126:E126,J126:M126)=0,"",TEXTJOIN("; ",TRUE,IF(B126="","Missing work date",""),IF(C126="","Missing project",""),IF(D126="","Missing job",""),IF(J126&lt;&gt;"Yes","Backup incomplete",""),IF(K126&lt;&gt;"Yes","Redline incomplete",""),IF(L126&lt;&gt;"Yes","Customer not approved",""),IF(M126&lt;&gt;"Ready","Invoice not ready","")))</x:f>
      </x:c>
    </x:row>
    <x:row r="127" ht="20" customHeight="1">
      <x:c r="A127" s="15"/>
      <x:c r="B127" s="28"/>
      <x:c r="C127" s="15"/>
      <x:c r="D127" s="15"/>
      <x:c r="E127" s="15"/>
      <x:c r="F127" s="70" t="str">
        <x:f>IF(OR(B127="",C127="",D127=""),"",SUMIFS('12_Production_Log'!$M:$M,'12_Production_Log'!$B:$B,B127,'12_Production_Log'!$C:$C,C127,'12_Production_Log'!$D:$D,D127))</x:f>
      </x:c>
      <x:c r="G127" s="70" t="str">
        <x:f>IF(OR(B127="",C127="",D127=""),"",SUMIFS('14_Materials_Log'!$I:$I,'14_Materials_Log'!$B:$B,B127,'14_Materials_Log'!$C:$C,C127,'14_Materials_Log'!$D:$D,D127,'14_Materials_Log'!$J:$J,"Yes"))</x:f>
      </x:c>
      <x:c r="H127" s="70" t="str">
        <x:f>IF(OR(B127="",C127="",D127=""),"",SUMIFS('13_Labor_Time'!$L:$L,'13_Labor_Time'!$B:$B,B127,'13_Labor_Time'!$C:$C,C127,'13_Labor_Time'!$D:$D,D127))</x:f>
      </x:c>
      <x:c r="I127" s="70" t="str">
        <x:f>IF(OR(B127="",C127="",D127=""),"",SUMIFS('15_Equipment_Log'!$M:$M,'15_Equipment_Log'!$B:$B,B127,'15_Equipment_Log'!$C:$C,C127,'15_Equipment_Log'!$D:$D,D127))</x:f>
      </x:c>
      <x:c r="J127" s="15"/>
      <x:c r="K127" s="15"/>
      <x:c r="L127" s="15"/>
      <x:c r="M127" s="15"/>
      <x:c r="N127" s="70" t="str">
        <x:f>IF(COUNTA(B127:E127,J127:M127)=0,"",F127+G127-H127-I127)</x:f>
      </x:c>
      <x:c r="O127" s="15" t="str">
        <x:f>IF(COUNTA(B127:E127,J127:M127)=0,"",TEXTJOIN("; ",TRUE,IF(B127="","Missing work date",""),IF(C127="","Missing project",""),IF(D127="","Missing job",""),IF(J127&lt;&gt;"Yes","Backup incomplete",""),IF(K127&lt;&gt;"Yes","Redline incomplete",""),IF(L127&lt;&gt;"Yes","Customer not approved",""),IF(M127&lt;&gt;"Ready","Invoice not ready","")))</x:f>
      </x:c>
    </x:row>
    <x:row r="128" ht="20" customHeight="1">
      <x:c r="A128" s="15"/>
      <x:c r="B128" s="28"/>
      <x:c r="C128" s="15"/>
      <x:c r="D128" s="15"/>
      <x:c r="E128" s="15"/>
      <x:c r="F128" s="70" t="str">
        <x:f>IF(OR(B128="",C128="",D128=""),"",SUMIFS('12_Production_Log'!$M:$M,'12_Production_Log'!$B:$B,B128,'12_Production_Log'!$C:$C,C128,'12_Production_Log'!$D:$D,D128))</x:f>
      </x:c>
      <x:c r="G128" s="70" t="str">
        <x:f>IF(OR(B128="",C128="",D128=""),"",SUMIFS('14_Materials_Log'!$I:$I,'14_Materials_Log'!$B:$B,B128,'14_Materials_Log'!$C:$C,C128,'14_Materials_Log'!$D:$D,D128,'14_Materials_Log'!$J:$J,"Yes"))</x:f>
      </x:c>
      <x:c r="H128" s="70" t="str">
        <x:f>IF(OR(B128="",C128="",D128=""),"",SUMIFS('13_Labor_Time'!$L:$L,'13_Labor_Time'!$B:$B,B128,'13_Labor_Time'!$C:$C,C128,'13_Labor_Time'!$D:$D,D128))</x:f>
      </x:c>
      <x:c r="I128" s="70" t="str">
        <x:f>IF(OR(B128="",C128="",D128=""),"",SUMIFS('15_Equipment_Log'!$M:$M,'15_Equipment_Log'!$B:$B,B128,'15_Equipment_Log'!$C:$C,C128,'15_Equipment_Log'!$D:$D,D128))</x:f>
      </x:c>
      <x:c r="J128" s="15"/>
      <x:c r="K128" s="15"/>
      <x:c r="L128" s="15"/>
      <x:c r="M128" s="15"/>
      <x:c r="N128" s="70" t="str">
        <x:f>IF(COUNTA(B128:E128,J128:M128)=0,"",F128+G128-H128-I128)</x:f>
      </x:c>
      <x:c r="O128" s="15" t="str">
        <x:f>IF(COUNTA(B128:E128,J128:M128)=0,"",TEXTJOIN("; ",TRUE,IF(B128="","Missing work date",""),IF(C128="","Missing project",""),IF(D128="","Missing job",""),IF(J128&lt;&gt;"Yes","Backup incomplete",""),IF(K128&lt;&gt;"Yes","Redline incomplete",""),IF(L128&lt;&gt;"Yes","Customer not approved",""),IF(M128&lt;&gt;"Ready","Invoice not ready","")))</x:f>
      </x:c>
    </x:row>
    <x:row r="129" ht="20" customHeight="1">
      <x:c r="A129" s="15"/>
      <x:c r="B129" s="28"/>
      <x:c r="C129" s="15"/>
      <x:c r="D129" s="15"/>
      <x:c r="E129" s="15"/>
      <x:c r="F129" s="70" t="str">
        <x:f>IF(OR(B129="",C129="",D129=""),"",SUMIFS('12_Production_Log'!$M:$M,'12_Production_Log'!$B:$B,B129,'12_Production_Log'!$C:$C,C129,'12_Production_Log'!$D:$D,D129))</x:f>
      </x:c>
      <x:c r="G129" s="70" t="str">
        <x:f>IF(OR(B129="",C129="",D129=""),"",SUMIFS('14_Materials_Log'!$I:$I,'14_Materials_Log'!$B:$B,B129,'14_Materials_Log'!$C:$C,C129,'14_Materials_Log'!$D:$D,D129,'14_Materials_Log'!$J:$J,"Yes"))</x:f>
      </x:c>
      <x:c r="H129" s="70" t="str">
        <x:f>IF(OR(B129="",C129="",D129=""),"",SUMIFS('13_Labor_Time'!$L:$L,'13_Labor_Time'!$B:$B,B129,'13_Labor_Time'!$C:$C,C129,'13_Labor_Time'!$D:$D,D129))</x:f>
      </x:c>
      <x:c r="I129" s="70" t="str">
        <x:f>IF(OR(B129="",C129="",D129=""),"",SUMIFS('15_Equipment_Log'!$M:$M,'15_Equipment_Log'!$B:$B,B129,'15_Equipment_Log'!$C:$C,C129,'15_Equipment_Log'!$D:$D,D129))</x:f>
      </x:c>
      <x:c r="J129" s="15"/>
      <x:c r="K129" s="15"/>
      <x:c r="L129" s="15"/>
      <x:c r="M129" s="15"/>
      <x:c r="N129" s="70" t="str">
        <x:f>IF(COUNTA(B129:E129,J129:M129)=0,"",F129+G129-H129-I129)</x:f>
      </x:c>
      <x:c r="O129" s="15" t="str">
        <x:f>IF(COUNTA(B129:E129,J129:M129)=0,"",TEXTJOIN("; ",TRUE,IF(B129="","Missing work date",""),IF(C129="","Missing project",""),IF(D129="","Missing job",""),IF(J129&lt;&gt;"Yes","Backup incomplete",""),IF(K129&lt;&gt;"Yes","Redline incomplete",""),IF(L129&lt;&gt;"Yes","Customer not approved",""),IF(M129&lt;&gt;"Ready","Invoice not ready","")))</x:f>
      </x:c>
    </x:row>
    <x:row r="130" ht="20" customHeight="1">
      <x:c r="A130" s="15"/>
      <x:c r="B130" s="28"/>
      <x:c r="C130" s="15"/>
      <x:c r="D130" s="15"/>
      <x:c r="E130" s="15"/>
      <x:c r="F130" s="70" t="str">
        <x:f>IF(OR(B130="",C130="",D130=""),"",SUMIFS('12_Production_Log'!$M:$M,'12_Production_Log'!$B:$B,B130,'12_Production_Log'!$C:$C,C130,'12_Production_Log'!$D:$D,D130))</x:f>
      </x:c>
      <x:c r="G130" s="70" t="str">
        <x:f>IF(OR(B130="",C130="",D130=""),"",SUMIFS('14_Materials_Log'!$I:$I,'14_Materials_Log'!$B:$B,B130,'14_Materials_Log'!$C:$C,C130,'14_Materials_Log'!$D:$D,D130,'14_Materials_Log'!$J:$J,"Yes"))</x:f>
      </x:c>
      <x:c r="H130" s="70" t="str">
        <x:f>IF(OR(B130="",C130="",D130=""),"",SUMIFS('13_Labor_Time'!$L:$L,'13_Labor_Time'!$B:$B,B130,'13_Labor_Time'!$C:$C,C130,'13_Labor_Time'!$D:$D,D130))</x:f>
      </x:c>
      <x:c r="I130" s="70" t="str">
        <x:f>IF(OR(B130="",C130="",D130=""),"",SUMIFS('15_Equipment_Log'!$M:$M,'15_Equipment_Log'!$B:$B,B130,'15_Equipment_Log'!$C:$C,C130,'15_Equipment_Log'!$D:$D,D130))</x:f>
      </x:c>
      <x:c r="J130" s="15"/>
      <x:c r="K130" s="15"/>
      <x:c r="L130" s="15"/>
      <x:c r="M130" s="15"/>
      <x:c r="N130" s="70" t="str">
        <x:f>IF(COUNTA(B130:E130,J130:M130)=0,"",F130+G130-H130-I130)</x:f>
      </x:c>
      <x:c r="O130" s="15" t="str">
        <x:f>IF(COUNTA(B130:E130,J130:M130)=0,"",TEXTJOIN("; ",TRUE,IF(B130="","Missing work date",""),IF(C130="","Missing project",""),IF(D130="","Missing job",""),IF(J130&lt;&gt;"Yes","Backup incomplete",""),IF(K130&lt;&gt;"Yes","Redline incomplete",""),IF(L130&lt;&gt;"Yes","Customer not approved",""),IF(M130&lt;&gt;"Ready","Invoice not ready","")))</x:f>
      </x:c>
    </x:row>
    <x:row r="131" ht="20" customHeight="1">
      <x:c r="A131" s="15"/>
      <x:c r="B131" s="28"/>
      <x:c r="C131" s="15"/>
      <x:c r="D131" s="15"/>
      <x:c r="E131" s="15"/>
      <x:c r="F131" s="70" t="str">
        <x:f>IF(OR(B131="",C131="",D131=""),"",SUMIFS('12_Production_Log'!$M:$M,'12_Production_Log'!$B:$B,B131,'12_Production_Log'!$C:$C,C131,'12_Production_Log'!$D:$D,D131))</x:f>
      </x:c>
      <x:c r="G131" s="70" t="str">
        <x:f>IF(OR(B131="",C131="",D131=""),"",SUMIFS('14_Materials_Log'!$I:$I,'14_Materials_Log'!$B:$B,B131,'14_Materials_Log'!$C:$C,C131,'14_Materials_Log'!$D:$D,D131,'14_Materials_Log'!$J:$J,"Yes"))</x:f>
      </x:c>
      <x:c r="H131" s="70" t="str">
        <x:f>IF(OR(B131="",C131="",D131=""),"",SUMIFS('13_Labor_Time'!$L:$L,'13_Labor_Time'!$B:$B,B131,'13_Labor_Time'!$C:$C,C131,'13_Labor_Time'!$D:$D,D131))</x:f>
      </x:c>
      <x:c r="I131" s="70" t="str">
        <x:f>IF(OR(B131="",C131="",D131=""),"",SUMIFS('15_Equipment_Log'!$M:$M,'15_Equipment_Log'!$B:$B,B131,'15_Equipment_Log'!$C:$C,C131,'15_Equipment_Log'!$D:$D,D131))</x:f>
      </x:c>
      <x:c r="J131" s="15"/>
      <x:c r="K131" s="15"/>
      <x:c r="L131" s="15"/>
      <x:c r="M131" s="15"/>
      <x:c r="N131" s="70" t="str">
        <x:f>IF(COUNTA(B131:E131,J131:M131)=0,"",F131+G131-H131-I131)</x:f>
      </x:c>
      <x:c r="O131" s="15" t="str">
        <x:f>IF(COUNTA(B131:E131,J131:M131)=0,"",TEXTJOIN("; ",TRUE,IF(B131="","Missing work date",""),IF(C131="","Missing project",""),IF(D131="","Missing job",""),IF(J131&lt;&gt;"Yes","Backup incomplete",""),IF(K131&lt;&gt;"Yes","Redline incomplete",""),IF(L131&lt;&gt;"Yes","Customer not approved",""),IF(M131&lt;&gt;"Ready","Invoice not ready","")))</x:f>
      </x:c>
    </x:row>
    <x:row r="132" ht="20" customHeight="1">
      <x:c r="A132" s="15"/>
      <x:c r="B132" s="28"/>
      <x:c r="C132" s="15"/>
      <x:c r="D132" s="15"/>
      <x:c r="E132" s="15"/>
      <x:c r="F132" s="70" t="str">
        <x:f>IF(OR(B132="",C132="",D132=""),"",SUMIFS('12_Production_Log'!$M:$M,'12_Production_Log'!$B:$B,B132,'12_Production_Log'!$C:$C,C132,'12_Production_Log'!$D:$D,D132))</x:f>
      </x:c>
      <x:c r="G132" s="70" t="str">
        <x:f>IF(OR(B132="",C132="",D132=""),"",SUMIFS('14_Materials_Log'!$I:$I,'14_Materials_Log'!$B:$B,B132,'14_Materials_Log'!$C:$C,C132,'14_Materials_Log'!$D:$D,D132,'14_Materials_Log'!$J:$J,"Yes"))</x:f>
      </x:c>
      <x:c r="H132" s="70" t="str">
        <x:f>IF(OR(B132="",C132="",D132=""),"",SUMIFS('13_Labor_Time'!$L:$L,'13_Labor_Time'!$B:$B,B132,'13_Labor_Time'!$C:$C,C132,'13_Labor_Time'!$D:$D,D132))</x:f>
      </x:c>
      <x:c r="I132" s="70" t="str">
        <x:f>IF(OR(B132="",C132="",D132=""),"",SUMIFS('15_Equipment_Log'!$M:$M,'15_Equipment_Log'!$B:$B,B132,'15_Equipment_Log'!$C:$C,C132,'15_Equipment_Log'!$D:$D,D132))</x:f>
      </x:c>
      <x:c r="J132" s="15"/>
      <x:c r="K132" s="15"/>
      <x:c r="L132" s="15"/>
      <x:c r="M132" s="15"/>
      <x:c r="N132" s="70" t="str">
        <x:f>IF(COUNTA(B132:E132,J132:M132)=0,"",F132+G132-H132-I132)</x:f>
      </x:c>
      <x:c r="O132" s="15" t="str">
        <x:f>IF(COUNTA(B132:E132,J132:M132)=0,"",TEXTJOIN("; ",TRUE,IF(B132="","Missing work date",""),IF(C132="","Missing project",""),IF(D132="","Missing job",""),IF(J132&lt;&gt;"Yes","Backup incomplete",""),IF(K132&lt;&gt;"Yes","Redline incomplete",""),IF(L132&lt;&gt;"Yes","Customer not approved",""),IF(M132&lt;&gt;"Ready","Invoice not ready","")))</x:f>
      </x:c>
    </x:row>
    <x:row r="133" ht="20" customHeight="1">
      <x:c r="A133" s="15"/>
      <x:c r="B133" s="28"/>
      <x:c r="C133" s="15"/>
      <x:c r="D133" s="15"/>
      <x:c r="E133" s="15"/>
      <x:c r="F133" s="70" t="str">
        <x:f>IF(OR(B133="",C133="",D133=""),"",SUMIFS('12_Production_Log'!$M:$M,'12_Production_Log'!$B:$B,B133,'12_Production_Log'!$C:$C,C133,'12_Production_Log'!$D:$D,D133))</x:f>
      </x:c>
      <x:c r="G133" s="70" t="str">
        <x:f>IF(OR(B133="",C133="",D133=""),"",SUMIFS('14_Materials_Log'!$I:$I,'14_Materials_Log'!$B:$B,B133,'14_Materials_Log'!$C:$C,C133,'14_Materials_Log'!$D:$D,D133,'14_Materials_Log'!$J:$J,"Yes"))</x:f>
      </x:c>
      <x:c r="H133" s="70" t="str">
        <x:f>IF(OR(B133="",C133="",D133=""),"",SUMIFS('13_Labor_Time'!$L:$L,'13_Labor_Time'!$B:$B,B133,'13_Labor_Time'!$C:$C,C133,'13_Labor_Time'!$D:$D,D133))</x:f>
      </x:c>
      <x:c r="I133" s="70" t="str">
        <x:f>IF(OR(B133="",C133="",D133=""),"",SUMIFS('15_Equipment_Log'!$M:$M,'15_Equipment_Log'!$B:$B,B133,'15_Equipment_Log'!$C:$C,C133,'15_Equipment_Log'!$D:$D,D133))</x:f>
      </x:c>
      <x:c r="J133" s="15"/>
      <x:c r="K133" s="15"/>
      <x:c r="L133" s="15"/>
      <x:c r="M133" s="15"/>
      <x:c r="N133" s="70" t="str">
        <x:f>IF(COUNTA(B133:E133,J133:M133)=0,"",F133+G133-H133-I133)</x:f>
      </x:c>
      <x:c r="O133" s="15" t="str">
        <x:f>IF(COUNTA(B133:E133,J133:M133)=0,"",TEXTJOIN("; ",TRUE,IF(B133="","Missing work date",""),IF(C133="","Missing project",""),IF(D133="","Missing job",""),IF(J133&lt;&gt;"Yes","Backup incomplete",""),IF(K133&lt;&gt;"Yes","Redline incomplete",""),IF(L133&lt;&gt;"Yes","Customer not approved",""),IF(M133&lt;&gt;"Ready","Invoice not ready","")))</x:f>
      </x:c>
    </x:row>
    <x:row r="134" ht="20" customHeight="1">
      <x:c r="A134" s="15"/>
      <x:c r="B134" s="28"/>
      <x:c r="C134" s="15"/>
      <x:c r="D134" s="15"/>
      <x:c r="E134" s="15"/>
      <x:c r="F134" s="70" t="str">
        <x:f>IF(OR(B134="",C134="",D134=""),"",SUMIFS('12_Production_Log'!$M:$M,'12_Production_Log'!$B:$B,B134,'12_Production_Log'!$C:$C,C134,'12_Production_Log'!$D:$D,D134))</x:f>
      </x:c>
      <x:c r="G134" s="70" t="str">
        <x:f>IF(OR(B134="",C134="",D134=""),"",SUMIFS('14_Materials_Log'!$I:$I,'14_Materials_Log'!$B:$B,B134,'14_Materials_Log'!$C:$C,C134,'14_Materials_Log'!$D:$D,D134,'14_Materials_Log'!$J:$J,"Yes"))</x:f>
      </x:c>
      <x:c r="H134" s="70" t="str">
        <x:f>IF(OR(B134="",C134="",D134=""),"",SUMIFS('13_Labor_Time'!$L:$L,'13_Labor_Time'!$B:$B,B134,'13_Labor_Time'!$C:$C,C134,'13_Labor_Time'!$D:$D,D134))</x:f>
      </x:c>
      <x:c r="I134" s="70" t="str">
        <x:f>IF(OR(B134="",C134="",D134=""),"",SUMIFS('15_Equipment_Log'!$M:$M,'15_Equipment_Log'!$B:$B,B134,'15_Equipment_Log'!$C:$C,C134,'15_Equipment_Log'!$D:$D,D134))</x:f>
      </x:c>
      <x:c r="J134" s="15"/>
      <x:c r="K134" s="15"/>
      <x:c r="L134" s="15"/>
      <x:c r="M134" s="15"/>
      <x:c r="N134" s="70" t="str">
        <x:f>IF(COUNTA(B134:E134,J134:M134)=0,"",F134+G134-H134-I134)</x:f>
      </x:c>
      <x:c r="O134" s="15" t="str">
        <x:f>IF(COUNTA(B134:E134,J134:M134)=0,"",TEXTJOIN("; ",TRUE,IF(B134="","Missing work date",""),IF(C134="","Missing project",""),IF(D134="","Missing job",""),IF(J134&lt;&gt;"Yes","Backup incomplete",""),IF(K134&lt;&gt;"Yes","Redline incomplete",""),IF(L134&lt;&gt;"Yes","Customer not approved",""),IF(M134&lt;&gt;"Ready","Invoice not ready","")))</x:f>
      </x:c>
    </x:row>
    <x:row r="135" ht="20" customHeight="1">
      <x:c r="A135" s="15"/>
      <x:c r="B135" s="28"/>
      <x:c r="C135" s="15"/>
      <x:c r="D135" s="15"/>
      <x:c r="E135" s="15"/>
      <x:c r="F135" s="70" t="str">
        <x:f>IF(OR(B135="",C135="",D135=""),"",SUMIFS('12_Production_Log'!$M:$M,'12_Production_Log'!$B:$B,B135,'12_Production_Log'!$C:$C,C135,'12_Production_Log'!$D:$D,D135))</x:f>
      </x:c>
      <x:c r="G135" s="70" t="str">
        <x:f>IF(OR(B135="",C135="",D135=""),"",SUMIFS('14_Materials_Log'!$I:$I,'14_Materials_Log'!$B:$B,B135,'14_Materials_Log'!$C:$C,C135,'14_Materials_Log'!$D:$D,D135,'14_Materials_Log'!$J:$J,"Yes"))</x:f>
      </x:c>
      <x:c r="H135" s="70" t="str">
        <x:f>IF(OR(B135="",C135="",D135=""),"",SUMIFS('13_Labor_Time'!$L:$L,'13_Labor_Time'!$B:$B,B135,'13_Labor_Time'!$C:$C,C135,'13_Labor_Time'!$D:$D,D135))</x:f>
      </x:c>
      <x:c r="I135" s="70" t="str">
        <x:f>IF(OR(B135="",C135="",D135=""),"",SUMIFS('15_Equipment_Log'!$M:$M,'15_Equipment_Log'!$B:$B,B135,'15_Equipment_Log'!$C:$C,C135,'15_Equipment_Log'!$D:$D,D135))</x:f>
      </x:c>
      <x:c r="J135" s="15"/>
      <x:c r="K135" s="15"/>
      <x:c r="L135" s="15"/>
      <x:c r="M135" s="15"/>
      <x:c r="N135" s="70" t="str">
        <x:f>IF(COUNTA(B135:E135,J135:M135)=0,"",F135+G135-H135-I135)</x:f>
      </x:c>
      <x:c r="O135" s="15" t="str">
        <x:f>IF(COUNTA(B135:E135,J135:M135)=0,"",TEXTJOIN("; ",TRUE,IF(B135="","Missing work date",""),IF(C135="","Missing project",""),IF(D135="","Missing job",""),IF(J135&lt;&gt;"Yes","Backup incomplete",""),IF(K135&lt;&gt;"Yes","Redline incomplete",""),IF(L135&lt;&gt;"Yes","Customer not approved",""),IF(M135&lt;&gt;"Ready","Invoice not ready","")))</x:f>
      </x:c>
    </x:row>
    <x:row r="136" ht="20" customHeight="1">
      <x:c r="A136" s="15"/>
      <x:c r="B136" s="28"/>
      <x:c r="C136" s="15"/>
      <x:c r="D136" s="15"/>
      <x:c r="E136" s="15"/>
      <x:c r="F136" s="70" t="str">
        <x:f>IF(OR(B136="",C136="",D136=""),"",SUMIFS('12_Production_Log'!$M:$M,'12_Production_Log'!$B:$B,B136,'12_Production_Log'!$C:$C,C136,'12_Production_Log'!$D:$D,D136))</x:f>
      </x:c>
      <x:c r="G136" s="70" t="str">
        <x:f>IF(OR(B136="",C136="",D136=""),"",SUMIFS('14_Materials_Log'!$I:$I,'14_Materials_Log'!$B:$B,B136,'14_Materials_Log'!$C:$C,C136,'14_Materials_Log'!$D:$D,D136,'14_Materials_Log'!$J:$J,"Yes"))</x:f>
      </x:c>
      <x:c r="H136" s="70" t="str">
        <x:f>IF(OR(B136="",C136="",D136=""),"",SUMIFS('13_Labor_Time'!$L:$L,'13_Labor_Time'!$B:$B,B136,'13_Labor_Time'!$C:$C,C136,'13_Labor_Time'!$D:$D,D136))</x:f>
      </x:c>
      <x:c r="I136" s="70" t="str">
        <x:f>IF(OR(B136="",C136="",D136=""),"",SUMIFS('15_Equipment_Log'!$M:$M,'15_Equipment_Log'!$B:$B,B136,'15_Equipment_Log'!$C:$C,C136,'15_Equipment_Log'!$D:$D,D136))</x:f>
      </x:c>
      <x:c r="J136" s="15"/>
      <x:c r="K136" s="15"/>
      <x:c r="L136" s="15"/>
      <x:c r="M136" s="15"/>
      <x:c r="N136" s="70" t="str">
        <x:f>IF(COUNTA(B136:E136,J136:M136)=0,"",F136+G136-H136-I136)</x:f>
      </x:c>
      <x:c r="O136" s="15" t="str">
        <x:f>IF(COUNTA(B136:E136,J136:M136)=0,"",TEXTJOIN("; ",TRUE,IF(B136="","Missing work date",""),IF(C136="","Missing project",""),IF(D136="","Missing job",""),IF(J136&lt;&gt;"Yes","Backup incomplete",""),IF(K136&lt;&gt;"Yes","Redline incomplete",""),IF(L136&lt;&gt;"Yes","Customer not approved",""),IF(M136&lt;&gt;"Ready","Invoice not ready","")))</x:f>
      </x:c>
    </x:row>
    <x:row r="137" ht="20" customHeight="1">
      <x:c r="A137" s="15"/>
      <x:c r="B137" s="28"/>
      <x:c r="C137" s="15"/>
      <x:c r="D137" s="15"/>
      <x:c r="E137" s="15"/>
      <x:c r="F137" s="70" t="str">
        <x:f>IF(OR(B137="",C137="",D137=""),"",SUMIFS('12_Production_Log'!$M:$M,'12_Production_Log'!$B:$B,B137,'12_Production_Log'!$C:$C,C137,'12_Production_Log'!$D:$D,D137))</x:f>
      </x:c>
      <x:c r="G137" s="70" t="str">
        <x:f>IF(OR(B137="",C137="",D137=""),"",SUMIFS('14_Materials_Log'!$I:$I,'14_Materials_Log'!$B:$B,B137,'14_Materials_Log'!$C:$C,C137,'14_Materials_Log'!$D:$D,D137,'14_Materials_Log'!$J:$J,"Yes"))</x:f>
      </x:c>
      <x:c r="H137" s="70" t="str">
        <x:f>IF(OR(B137="",C137="",D137=""),"",SUMIFS('13_Labor_Time'!$L:$L,'13_Labor_Time'!$B:$B,B137,'13_Labor_Time'!$C:$C,C137,'13_Labor_Time'!$D:$D,D137))</x:f>
      </x:c>
      <x:c r="I137" s="70" t="str">
        <x:f>IF(OR(B137="",C137="",D137=""),"",SUMIFS('15_Equipment_Log'!$M:$M,'15_Equipment_Log'!$B:$B,B137,'15_Equipment_Log'!$C:$C,C137,'15_Equipment_Log'!$D:$D,D137))</x:f>
      </x:c>
      <x:c r="J137" s="15"/>
      <x:c r="K137" s="15"/>
      <x:c r="L137" s="15"/>
      <x:c r="M137" s="15"/>
      <x:c r="N137" s="70" t="str">
        <x:f>IF(COUNTA(B137:E137,J137:M137)=0,"",F137+G137-H137-I137)</x:f>
      </x:c>
      <x:c r="O137" s="15" t="str">
        <x:f>IF(COUNTA(B137:E137,J137:M137)=0,"",TEXTJOIN("; ",TRUE,IF(B137="","Missing work date",""),IF(C137="","Missing project",""),IF(D137="","Missing job",""),IF(J137&lt;&gt;"Yes","Backup incomplete",""),IF(K137&lt;&gt;"Yes","Redline incomplete",""),IF(L137&lt;&gt;"Yes","Customer not approved",""),IF(M137&lt;&gt;"Ready","Invoice not ready","")))</x:f>
      </x:c>
    </x:row>
    <x:row r="138" ht="20" customHeight="1">
      <x:c r="A138" s="15"/>
      <x:c r="B138" s="28"/>
      <x:c r="C138" s="15"/>
      <x:c r="D138" s="15"/>
      <x:c r="E138" s="15"/>
      <x:c r="F138" s="70" t="str">
        <x:f>IF(OR(B138="",C138="",D138=""),"",SUMIFS('12_Production_Log'!$M:$M,'12_Production_Log'!$B:$B,B138,'12_Production_Log'!$C:$C,C138,'12_Production_Log'!$D:$D,D138))</x:f>
      </x:c>
      <x:c r="G138" s="70" t="str">
        <x:f>IF(OR(B138="",C138="",D138=""),"",SUMIFS('14_Materials_Log'!$I:$I,'14_Materials_Log'!$B:$B,B138,'14_Materials_Log'!$C:$C,C138,'14_Materials_Log'!$D:$D,D138,'14_Materials_Log'!$J:$J,"Yes"))</x:f>
      </x:c>
      <x:c r="H138" s="70" t="str">
        <x:f>IF(OR(B138="",C138="",D138=""),"",SUMIFS('13_Labor_Time'!$L:$L,'13_Labor_Time'!$B:$B,B138,'13_Labor_Time'!$C:$C,C138,'13_Labor_Time'!$D:$D,D138))</x:f>
      </x:c>
      <x:c r="I138" s="70" t="str">
        <x:f>IF(OR(B138="",C138="",D138=""),"",SUMIFS('15_Equipment_Log'!$M:$M,'15_Equipment_Log'!$B:$B,B138,'15_Equipment_Log'!$C:$C,C138,'15_Equipment_Log'!$D:$D,D138))</x:f>
      </x:c>
      <x:c r="J138" s="15"/>
      <x:c r="K138" s="15"/>
      <x:c r="L138" s="15"/>
      <x:c r="M138" s="15"/>
      <x:c r="N138" s="70" t="str">
        <x:f>IF(COUNTA(B138:E138,J138:M138)=0,"",F138+G138-H138-I138)</x:f>
      </x:c>
      <x:c r="O138" s="15" t="str">
        <x:f>IF(COUNTA(B138:E138,J138:M138)=0,"",TEXTJOIN("; ",TRUE,IF(B138="","Missing work date",""),IF(C138="","Missing project",""),IF(D138="","Missing job",""),IF(J138&lt;&gt;"Yes","Backup incomplete",""),IF(K138&lt;&gt;"Yes","Redline incomplete",""),IF(L138&lt;&gt;"Yes","Customer not approved",""),IF(M138&lt;&gt;"Ready","Invoice not ready","")))</x:f>
      </x:c>
    </x:row>
    <x:row r="139" ht="20" customHeight="1">
      <x:c r="A139" s="15"/>
      <x:c r="B139" s="28"/>
      <x:c r="C139" s="15"/>
      <x:c r="D139" s="15"/>
      <x:c r="E139" s="15"/>
      <x:c r="F139" s="70" t="str">
        <x:f>IF(OR(B139="",C139="",D139=""),"",SUMIFS('12_Production_Log'!$M:$M,'12_Production_Log'!$B:$B,B139,'12_Production_Log'!$C:$C,C139,'12_Production_Log'!$D:$D,D139))</x:f>
      </x:c>
      <x:c r="G139" s="70" t="str">
        <x:f>IF(OR(B139="",C139="",D139=""),"",SUMIFS('14_Materials_Log'!$I:$I,'14_Materials_Log'!$B:$B,B139,'14_Materials_Log'!$C:$C,C139,'14_Materials_Log'!$D:$D,D139,'14_Materials_Log'!$J:$J,"Yes"))</x:f>
      </x:c>
      <x:c r="H139" s="70" t="str">
        <x:f>IF(OR(B139="",C139="",D139=""),"",SUMIFS('13_Labor_Time'!$L:$L,'13_Labor_Time'!$B:$B,B139,'13_Labor_Time'!$C:$C,C139,'13_Labor_Time'!$D:$D,D139))</x:f>
      </x:c>
      <x:c r="I139" s="70" t="str">
        <x:f>IF(OR(B139="",C139="",D139=""),"",SUMIFS('15_Equipment_Log'!$M:$M,'15_Equipment_Log'!$B:$B,B139,'15_Equipment_Log'!$C:$C,C139,'15_Equipment_Log'!$D:$D,D139))</x:f>
      </x:c>
      <x:c r="J139" s="15"/>
      <x:c r="K139" s="15"/>
      <x:c r="L139" s="15"/>
      <x:c r="M139" s="15"/>
      <x:c r="N139" s="70" t="str">
        <x:f>IF(COUNTA(B139:E139,J139:M139)=0,"",F139+G139-H139-I139)</x:f>
      </x:c>
      <x:c r="O139" s="15" t="str">
        <x:f>IF(COUNTA(B139:E139,J139:M139)=0,"",TEXTJOIN("; ",TRUE,IF(B139="","Missing work date",""),IF(C139="","Missing project",""),IF(D139="","Missing job",""),IF(J139&lt;&gt;"Yes","Backup incomplete",""),IF(K139&lt;&gt;"Yes","Redline incomplete",""),IF(L139&lt;&gt;"Yes","Customer not approved",""),IF(M139&lt;&gt;"Ready","Invoice not ready","")))</x:f>
      </x:c>
    </x:row>
    <x:row r="140" ht="20" customHeight="1">
      <x:c r="A140" s="15"/>
      <x:c r="B140" s="28"/>
      <x:c r="C140" s="15"/>
      <x:c r="D140" s="15"/>
      <x:c r="E140" s="15"/>
      <x:c r="F140" s="70" t="str">
        <x:f>IF(OR(B140="",C140="",D140=""),"",SUMIFS('12_Production_Log'!$M:$M,'12_Production_Log'!$B:$B,B140,'12_Production_Log'!$C:$C,C140,'12_Production_Log'!$D:$D,D140))</x:f>
      </x:c>
      <x:c r="G140" s="70" t="str">
        <x:f>IF(OR(B140="",C140="",D140=""),"",SUMIFS('14_Materials_Log'!$I:$I,'14_Materials_Log'!$B:$B,B140,'14_Materials_Log'!$C:$C,C140,'14_Materials_Log'!$D:$D,D140,'14_Materials_Log'!$J:$J,"Yes"))</x:f>
      </x:c>
      <x:c r="H140" s="70" t="str">
        <x:f>IF(OR(B140="",C140="",D140=""),"",SUMIFS('13_Labor_Time'!$L:$L,'13_Labor_Time'!$B:$B,B140,'13_Labor_Time'!$C:$C,C140,'13_Labor_Time'!$D:$D,D140))</x:f>
      </x:c>
      <x:c r="I140" s="70" t="str">
        <x:f>IF(OR(B140="",C140="",D140=""),"",SUMIFS('15_Equipment_Log'!$M:$M,'15_Equipment_Log'!$B:$B,B140,'15_Equipment_Log'!$C:$C,C140,'15_Equipment_Log'!$D:$D,D140))</x:f>
      </x:c>
      <x:c r="J140" s="15"/>
      <x:c r="K140" s="15"/>
      <x:c r="L140" s="15"/>
      <x:c r="M140" s="15"/>
      <x:c r="N140" s="70" t="str">
        <x:f>IF(COUNTA(B140:E140,J140:M140)=0,"",F140+G140-H140-I140)</x:f>
      </x:c>
      <x:c r="O140" s="15" t="str">
        <x:f>IF(COUNTA(B140:E140,J140:M140)=0,"",TEXTJOIN("; ",TRUE,IF(B140="","Missing work date",""),IF(C140="","Missing project",""),IF(D140="","Missing job",""),IF(J140&lt;&gt;"Yes","Backup incomplete",""),IF(K140&lt;&gt;"Yes","Redline incomplete",""),IF(L140&lt;&gt;"Yes","Customer not approved",""),IF(M140&lt;&gt;"Ready","Invoice not ready","")))</x:f>
      </x:c>
    </x:row>
    <x:row r="141" ht="20" customHeight="1">
      <x:c r="A141" s="15"/>
      <x:c r="B141" s="28"/>
      <x:c r="C141" s="15"/>
      <x:c r="D141" s="15"/>
      <x:c r="E141" s="15"/>
      <x:c r="F141" s="70" t="str">
        <x:f>IF(OR(B141="",C141="",D141=""),"",SUMIFS('12_Production_Log'!$M:$M,'12_Production_Log'!$B:$B,B141,'12_Production_Log'!$C:$C,C141,'12_Production_Log'!$D:$D,D141))</x:f>
      </x:c>
      <x:c r="G141" s="70" t="str">
        <x:f>IF(OR(B141="",C141="",D141=""),"",SUMIFS('14_Materials_Log'!$I:$I,'14_Materials_Log'!$B:$B,B141,'14_Materials_Log'!$C:$C,C141,'14_Materials_Log'!$D:$D,D141,'14_Materials_Log'!$J:$J,"Yes"))</x:f>
      </x:c>
      <x:c r="H141" s="70" t="str">
        <x:f>IF(OR(B141="",C141="",D141=""),"",SUMIFS('13_Labor_Time'!$L:$L,'13_Labor_Time'!$B:$B,B141,'13_Labor_Time'!$C:$C,C141,'13_Labor_Time'!$D:$D,D141))</x:f>
      </x:c>
      <x:c r="I141" s="70" t="str">
        <x:f>IF(OR(B141="",C141="",D141=""),"",SUMIFS('15_Equipment_Log'!$M:$M,'15_Equipment_Log'!$B:$B,B141,'15_Equipment_Log'!$C:$C,C141,'15_Equipment_Log'!$D:$D,D141))</x:f>
      </x:c>
      <x:c r="J141" s="15"/>
      <x:c r="K141" s="15"/>
      <x:c r="L141" s="15"/>
      <x:c r="M141" s="15"/>
      <x:c r="N141" s="70" t="str">
        <x:f>IF(COUNTA(B141:E141,J141:M141)=0,"",F141+G141-H141-I141)</x:f>
      </x:c>
      <x:c r="O141" s="15" t="str">
        <x:f>IF(COUNTA(B141:E141,J141:M141)=0,"",TEXTJOIN("; ",TRUE,IF(B141="","Missing work date",""),IF(C141="","Missing project",""),IF(D141="","Missing job",""),IF(J141&lt;&gt;"Yes","Backup incomplete",""),IF(K141&lt;&gt;"Yes","Redline incomplete",""),IF(L141&lt;&gt;"Yes","Customer not approved",""),IF(M141&lt;&gt;"Ready","Invoice not ready","")))</x:f>
      </x:c>
    </x:row>
    <x:row r="142" ht="20" customHeight="1">
      <x:c r="A142" s="15"/>
      <x:c r="B142" s="28"/>
      <x:c r="C142" s="15"/>
      <x:c r="D142" s="15"/>
      <x:c r="E142" s="15"/>
      <x:c r="F142" s="70" t="str">
        <x:f>IF(OR(B142="",C142="",D142=""),"",SUMIFS('12_Production_Log'!$M:$M,'12_Production_Log'!$B:$B,B142,'12_Production_Log'!$C:$C,C142,'12_Production_Log'!$D:$D,D142))</x:f>
      </x:c>
      <x:c r="G142" s="70" t="str">
        <x:f>IF(OR(B142="",C142="",D142=""),"",SUMIFS('14_Materials_Log'!$I:$I,'14_Materials_Log'!$B:$B,B142,'14_Materials_Log'!$C:$C,C142,'14_Materials_Log'!$D:$D,D142,'14_Materials_Log'!$J:$J,"Yes"))</x:f>
      </x:c>
      <x:c r="H142" s="70" t="str">
        <x:f>IF(OR(B142="",C142="",D142=""),"",SUMIFS('13_Labor_Time'!$L:$L,'13_Labor_Time'!$B:$B,B142,'13_Labor_Time'!$C:$C,C142,'13_Labor_Time'!$D:$D,D142))</x:f>
      </x:c>
      <x:c r="I142" s="70" t="str">
        <x:f>IF(OR(B142="",C142="",D142=""),"",SUMIFS('15_Equipment_Log'!$M:$M,'15_Equipment_Log'!$B:$B,B142,'15_Equipment_Log'!$C:$C,C142,'15_Equipment_Log'!$D:$D,D142))</x:f>
      </x:c>
      <x:c r="J142" s="15"/>
      <x:c r="K142" s="15"/>
      <x:c r="L142" s="15"/>
      <x:c r="M142" s="15"/>
      <x:c r="N142" s="70" t="str">
        <x:f>IF(COUNTA(B142:E142,J142:M142)=0,"",F142+G142-H142-I142)</x:f>
      </x:c>
      <x:c r="O142" s="15" t="str">
        <x:f>IF(COUNTA(B142:E142,J142:M142)=0,"",TEXTJOIN("; ",TRUE,IF(B142="","Missing work date",""),IF(C142="","Missing project",""),IF(D142="","Missing job",""),IF(J142&lt;&gt;"Yes","Backup incomplete",""),IF(K142&lt;&gt;"Yes","Redline incomplete",""),IF(L142&lt;&gt;"Yes","Customer not approved",""),IF(M142&lt;&gt;"Ready","Invoice not ready","")))</x:f>
      </x:c>
    </x:row>
    <x:row r="143" ht="20" customHeight="1">
      <x:c r="A143" s="15"/>
      <x:c r="B143" s="28"/>
      <x:c r="C143" s="15"/>
      <x:c r="D143" s="15"/>
      <x:c r="E143" s="15"/>
      <x:c r="F143" s="70" t="str">
        <x:f>IF(OR(B143="",C143="",D143=""),"",SUMIFS('12_Production_Log'!$M:$M,'12_Production_Log'!$B:$B,B143,'12_Production_Log'!$C:$C,C143,'12_Production_Log'!$D:$D,D143))</x:f>
      </x:c>
      <x:c r="G143" s="70" t="str">
        <x:f>IF(OR(B143="",C143="",D143=""),"",SUMIFS('14_Materials_Log'!$I:$I,'14_Materials_Log'!$B:$B,B143,'14_Materials_Log'!$C:$C,C143,'14_Materials_Log'!$D:$D,D143,'14_Materials_Log'!$J:$J,"Yes"))</x:f>
      </x:c>
      <x:c r="H143" s="70" t="str">
        <x:f>IF(OR(B143="",C143="",D143=""),"",SUMIFS('13_Labor_Time'!$L:$L,'13_Labor_Time'!$B:$B,B143,'13_Labor_Time'!$C:$C,C143,'13_Labor_Time'!$D:$D,D143))</x:f>
      </x:c>
      <x:c r="I143" s="70" t="str">
        <x:f>IF(OR(B143="",C143="",D143=""),"",SUMIFS('15_Equipment_Log'!$M:$M,'15_Equipment_Log'!$B:$B,B143,'15_Equipment_Log'!$C:$C,C143,'15_Equipment_Log'!$D:$D,D143))</x:f>
      </x:c>
      <x:c r="J143" s="15"/>
      <x:c r="K143" s="15"/>
      <x:c r="L143" s="15"/>
      <x:c r="M143" s="15"/>
      <x:c r="N143" s="70" t="str">
        <x:f>IF(COUNTA(B143:E143,J143:M143)=0,"",F143+G143-H143-I143)</x:f>
      </x:c>
      <x:c r="O143" s="15" t="str">
        <x:f>IF(COUNTA(B143:E143,J143:M143)=0,"",TEXTJOIN("; ",TRUE,IF(B143="","Missing work date",""),IF(C143="","Missing project",""),IF(D143="","Missing job",""),IF(J143&lt;&gt;"Yes","Backup incomplete",""),IF(K143&lt;&gt;"Yes","Redline incomplete",""),IF(L143&lt;&gt;"Yes","Customer not approved",""),IF(M143&lt;&gt;"Ready","Invoice not ready","")))</x:f>
      </x:c>
    </x:row>
    <x:row r="144" ht="20" customHeight="1">
      <x:c r="A144" s="15"/>
      <x:c r="B144" s="28"/>
      <x:c r="C144" s="15"/>
      <x:c r="D144" s="15"/>
      <x:c r="E144" s="15"/>
      <x:c r="F144" s="70" t="str">
        <x:f>IF(OR(B144="",C144="",D144=""),"",SUMIFS('12_Production_Log'!$M:$M,'12_Production_Log'!$B:$B,B144,'12_Production_Log'!$C:$C,C144,'12_Production_Log'!$D:$D,D144))</x:f>
      </x:c>
      <x:c r="G144" s="70" t="str">
        <x:f>IF(OR(B144="",C144="",D144=""),"",SUMIFS('14_Materials_Log'!$I:$I,'14_Materials_Log'!$B:$B,B144,'14_Materials_Log'!$C:$C,C144,'14_Materials_Log'!$D:$D,D144,'14_Materials_Log'!$J:$J,"Yes"))</x:f>
      </x:c>
      <x:c r="H144" s="70" t="str">
        <x:f>IF(OR(B144="",C144="",D144=""),"",SUMIFS('13_Labor_Time'!$L:$L,'13_Labor_Time'!$B:$B,B144,'13_Labor_Time'!$C:$C,C144,'13_Labor_Time'!$D:$D,D144))</x:f>
      </x:c>
      <x:c r="I144" s="70" t="str">
        <x:f>IF(OR(B144="",C144="",D144=""),"",SUMIFS('15_Equipment_Log'!$M:$M,'15_Equipment_Log'!$B:$B,B144,'15_Equipment_Log'!$C:$C,C144,'15_Equipment_Log'!$D:$D,D144))</x:f>
      </x:c>
      <x:c r="J144" s="15"/>
      <x:c r="K144" s="15"/>
      <x:c r="L144" s="15"/>
      <x:c r="M144" s="15"/>
      <x:c r="N144" s="70" t="str">
        <x:f>IF(COUNTA(B144:E144,J144:M144)=0,"",F144+G144-H144-I144)</x:f>
      </x:c>
      <x:c r="O144" s="15" t="str">
        <x:f>IF(COUNTA(B144:E144,J144:M144)=0,"",TEXTJOIN("; ",TRUE,IF(B144="","Missing work date",""),IF(C144="","Missing project",""),IF(D144="","Missing job",""),IF(J144&lt;&gt;"Yes","Backup incomplete",""),IF(K144&lt;&gt;"Yes","Redline incomplete",""),IF(L144&lt;&gt;"Yes","Customer not approved",""),IF(M144&lt;&gt;"Ready","Invoice not ready","")))</x:f>
      </x:c>
    </x:row>
    <x:row r="145" ht="20" customHeight="1">
      <x:c r="A145" s="15"/>
      <x:c r="B145" s="28"/>
      <x:c r="C145" s="15"/>
      <x:c r="D145" s="15"/>
      <x:c r="E145" s="15"/>
      <x:c r="F145" s="70" t="str">
        <x:f>IF(OR(B145="",C145="",D145=""),"",SUMIFS('12_Production_Log'!$M:$M,'12_Production_Log'!$B:$B,B145,'12_Production_Log'!$C:$C,C145,'12_Production_Log'!$D:$D,D145))</x:f>
      </x:c>
      <x:c r="G145" s="70" t="str">
        <x:f>IF(OR(B145="",C145="",D145=""),"",SUMIFS('14_Materials_Log'!$I:$I,'14_Materials_Log'!$B:$B,B145,'14_Materials_Log'!$C:$C,C145,'14_Materials_Log'!$D:$D,D145,'14_Materials_Log'!$J:$J,"Yes"))</x:f>
      </x:c>
      <x:c r="H145" s="70" t="str">
        <x:f>IF(OR(B145="",C145="",D145=""),"",SUMIFS('13_Labor_Time'!$L:$L,'13_Labor_Time'!$B:$B,B145,'13_Labor_Time'!$C:$C,C145,'13_Labor_Time'!$D:$D,D145))</x:f>
      </x:c>
      <x:c r="I145" s="70" t="str">
        <x:f>IF(OR(B145="",C145="",D145=""),"",SUMIFS('15_Equipment_Log'!$M:$M,'15_Equipment_Log'!$B:$B,B145,'15_Equipment_Log'!$C:$C,C145,'15_Equipment_Log'!$D:$D,D145))</x:f>
      </x:c>
      <x:c r="J145" s="15"/>
      <x:c r="K145" s="15"/>
      <x:c r="L145" s="15"/>
      <x:c r="M145" s="15"/>
      <x:c r="N145" s="70" t="str">
        <x:f>IF(COUNTA(B145:E145,J145:M145)=0,"",F145+G145-H145-I145)</x:f>
      </x:c>
      <x:c r="O145" s="15" t="str">
        <x:f>IF(COUNTA(B145:E145,J145:M145)=0,"",TEXTJOIN("; ",TRUE,IF(B145="","Missing work date",""),IF(C145="","Missing project",""),IF(D145="","Missing job",""),IF(J145&lt;&gt;"Yes","Backup incomplete",""),IF(K145&lt;&gt;"Yes","Redline incomplete",""),IF(L145&lt;&gt;"Yes","Customer not approved",""),IF(M145&lt;&gt;"Ready","Invoice not ready","")))</x:f>
      </x:c>
    </x:row>
    <x:row r="146" ht="20" customHeight="1">
      <x:c r="A146" s="15"/>
      <x:c r="B146" s="28"/>
      <x:c r="C146" s="15"/>
      <x:c r="D146" s="15"/>
      <x:c r="E146" s="15"/>
      <x:c r="F146" s="70" t="str">
        <x:f>IF(OR(B146="",C146="",D146=""),"",SUMIFS('12_Production_Log'!$M:$M,'12_Production_Log'!$B:$B,B146,'12_Production_Log'!$C:$C,C146,'12_Production_Log'!$D:$D,D146))</x:f>
      </x:c>
      <x:c r="G146" s="70" t="str">
        <x:f>IF(OR(B146="",C146="",D146=""),"",SUMIFS('14_Materials_Log'!$I:$I,'14_Materials_Log'!$B:$B,B146,'14_Materials_Log'!$C:$C,C146,'14_Materials_Log'!$D:$D,D146,'14_Materials_Log'!$J:$J,"Yes"))</x:f>
      </x:c>
      <x:c r="H146" s="70" t="str">
        <x:f>IF(OR(B146="",C146="",D146=""),"",SUMIFS('13_Labor_Time'!$L:$L,'13_Labor_Time'!$B:$B,B146,'13_Labor_Time'!$C:$C,C146,'13_Labor_Time'!$D:$D,D146))</x:f>
      </x:c>
      <x:c r="I146" s="70" t="str">
        <x:f>IF(OR(B146="",C146="",D146=""),"",SUMIFS('15_Equipment_Log'!$M:$M,'15_Equipment_Log'!$B:$B,B146,'15_Equipment_Log'!$C:$C,C146,'15_Equipment_Log'!$D:$D,D146))</x:f>
      </x:c>
      <x:c r="J146" s="15"/>
      <x:c r="K146" s="15"/>
      <x:c r="L146" s="15"/>
      <x:c r="M146" s="15"/>
      <x:c r="N146" s="70" t="str">
        <x:f>IF(COUNTA(B146:E146,J146:M146)=0,"",F146+G146-H146-I146)</x:f>
      </x:c>
      <x:c r="O146" s="15" t="str">
        <x:f>IF(COUNTA(B146:E146,J146:M146)=0,"",TEXTJOIN("; ",TRUE,IF(B146="","Missing work date",""),IF(C146="","Missing project",""),IF(D146="","Missing job",""),IF(J146&lt;&gt;"Yes","Backup incomplete",""),IF(K146&lt;&gt;"Yes","Redline incomplete",""),IF(L146&lt;&gt;"Yes","Customer not approved",""),IF(M146&lt;&gt;"Ready","Invoice not ready","")))</x:f>
      </x:c>
    </x:row>
    <x:row r="147" ht="20" customHeight="1">
      <x:c r="A147" s="15"/>
      <x:c r="B147" s="28"/>
      <x:c r="C147" s="15"/>
      <x:c r="D147" s="15"/>
      <x:c r="E147" s="15"/>
      <x:c r="F147" s="70" t="str">
        <x:f>IF(OR(B147="",C147="",D147=""),"",SUMIFS('12_Production_Log'!$M:$M,'12_Production_Log'!$B:$B,B147,'12_Production_Log'!$C:$C,C147,'12_Production_Log'!$D:$D,D147))</x:f>
      </x:c>
      <x:c r="G147" s="70" t="str">
        <x:f>IF(OR(B147="",C147="",D147=""),"",SUMIFS('14_Materials_Log'!$I:$I,'14_Materials_Log'!$B:$B,B147,'14_Materials_Log'!$C:$C,C147,'14_Materials_Log'!$D:$D,D147,'14_Materials_Log'!$J:$J,"Yes"))</x:f>
      </x:c>
      <x:c r="H147" s="70" t="str">
        <x:f>IF(OR(B147="",C147="",D147=""),"",SUMIFS('13_Labor_Time'!$L:$L,'13_Labor_Time'!$B:$B,B147,'13_Labor_Time'!$C:$C,C147,'13_Labor_Time'!$D:$D,D147))</x:f>
      </x:c>
      <x:c r="I147" s="70" t="str">
        <x:f>IF(OR(B147="",C147="",D147=""),"",SUMIFS('15_Equipment_Log'!$M:$M,'15_Equipment_Log'!$B:$B,B147,'15_Equipment_Log'!$C:$C,C147,'15_Equipment_Log'!$D:$D,D147))</x:f>
      </x:c>
      <x:c r="J147" s="15"/>
      <x:c r="K147" s="15"/>
      <x:c r="L147" s="15"/>
      <x:c r="M147" s="15"/>
      <x:c r="N147" s="70" t="str">
        <x:f>IF(COUNTA(B147:E147,J147:M147)=0,"",F147+G147-H147-I147)</x:f>
      </x:c>
      <x:c r="O147" s="15" t="str">
        <x:f>IF(COUNTA(B147:E147,J147:M147)=0,"",TEXTJOIN("; ",TRUE,IF(B147="","Missing work date",""),IF(C147="","Missing project",""),IF(D147="","Missing job",""),IF(J147&lt;&gt;"Yes","Backup incomplete",""),IF(K147&lt;&gt;"Yes","Redline incomplete",""),IF(L147&lt;&gt;"Yes","Customer not approved",""),IF(M147&lt;&gt;"Ready","Invoice not ready","")))</x:f>
      </x:c>
    </x:row>
    <x:row r="148" ht="20" customHeight="1">
      <x:c r="A148" s="15"/>
      <x:c r="B148" s="28"/>
      <x:c r="C148" s="15"/>
      <x:c r="D148" s="15"/>
      <x:c r="E148" s="15"/>
      <x:c r="F148" s="70" t="str">
        <x:f>IF(OR(B148="",C148="",D148=""),"",SUMIFS('12_Production_Log'!$M:$M,'12_Production_Log'!$B:$B,B148,'12_Production_Log'!$C:$C,C148,'12_Production_Log'!$D:$D,D148))</x:f>
      </x:c>
      <x:c r="G148" s="70" t="str">
        <x:f>IF(OR(B148="",C148="",D148=""),"",SUMIFS('14_Materials_Log'!$I:$I,'14_Materials_Log'!$B:$B,B148,'14_Materials_Log'!$C:$C,C148,'14_Materials_Log'!$D:$D,D148,'14_Materials_Log'!$J:$J,"Yes"))</x:f>
      </x:c>
      <x:c r="H148" s="70" t="str">
        <x:f>IF(OR(B148="",C148="",D148=""),"",SUMIFS('13_Labor_Time'!$L:$L,'13_Labor_Time'!$B:$B,B148,'13_Labor_Time'!$C:$C,C148,'13_Labor_Time'!$D:$D,D148))</x:f>
      </x:c>
      <x:c r="I148" s="70" t="str">
        <x:f>IF(OR(B148="",C148="",D148=""),"",SUMIFS('15_Equipment_Log'!$M:$M,'15_Equipment_Log'!$B:$B,B148,'15_Equipment_Log'!$C:$C,C148,'15_Equipment_Log'!$D:$D,D148))</x:f>
      </x:c>
      <x:c r="J148" s="15"/>
      <x:c r="K148" s="15"/>
      <x:c r="L148" s="15"/>
      <x:c r="M148" s="15"/>
      <x:c r="N148" s="70" t="str">
        <x:f>IF(COUNTA(B148:E148,J148:M148)=0,"",F148+G148-H148-I148)</x:f>
      </x:c>
      <x:c r="O148" s="15" t="str">
        <x:f>IF(COUNTA(B148:E148,J148:M148)=0,"",TEXTJOIN("; ",TRUE,IF(B148="","Missing work date",""),IF(C148="","Missing project",""),IF(D148="","Missing job",""),IF(J148&lt;&gt;"Yes","Backup incomplete",""),IF(K148&lt;&gt;"Yes","Redline incomplete",""),IF(L148&lt;&gt;"Yes","Customer not approved",""),IF(M148&lt;&gt;"Ready","Invoice not ready","")))</x:f>
      </x:c>
    </x:row>
    <x:row r="149" ht="20" customHeight="1">
      <x:c r="A149" s="15"/>
      <x:c r="B149" s="28"/>
      <x:c r="C149" s="15"/>
      <x:c r="D149" s="15"/>
      <x:c r="E149" s="15"/>
      <x:c r="F149" s="70" t="str">
        <x:f>IF(OR(B149="",C149="",D149=""),"",SUMIFS('12_Production_Log'!$M:$M,'12_Production_Log'!$B:$B,B149,'12_Production_Log'!$C:$C,C149,'12_Production_Log'!$D:$D,D149))</x:f>
      </x:c>
      <x:c r="G149" s="70" t="str">
        <x:f>IF(OR(B149="",C149="",D149=""),"",SUMIFS('14_Materials_Log'!$I:$I,'14_Materials_Log'!$B:$B,B149,'14_Materials_Log'!$C:$C,C149,'14_Materials_Log'!$D:$D,D149,'14_Materials_Log'!$J:$J,"Yes"))</x:f>
      </x:c>
      <x:c r="H149" s="70" t="str">
        <x:f>IF(OR(B149="",C149="",D149=""),"",SUMIFS('13_Labor_Time'!$L:$L,'13_Labor_Time'!$B:$B,B149,'13_Labor_Time'!$C:$C,C149,'13_Labor_Time'!$D:$D,D149))</x:f>
      </x:c>
      <x:c r="I149" s="70" t="str">
        <x:f>IF(OR(B149="",C149="",D149=""),"",SUMIFS('15_Equipment_Log'!$M:$M,'15_Equipment_Log'!$B:$B,B149,'15_Equipment_Log'!$C:$C,C149,'15_Equipment_Log'!$D:$D,D149))</x:f>
      </x:c>
      <x:c r="J149" s="15"/>
      <x:c r="K149" s="15"/>
      <x:c r="L149" s="15"/>
      <x:c r="M149" s="15"/>
      <x:c r="N149" s="70" t="str">
        <x:f>IF(COUNTA(B149:E149,J149:M149)=0,"",F149+G149-H149-I149)</x:f>
      </x:c>
      <x:c r="O149" s="15" t="str">
        <x:f>IF(COUNTA(B149:E149,J149:M149)=0,"",TEXTJOIN("; ",TRUE,IF(B149="","Missing work date",""),IF(C149="","Missing project",""),IF(D149="","Missing job",""),IF(J149&lt;&gt;"Yes","Backup incomplete",""),IF(K149&lt;&gt;"Yes","Redline incomplete",""),IF(L149&lt;&gt;"Yes","Customer not approved",""),IF(M149&lt;&gt;"Ready","Invoice not ready","")))</x:f>
      </x:c>
    </x:row>
    <x:row r="150" ht="20" customHeight="1">
      <x:c r="A150" s="15"/>
      <x:c r="B150" s="28"/>
      <x:c r="C150" s="15"/>
      <x:c r="D150" s="15"/>
      <x:c r="E150" s="15"/>
      <x:c r="F150" s="70" t="str">
        <x:f>IF(OR(B150="",C150="",D150=""),"",SUMIFS('12_Production_Log'!$M:$M,'12_Production_Log'!$B:$B,B150,'12_Production_Log'!$C:$C,C150,'12_Production_Log'!$D:$D,D150))</x:f>
      </x:c>
      <x:c r="G150" s="70" t="str">
        <x:f>IF(OR(B150="",C150="",D150=""),"",SUMIFS('14_Materials_Log'!$I:$I,'14_Materials_Log'!$B:$B,B150,'14_Materials_Log'!$C:$C,C150,'14_Materials_Log'!$D:$D,D150,'14_Materials_Log'!$J:$J,"Yes"))</x:f>
      </x:c>
      <x:c r="H150" s="70" t="str">
        <x:f>IF(OR(B150="",C150="",D150=""),"",SUMIFS('13_Labor_Time'!$L:$L,'13_Labor_Time'!$B:$B,B150,'13_Labor_Time'!$C:$C,C150,'13_Labor_Time'!$D:$D,D150))</x:f>
      </x:c>
      <x:c r="I150" s="70" t="str">
        <x:f>IF(OR(B150="",C150="",D150=""),"",SUMIFS('15_Equipment_Log'!$M:$M,'15_Equipment_Log'!$B:$B,B150,'15_Equipment_Log'!$C:$C,C150,'15_Equipment_Log'!$D:$D,D150))</x:f>
      </x:c>
      <x:c r="J150" s="15"/>
      <x:c r="K150" s="15"/>
      <x:c r="L150" s="15"/>
      <x:c r="M150" s="15"/>
      <x:c r="N150" s="70" t="str">
        <x:f>IF(COUNTA(B150:E150,J150:M150)=0,"",F150+G150-H150-I150)</x:f>
      </x:c>
      <x:c r="O150" s="15" t="str">
        <x:f>IF(COUNTA(B150:E150,J150:M150)=0,"",TEXTJOIN("; ",TRUE,IF(B150="","Missing work date",""),IF(C150="","Missing project",""),IF(D150="","Missing job",""),IF(J150&lt;&gt;"Yes","Backup incomplete",""),IF(K150&lt;&gt;"Yes","Redline incomplete",""),IF(L150&lt;&gt;"Yes","Customer not approved",""),IF(M150&lt;&gt;"Ready","Invoice not ready","")))</x:f>
      </x:c>
    </x:row>
    <x:row r="151" ht="20" customHeight="1">
      <x:c r="A151" s="15"/>
      <x:c r="B151" s="28"/>
      <x:c r="C151" s="15"/>
      <x:c r="D151" s="15"/>
      <x:c r="E151" s="15"/>
      <x:c r="F151" s="70" t="str">
        <x:f>IF(OR(B151="",C151="",D151=""),"",SUMIFS('12_Production_Log'!$M:$M,'12_Production_Log'!$B:$B,B151,'12_Production_Log'!$C:$C,C151,'12_Production_Log'!$D:$D,D151))</x:f>
      </x:c>
      <x:c r="G151" s="70" t="str">
        <x:f>IF(OR(B151="",C151="",D151=""),"",SUMIFS('14_Materials_Log'!$I:$I,'14_Materials_Log'!$B:$B,B151,'14_Materials_Log'!$C:$C,C151,'14_Materials_Log'!$D:$D,D151,'14_Materials_Log'!$J:$J,"Yes"))</x:f>
      </x:c>
      <x:c r="H151" s="70" t="str">
        <x:f>IF(OR(B151="",C151="",D151=""),"",SUMIFS('13_Labor_Time'!$L:$L,'13_Labor_Time'!$B:$B,B151,'13_Labor_Time'!$C:$C,C151,'13_Labor_Time'!$D:$D,D151))</x:f>
      </x:c>
      <x:c r="I151" s="70" t="str">
        <x:f>IF(OR(B151="",C151="",D151=""),"",SUMIFS('15_Equipment_Log'!$M:$M,'15_Equipment_Log'!$B:$B,B151,'15_Equipment_Log'!$C:$C,C151,'15_Equipment_Log'!$D:$D,D151))</x:f>
      </x:c>
      <x:c r="J151" s="15"/>
      <x:c r="K151" s="15"/>
      <x:c r="L151" s="15"/>
      <x:c r="M151" s="15"/>
      <x:c r="N151" s="70" t="str">
        <x:f>IF(COUNTA(B151:E151,J151:M151)=0,"",F151+G151-H151-I151)</x:f>
      </x:c>
      <x:c r="O151" s="15" t="str">
        <x:f>IF(COUNTA(B151:E151,J151:M151)=0,"",TEXTJOIN("; ",TRUE,IF(B151="","Missing work date",""),IF(C151="","Missing project",""),IF(D151="","Missing job",""),IF(J151&lt;&gt;"Yes","Backup incomplete",""),IF(K151&lt;&gt;"Yes","Redline incomplete",""),IF(L151&lt;&gt;"Yes","Customer not approved",""),IF(M151&lt;&gt;"Ready","Invoice not ready","")))</x:f>
      </x:c>
    </x:row>
    <x:row r="152" ht="20" customHeight="1">
      <x:c r="A152" s="15"/>
      <x:c r="B152" s="28"/>
      <x:c r="C152" s="15"/>
      <x:c r="D152" s="15"/>
      <x:c r="E152" s="15"/>
      <x:c r="F152" s="70" t="str">
        <x:f>IF(OR(B152="",C152="",D152=""),"",SUMIFS('12_Production_Log'!$M:$M,'12_Production_Log'!$B:$B,B152,'12_Production_Log'!$C:$C,C152,'12_Production_Log'!$D:$D,D152))</x:f>
      </x:c>
      <x:c r="G152" s="70" t="str">
        <x:f>IF(OR(B152="",C152="",D152=""),"",SUMIFS('14_Materials_Log'!$I:$I,'14_Materials_Log'!$B:$B,B152,'14_Materials_Log'!$C:$C,C152,'14_Materials_Log'!$D:$D,D152,'14_Materials_Log'!$J:$J,"Yes"))</x:f>
      </x:c>
      <x:c r="H152" s="70" t="str">
        <x:f>IF(OR(B152="",C152="",D152=""),"",SUMIFS('13_Labor_Time'!$L:$L,'13_Labor_Time'!$B:$B,B152,'13_Labor_Time'!$C:$C,C152,'13_Labor_Time'!$D:$D,D152))</x:f>
      </x:c>
      <x:c r="I152" s="70" t="str">
        <x:f>IF(OR(B152="",C152="",D152=""),"",SUMIFS('15_Equipment_Log'!$M:$M,'15_Equipment_Log'!$B:$B,B152,'15_Equipment_Log'!$C:$C,C152,'15_Equipment_Log'!$D:$D,D152))</x:f>
      </x:c>
      <x:c r="J152" s="15"/>
      <x:c r="K152" s="15"/>
      <x:c r="L152" s="15"/>
      <x:c r="M152" s="15"/>
      <x:c r="N152" s="70" t="str">
        <x:f>IF(COUNTA(B152:E152,J152:M152)=0,"",F152+G152-H152-I152)</x:f>
      </x:c>
      <x:c r="O152" s="15" t="str">
        <x:f>IF(COUNTA(B152:E152,J152:M152)=0,"",TEXTJOIN("; ",TRUE,IF(B152="","Missing work date",""),IF(C152="","Missing project",""),IF(D152="","Missing job",""),IF(J152&lt;&gt;"Yes","Backup incomplete",""),IF(K152&lt;&gt;"Yes","Redline incomplete",""),IF(L152&lt;&gt;"Yes","Customer not approved",""),IF(M152&lt;&gt;"Ready","Invoice not ready","")))</x:f>
      </x:c>
    </x:row>
    <x:row r="153" ht="20" customHeight="1">
      <x:c r="A153" s="15"/>
      <x:c r="B153" s="28"/>
      <x:c r="C153" s="15"/>
      <x:c r="D153" s="15"/>
      <x:c r="E153" s="15"/>
      <x:c r="F153" s="70" t="str">
        <x:f>IF(OR(B153="",C153="",D153=""),"",SUMIFS('12_Production_Log'!$M:$M,'12_Production_Log'!$B:$B,B153,'12_Production_Log'!$C:$C,C153,'12_Production_Log'!$D:$D,D153))</x:f>
      </x:c>
      <x:c r="G153" s="70" t="str">
        <x:f>IF(OR(B153="",C153="",D153=""),"",SUMIFS('14_Materials_Log'!$I:$I,'14_Materials_Log'!$B:$B,B153,'14_Materials_Log'!$C:$C,C153,'14_Materials_Log'!$D:$D,D153,'14_Materials_Log'!$J:$J,"Yes"))</x:f>
      </x:c>
      <x:c r="H153" s="70" t="str">
        <x:f>IF(OR(B153="",C153="",D153=""),"",SUMIFS('13_Labor_Time'!$L:$L,'13_Labor_Time'!$B:$B,B153,'13_Labor_Time'!$C:$C,C153,'13_Labor_Time'!$D:$D,D153))</x:f>
      </x:c>
      <x:c r="I153" s="70" t="str">
        <x:f>IF(OR(B153="",C153="",D153=""),"",SUMIFS('15_Equipment_Log'!$M:$M,'15_Equipment_Log'!$B:$B,B153,'15_Equipment_Log'!$C:$C,C153,'15_Equipment_Log'!$D:$D,D153))</x:f>
      </x:c>
      <x:c r="J153" s="15"/>
      <x:c r="K153" s="15"/>
      <x:c r="L153" s="15"/>
      <x:c r="M153" s="15"/>
      <x:c r="N153" s="70" t="str">
        <x:f>IF(COUNTA(B153:E153,J153:M153)=0,"",F153+G153-H153-I153)</x:f>
      </x:c>
      <x:c r="O153" s="15" t="str">
        <x:f>IF(COUNTA(B153:E153,J153:M153)=0,"",TEXTJOIN("; ",TRUE,IF(B153="","Missing work date",""),IF(C153="","Missing project",""),IF(D153="","Missing job",""),IF(J153&lt;&gt;"Yes","Backup incomplete",""),IF(K153&lt;&gt;"Yes","Redline incomplete",""),IF(L153&lt;&gt;"Yes","Customer not approved",""),IF(M153&lt;&gt;"Ready","Invoice not ready","")))</x:f>
      </x:c>
    </x:row>
    <x:row r="154" ht="20" customHeight="1">
      <x:c r="A154" s="15"/>
      <x:c r="B154" s="28"/>
      <x:c r="C154" s="15"/>
      <x:c r="D154" s="15"/>
      <x:c r="E154" s="15"/>
      <x:c r="F154" s="70" t="str">
        <x:f>IF(OR(B154="",C154="",D154=""),"",SUMIFS('12_Production_Log'!$M:$M,'12_Production_Log'!$B:$B,B154,'12_Production_Log'!$C:$C,C154,'12_Production_Log'!$D:$D,D154))</x:f>
      </x:c>
      <x:c r="G154" s="70" t="str">
        <x:f>IF(OR(B154="",C154="",D154=""),"",SUMIFS('14_Materials_Log'!$I:$I,'14_Materials_Log'!$B:$B,B154,'14_Materials_Log'!$C:$C,C154,'14_Materials_Log'!$D:$D,D154,'14_Materials_Log'!$J:$J,"Yes"))</x:f>
      </x:c>
      <x:c r="H154" s="70" t="str">
        <x:f>IF(OR(B154="",C154="",D154=""),"",SUMIFS('13_Labor_Time'!$L:$L,'13_Labor_Time'!$B:$B,B154,'13_Labor_Time'!$C:$C,C154,'13_Labor_Time'!$D:$D,D154))</x:f>
      </x:c>
      <x:c r="I154" s="70" t="str">
        <x:f>IF(OR(B154="",C154="",D154=""),"",SUMIFS('15_Equipment_Log'!$M:$M,'15_Equipment_Log'!$B:$B,B154,'15_Equipment_Log'!$C:$C,C154,'15_Equipment_Log'!$D:$D,D154))</x:f>
      </x:c>
      <x:c r="J154" s="15"/>
      <x:c r="K154" s="15"/>
      <x:c r="L154" s="15"/>
      <x:c r="M154" s="15"/>
      <x:c r="N154" s="70" t="str">
        <x:f>IF(COUNTA(B154:E154,J154:M154)=0,"",F154+G154-H154-I154)</x:f>
      </x:c>
      <x:c r="O154" s="15" t="str">
        <x:f>IF(COUNTA(B154:E154,J154:M154)=0,"",TEXTJOIN("; ",TRUE,IF(B154="","Missing work date",""),IF(C154="","Missing project",""),IF(D154="","Missing job",""),IF(J154&lt;&gt;"Yes","Backup incomplete",""),IF(K154&lt;&gt;"Yes","Redline incomplete",""),IF(L154&lt;&gt;"Yes","Customer not approved",""),IF(M154&lt;&gt;"Ready","Invoice not ready","")))</x:f>
      </x:c>
    </x:row>
    <x:row r="155" ht="20" customHeight="1">
      <x:c r="A155" s="15"/>
      <x:c r="B155" s="28"/>
      <x:c r="C155" s="15"/>
      <x:c r="D155" s="15"/>
      <x:c r="E155" s="15"/>
      <x:c r="F155" s="70" t="str">
        <x:f>IF(OR(B155="",C155="",D155=""),"",SUMIFS('12_Production_Log'!$M:$M,'12_Production_Log'!$B:$B,B155,'12_Production_Log'!$C:$C,C155,'12_Production_Log'!$D:$D,D155))</x:f>
      </x:c>
      <x:c r="G155" s="70" t="str">
        <x:f>IF(OR(B155="",C155="",D155=""),"",SUMIFS('14_Materials_Log'!$I:$I,'14_Materials_Log'!$B:$B,B155,'14_Materials_Log'!$C:$C,C155,'14_Materials_Log'!$D:$D,D155,'14_Materials_Log'!$J:$J,"Yes"))</x:f>
      </x:c>
      <x:c r="H155" s="70" t="str">
        <x:f>IF(OR(B155="",C155="",D155=""),"",SUMIFS('13_Labor_Time'!$L:$L,'13_Labor_Time'!$B:$B,B155,'13_Labor_Time'!$C:$C,C155,'13_Labor_Time'!$D:$D,D155))</x:f>
      </x:c>
      <x:c r="I155" s="70" t="str">
        <x:f>IF(OR(B155="",C155="",D155=""),"",SUMIFS('15_Equipment_Log'!$M:$M,'15_Equipment_Log'!$B:$B,B155,'15_Equipment_Log'!$C:$C,C155,'15_Equipment_Log'!$D:$D,D155))</x:f>
      </x:c>
      <x:c r="J155" s="15"/>
      <x:c r="K155" s="15"/>
      <x:c r="L155" s="15"/>
      <x:c r="M155" s="15"/>
      <x:c r="N155" s="70" t="str">
        <x:f>IF(COUNTA(B155:E155,J155:M155)=0,"",F155+G155-H155-I155)</x:f>
      </x:c>
      <x:c r="O155" s="15" t="str">
        <x:f>IF(COUNTA(B155:E155,J155:M155)=0,"",TEXTJOIN("; ",TRUE,IF(B155="","Missing work date",""),IF(C155="","Missing project",""),IF(D155="","Missing job",""),IF(J155&lt;&gt;"Yes","Backup incomplete",""),IF(K155&lt;&gt;"Yes","Redline incomplete",""),IF(L155&lt;&gt;"Yes","Customer not approved",""),IF(M155&lt;&gt;"Ready","Invoice not ready","")))</x:f>
      </x:c>
    </x:row>
    <x:row r="156" ht="20" customHeight="1">
      <x:c r="A156" s="15"/>
      <x:c r="B156" s="28"/>
      <x:c r="C156" s="15"/>
      <x:c r="D156" s="15"/>
      <x:c r="E156" s="15"/>
      <x:c r="F156" s="70" t="str">
        <x:f>IF(OR(B156="",C156="",D156=""),"",SUMIFS('12_Production_Log'!$M:$M,'12_Production_Log'!$B:$B,B156,'12_Production_Log'!$C:$C,C156,'12_Production_Log'!$D:$D,D156))</x:f>
      </x:c>
      <x:c r="G156" s="70" t="str">
        <x:f>IF(OR(B156="",C156="",D156=""),"",SUMIFS('14_Materials_Log'!$I:$I,'14_Materials_Log'!$B:$B,B156,'14_Materials_Log'!$C:$C,C156,'14_Materials_Log'!$D:$D,D156,'14_Materials_Log'!$J:$J,"Yes"))</x:f>
      </x:c>
      <x:c r="H156" s="70" t="str">
        <x:f>IF(OR(B156="",C156="",D156=""),"",SUMIFS('13_Labor_Time'!$L:$L,'13_Labor_Time'!$B:$B,B156,'13_Labor_Time'!$C:$C,C156,'13_Labor_Time'!$D:$D,D156))</x:f>
      </x:c>
      <x:c r="I156" s="70" t="str">
        <x:f>IF(OR(B156="",C156="",D156=""),"",SUMIFS('15_Equipment_Log'!$M:$M,'15_Equipment_Log'!$B:$B,B156,'15_Equipment_Log'!$C:$C,C156,'15_Equipment_Log'!$D:$D,D156))</x:f>
      </x:c>
      <x:c r="J156" s="15"/>
      <x:c r="K156" s="15"/>
      <x:c r="L156" s="15"/>
      <x:c r="M156" s="15"/>
      <x:c r="N156" s="70" t="str">
        <x:f>IF(COUNTA(B156:E156,J156:M156)=0,"",F156+G156-H156-I156)</x:f>
      </x:c>
      <x:c r="O156" s="15" t="str">
        <x:f>IF(COUNTA(B156:E156,J156:M156)=0,"",TEXTJOIN("; ",TRUE,IF(B156="","Missing work date",""),IF(C156="","Missing project",""),IF(D156="","Missing job",""),IF(J156&lt;&gt;"Yes","Backup incomplete",""),IF(K156&lt;&gt;"Yes","Redline incomplete",""),IF(L156&lt;&gt;"Yes","Customer not approved",""),IF(M156&lt;&gt;"Ready","Invoice not ready","")))</x:f>
      </x:c>
    </x:row>
    <x:row r="157" ht="20" customHeight="1">
      <x:c r="A157" s="15"/>
      <x:c r="B157" s="28"/>
      <x:c r="C157" s="15"/>
      <x:c r="D157" s="15"/>
      <x:c r="E157" s="15"/>
      <x:c r="F157" s="70" t="str">
        <x:f>IF(OR(B157="",C157="",D157=""),"",SUMIFS('12_Production_Log'!$M:$M,'12_Production_Log'!$B:$B,B157,'12_Production_Log'!$C:$C,C157,'12_Production_Log'!$D:$D,D157))</x:f>
      </x:c>
      <x:c r="G157" s="70" t="str">
        <x:f>IF(OR(B157="",C157="",D157=""),"",SUMIFS('14_Materials_Log'!$I:$I,'14_Materials_Log'!$B:$B,B157,'14_Materials_Log'!$C:$C,C157,'14_Materials_Log'!$D:$D,D157,'14_Materials_Log'!$J:$J,"Yes"))</x:f>
      </x:c>
      <x:c r="H157" s="70" t="str">
        <x:f>IF(OR(B157="",C157="",D157=""),"",SUMIFS('13_Labor_Time'!$L:$L,'13_Labor_Time'!$B:$B,B157,'13_Labor_Time'!$C:$C,C157,'13_Labor_Time'!$D:$D,D157))</x:f>
      </x:c>
      <x:c r="I157" s="70" t="str">
        <x:f>IF(OR(B157="",C157="",D157=""),"",SUMIFS('15_Equipment_Log'!$M:$M,'15_Equipment_Log'!$B:$B,B157,'15_Equipment_Log'!$C:$C,C157,'15_Equipment_Log'!$D:$D,D157))</x:f>
      </x:c>
      <x:c r="J157" s="15"/>
      <x:c r="K157" s="15"/>
      <x:c r="L157" s="15"/>
      <x:c r="M157" s="15"/>
      <x:c r="N157" s="70" t="str">
        <x:f>IF(COUNTA(B157:E157,J157:M157)=0,"",F157+G157-H157-I157)</x:f>
      </x:c>
      <x:c r="O157" s="15" t="str">
        <x:f>IF(COUNTA(B157:E157,J157:M157)=0,"",TEXTJOIN("; ",TRUE,IF(B157="","Missing work date",""),IF(C157="","Missing project",""),IF(D157="","Missing job",""),IF(J157&lt;&gt;"Yes","Backup incomplete",""),IF(K157&lt;&gt;"Yes","Redline incomplete",""),IF(L157&lt;&gt;"Yes","Customer not approved",""),IF(M157&lt;&gt;"Ready","Invoice not ready","")))</x:f>
      </x:c>
    </x:row>
    <x:row r="158" ht="20" customHeight="1">
      <x:c r="A158" s="15"/>
      <x:c r="B158" s="28"/>
      <x:c r="C158" s="15"/>
      <x:c r="D158" s="15"/>
      <x:c r="E158" s="15"/>
      <x:c r="F158" s="70" t="str">
        <x:f>IF(OR(B158="",C158="",D158=""),"",SUMIFS('12_Production_Log'!$M:$M,'12_Production_Log'!$B:$B,B158,'12_Production_Log'!$C:$C,C158,'12_Production_Log'!$D:$D,D158))</x:f>
      </x:c>
      <x:c r="G158" s="70" t="str">
        <x:f>IF(OR(B158="",C158="",D158=""),"",SUMIFS('14_Materials_Log'!$I:$I,'14_Materials_Log'!$B:$B,B158,'14_Materials_Log'!$C:$C,C158,'14_Materials_Log'!$D:$D,D158,'14_Materials_Log'!$J:$J,"Yes"))</x:f>
      </x:c>
      <x:c r="H158" s="70" t="str">
        <x:f>IF(OR(B158="",C158="",D158=""),"",SUMIFS('13_Labor_Time'!$L:$L,'13_Labor_Time'!$B:$B,B158,'13_Labor_Time'!$C:$C,C158,'13_Labor_Time'!$D:$D,D158))</x:f>
      </x:c>
      <x:c r="I158" s="70" t="str">
        <x:f>IF(OR(B158="",C158="",D158=""),"",SUMIFS('15_Equipment_Log'!$M:$M,'15_Equipment_Log'!$B:$B,B158,'15_Equipment_Log'!$C:$C,C158,'15_Equipment_Log'!$D:$D,D158))</x:f>
      </x:c>
      <x:c r="J158" s="15"/>
      <x:c r="K158" s="15"/>
      <x:c r="L158" s="15"/>
      <x:c r="M158" s="15"/>
      <x:c r="N158" s="70" t="str">
        <x:f>IF(COUNTA(B158:E158,J158:M158)=0,"",F158+G158-H158-I158)</x:f>
      </x:c>
      <x:c r="O158" s="15" t="str">
        <x:f>IF(COUNTA(B158:E158,J158:M158)=0,"",TEXTJOIN("; ",TRUE,IF(B158="","Missing work date",""),IF(C158="","Missing project",""),IF(D158="","Missing job",""),IF(J158&lt;&gt;"Yes","Backup incomplete",""),IF(K158&lt;&gt;"Yes","Redline incomplete",""),IF(L158&lt;&gt;"Yes","Customer not approved",""),IF(M158&lt;&gt;"Ready","Invoice not ready","")))</x:f>
      </x:c>
    </x:row>
    <x:row r="159" ht="20" customHeight="1">
      <x:c r="A159" s="15"/>
      <x:c r="B159" s="28"/>
      <x:c r="C159" s="15"/>
      <x:c r="D159" s="15"/>
      <x:c r="E159" s="15"/>
      <x:c r="F159" s="70" t="str">
        <x:f>IF(OR(B159="",C159="",D159=""),"",SUMIFS('12_Production_Log'!$M:$M,'12_Production_Log'!$B:$B,B159,'12_Production_Log'!$C:$C,C159,'12_Production_Log'!$D:$D,D159))</x:f>
      </x:c>
      <x:c r="G159" s="70" t="str">
        <x:f>IF(OR(B159="",C159="",D159=""),"",SUMIFS('14_Materials_Log'!$I:$I,'14_Materials_Log'!$B:$B,B159,'14_Materials_Log'!$C:$C,C159,'14_Materials_Log'!$D:$D,D159,'14_Materials_Log'!$J:$J,"Yes"))</x:f>
      </x:c>
      <x:c r="H159" s="70" t="str">
        <x:f>IF(OR(B159="",C159="",D159=""),"",SUMIFS('13_Labor_Time'!$L:$L,'13_Labor_Time'!$B:$B,B159,'13_Labor_Time'!$C:$C,C159,'13_Labor_Time'!$D:$D,D159))</x:f>
      </x:c>
      <x:c r="I159" s="70" t="str">
        <x:f>IF(OR(B159="",C159="",D159=""),"",SUMIFS('15_Equipment_Log'!$M:$M,'15_Equipment_Log'!$B:$B,B159,'15_Equipment_Log'!$C:$C,C159,'15_Equipment_Log'!$D:$D,D159))</x:f>
      </x:c>
      <x:c r="J159" s="15"/>
      <x:c r="K159" s="15"/>
      <x:c r="L159" s="15"/>
      <x:c r="M159" s="15"/>
      <x:c r="N159" s="70" t="str">
        <x:f>IF(COUNTA(B159:E159,J159:M159)=0,"",F159+G159-H159-I159)</x:f>
      </x:c>
      <x:c r="O159" s="15" t="str">
        <x:f>IF(COUNTA(B159:E159,J159:M159)=0,"",TEXTJOIN("; ",TRUE,IF(B159="","Missing work date",""),IF(C159="","Missing project",""),IF(D159="","Missing job",""),IF(J159&lt;&gt;"Yes","Backup incomplete",""),IF(K159&lt;&gt;"Yes","Redline incomplete",""),IF(L159&lt;&gt;"Yes","Customer not approved",""),IF(M159&lt;&gt;"Ready","Invoice not ready","")))</x:f>
      </x:c>
    </x:row>
    <x:row r="160" ht="20" customHeight="1">
      <x:c r="A160" s="15"/>
      <x:c r="B160" s="28"/>
      <x:c r="C160" s="15"/>
      <x:c r="D160" s="15"/>
      <x:c r="E160" s="15"/>
      <x:c r="F160" s="70" t="str">
        <x:f>IF(OR(B160="",C160="",D160=""),"",SUMIFS('12_Production_Log'!$M:$M,'12_Production_Log'!$B:$B,B160,'12_Production_Log'!$C:$C,C160,'12_Production_Log'!$D:$D,D160))</x:f>
      </x:c>
      <x:c r="G160" s="70" t="str">
        <x:f>IF(OR(B160="",C160="",D160=""),"",SUMIFS('14_Materials_Log'!$I:$I,'14_Materials_Log'!$B:$B,B160,'14_Materials_Log'!$C:$C,C160,'14_Materials_Log'!$D:$D,D160,'14_Materials_Log'!$J:$J,"Yes"))</x:f>
      </x:c>
      <x:c r="H160" s="70" t="str">
        <x:f>IF(OR(B160="",C160="",D160=""),"",SUMIFS('13_Labor_Time'!$L:$L,'13_Labor_Time'!$B:$B,B160,'13_Labor_Time'!$C:$C,C160,'13_Labor_Time'!$D:$D,D160))</x:f>
      </x:c>
      <x:c r="I160" s="70" t="str">
        <x:f>IF(OR(B160="",C160="",D160=""),"",SUMIFS('15_Equipment_Log'!$M:$M,'15_Equipment_Log'!$B:$B,B160,'15_Equipment_Log'!$C:$C,C160,'15_Equipment_Log'!$D:$D,D160))</x:f>
      </x:c>
      <x:c r="J160" s="15"/>
      <x:c r="K160" s="15"/>
      <x:c r="L160" s="15"/>
      <x:c r="M160" s="15"/>
      <x:c r="N160" s="70" t="str">
        <x:f>IF(COUNTA(B160:E160,J160:M160)=0,"",F160+G160-H160-I160)</x:f>
      </x:c>
      <x:c r="O160" s="15" t="str">
        <x:f>IF(COUNTA(B160:E160,J160:M160)=0,"",TEXTJOIN("; ",TRUE,IF(B160="","Missing work date",""),IF(C160="","Missing project",""),IF(D160="","Missing job",""),IF(J160&lt;&gt;"Yes","Backup incomplete",""),IF(K160&lt;&gt;"Yes","Redline incomplete",""),IF(L160&lt;&gt;"Yes","Customer not approved",""),IF(M160&lt;&gt;"Ready","Invoice not ready","")))</x:f>
      </x:c>
    </x:row>
    <x:row r="161" ht="20" customHeight="1">
      <x:c r="A161" s="15"/>
      <x:c r="B161" s="28"/>
      <x:c r="C161" s="15"/>
      <x:c r="D161" s="15"/>
      <x:c r="E161" s="15"/>
      <x:c r="F161" s="70" t="str">
        <x:f>IF(OR(B161="",C161="",D161=""),"",SUMIFS('12_Production_Log'!$M:$M,'12_Production_Log'!$B:$B,B161,'12_Production_Log'!$C:$C,C161,'12_Production_Log'!$D:$D,D161))</x:f>
      </x:c>
      <x:c r="G161" s="70" t="str">
        <x:f>IF(OR(B161="",C161="",D161=""),"",SUMIFS('14_Materials_Log'!$I:$I,'14_Materials_Log'!$B:$B,B161,'14_Materials_Log'!$C:$C,C161,'14_Materials_Log'!$D:$D,D161,'14_Materials_Log'!$J:$J,"Yes"))</x:f>
      </x:c>
      <x:c r="H161" s="70" t="str">
        <x:f>IF(OR(B161="",C161="",D161=""),"",SUMIFS('13_Labor_Time'!$L:$L,'13_Labor_Time'!$B:$B,B161,'13_Labor_Time'!$C:$C,C161,'13_Labor_Time'!$D:$D,D161))</x:f>
      </x:c>
      <x:c r="I161" s="70" t="str">
        <x:f>IF(OR(B161="",C161="",D161=""),"",SUMIFS('15_Equipment_Log'!$M:$M,'15_Equipment_Log'!$B:$B,B161,'15_Equipment_Log'!$C:$C,C161,'15_Equipment_Log'!$D:$D,D161))</x:f>
      </x:c>
      <x:c r="J161" s="15"/>
      <x:c r="K161" s="15"/>
      <x:c r="L161" s="15"/>
      <x:c r="M161" s="15"/>
      <x:c r="N161" s="70" t="str">
        <x:f>IF(COUNTA(B161:E161,J161:M161)=0,"",F161+G161-H161-I161)</x:f>
      </x:c>
      <x:c r="O161" s="15" t="str">
        <x:f>IF(COUNTA(B161:E161,J161:M161)=0,"",TEXTJOIN("; ",TRUE,IF(B161="","Missing work date",""),IF(C161="","Missing project",""),IF(D161="","Missing job",""),IF(J161&lt;&gt;"Yes","Backup incomplete",""),IF(K161&lt;&gt;"Yes","Redline incomplete",""),IF(L161&lt;&gt;"Yes","Customer not approved",""),IF(M161&lt;&gt;"Ready","Invoice not ready","")))</x:f>
      </x:c>
    </x:row>
    <x:row r="162" ht="20" customHeight="1">
      <x:c r="A162" s="15"/>
      <x:c r="B162" s="28"/>
      <x:c r="C162" s="15"/>
      <x:c r="D162" s="15"/>
      <x:c r="E162" s="15"/>
      <x:c r="F162" s="70" t="str">
        <x:f>IF(OR(B162="",C162="",D162=""),"",SUMIFS('12_Production_Log'!$M:$M,'12_Production_Log'!$B:$B,B162,'12_Production_Log'!$C:$C,C162,'12_Production_Log'!$D:$D,D162))</x:f>
      </x:c>
      <x:c r="G162" s="70" t="str">
        <x:f>IF(OR(B162="",C162="",D162=""),"",SUMIFS('14_Materials_Log'!$I:$I,'14_Materials_Log'!$B:$B,B162,'14_Materials_Log'!$C:$C,C162,'14_Materials_Log'!$D:$D,D162,'14_Materials_Log'!$J:$J,"Yes"))</x:f>
      </x:c>
      <x:c r="H162" s="70" t="str">
        <x:f>IF(OR(B162="",C162="",D162=""),"",SUMIFS('13_Labor_Time'!$L:$L,'13_Labor_Time'!$B:$B,B162,'13_Labor_Time'!$C:$C,C162,'13_Labor_Time'!$D:$D,D162))</x:f>
      </x:c>
      <x:c r="I162" s="70" t="str">
        <x:f>IF(OR(B162="",C162="",D162=""),"",SUMIFS('15_Equipment_Log'!$M:$M,'15_Equipment_Log'!$B:$B,B162,'15_Equipment_Log'!$C:$C,C162,'15_Equipment_Log'!$D:$D,D162))</x:f>
      </x:c>
      <x:c r="J162" s="15"/>
      <x:c r="K162" s="15"/>
      <x:c r="L162" s="15"/>
      <x:c r="M162" s="15"/>
      <x:c r="N162" s="70" t="str">
        <x:f>IF(COUNTA(B162:E162,J162:M162)=0,"",F162+G162-H162-I162)</x:f>
      </x:c>
      <x:c r="O162" s="15" t="str">
        <x:f>IF(COUNTA(B162:E162,J162:M162)=0,"",TEXTJOIN("; ",TRUE,IF(B162="","Missing work date",""),IF(C162="","Missing project",""),IF(D162="","Missing job",""),IF(J162&lt;&gt;"Yes","Backup incomplete",""),IF(K162&lt;&gt;"Yes","Redline incomplete",""),IF(L162&lt;&gt;"Yes","Customer not approved",""),IF(M162&lt;&gt;"Ready","Invoice not ready","")))</x:f>
      </x:c>
    </x:row>
    <x:row r="163" ht="20" customHeight="1">
      <x:c r="A163" s="15"/>
      <x:c r="B163" s="28"/>
      <x:c r="C163" s="15"/>
      <x:c r="D163" s="15"/>
      <x:c r="E163" s="15"/>
      <x:c r="F163" s="70" t="str">
        <x:f>IF(OR(B163="",C163="",D163=""),"",SUMIFS('12_Production_Log'!$M:$M,'12_Production_Log'!$B:$B,B163,'12_Production_Log'!$C:$C,C163,'12_Production_Log'!$D:$D,D163))</x:f>
      </x:c>
      <x:c r="G163" s="70" t="str">
        <x:f>IF(OR(B163="",C163="",D163=""),"",SUMIFS('14_Materials_Log'!$I:$I,'14_Materials_Log'!$B:$B,B163,'14_Materials_Log'!$C:$C,C163,'14_Materials_Log'!$D:$D,D163,'14_Materials_Log'!$J:$J,"Yes"))</x:f>
      </x:c>
      <x:c r="H163" s="70" t="str">
        <x:f>IF(OR(B163="",C163="",D163=""),"",SUMIFS('13_Labor_Time'!$L:$L,'13_Labor_Time'!$B:$B,B163,'13_Labor_Time'!$C:$C,C163,'13_Labor_Time'!$D:$D,D163))</x:f>
      </x:c>
      <x:c r="I163" s="70" t="str">
        <x:f>IF(OR(B163="",C163="",D163=""),"",SUMIFS('15_Equipment_Log'!$M:$M,'15_Equipment_Log'!$B:$B,B163,'15_Equipment_Log'!$C:$C,C163,'15_Equipment_Log'!$D:$D,D163))</x:f>
      </x:c>
      <x:c r="J163" s="15"/>
      <x:c r="K163" s="15"/>
      <x:c r="L163" s="15"/>
      <x:c r="M163" s="15"/>
      <x:c r="N163" s="70" t="str">
        <x:f>IF(COUNTA(B163:E163,J163:M163)=0,"",F163+G163-H163-I163)</x:f>
      </x:c>
      <x:c r="O163" s="15" t="str">
        <x:f>IF(COUNTA(B163:E163,J163:M163)=0,"",TEXTJOIN("; ",TRUE,IF(B163="","Missing work date",""),IF(C163="","Missing project",""),IF(D163="","Missing job",""),IF(J163&lt;&gt;"Yes","Backup incomplete",""),IF(K163&lt;&gt;"Yes","Redline incomplete",""),IF(L163&lt;&gt;"Yes","Customer not approved",""),IF(M163&lt;&gt;"Ready","Invoice not ready","")))</x:f>
      </x:c>
    </x:row>
    <x:row r="164" ht="20" customHeight="1">
      <x:c r="A164" s="15"/>
      <x:c r="B164" s="28"/>
      <x:c r="C164" s="15"/>
      <x:c r="D164" s="15"/>
      <x:c r="E164" s="15"/>
      <x:c r="F164" s="70" t="str">
        <x:f>IF(OR(B164="",C164="",D164=""),"",SUMIFS('12_Production_Log'!$M:$M,'12_Production_Log'!$B:$B,B164,'12_Production_Log'!$C:$C,C164,'12_Production_Log'!$D:$D,D164))</x:f>
      </x:c>
      <x:c r="G164" s="70" t="str">
        <x:f>IF(OR(B164="",C164="",D164=""),"",SUMIFS('14_Materials_Log'!$I:$I,'14_Materials_Log'!$B:$B,B164,'14_Materials_Log'!$C:$C,C164,'14_Materials_Log'!$D:$D,D164,'14_Materials_Log'!$J:$J,"Yes"))</x:f>
      </x:c>
      <x:c r="H164" s="70" t="str">
        <x:f>IF(OR(B164="",C164="",D164=""),"",SUMIFS('13_Labor_Time'!$L:$L,'13_Labor_Time'!$B:$B,B164,'13_Labor_Time'!$C:$C,C164,'13_Labor_Time'!$D:$D,D164))</x:f>
      </x:c>
      <x:c r="I164" s="70" t="str">
        <x:f>IF(OR(B164="",C164="",D164=""),"",SUMIFS('15_Equipment_Log'!$M:$M,'15_Equipment_Log'!$B:$B,B164,'15_Equipment_Log'!$C:$C,C164,'15_Equipment_Log'!$D:$D,D164))</x:f>
      </x:c>
      <x:c r="J164" s="15"/>
      <x:c r="K164" s="15"/>
      <x:c r="L164" s="15"/>
      <x:c r="M164" s="15"/>
      <x:c r="N164" s="70" t="str">
        <x:f>IF(COUNTA(B164:E164,J164:M164)=0,"",F164+G164-H164-I164)</x:f>
      </x:c>
      <x:c r="O164" s="15" t="str">
        <x:f>IF(COUNTA(B164:E164,J164:M164)=0,"",TEXTJOIN("; ",TRUE,IF(B164="","Missing work date",""),IF(C164="","Missing project",""),IF(D164="","Missing job",""),IF(J164&lt;&gt;"Yes","Backup incomplete",""),IF(K164&lt;&gt;"Yes","Redline incomplete",""),IF(L164&lt;&gt;"Yes","Customer not approved",""),IF(M164&lt;&gt;"Ready","Invoice not ready","")))</x:f>
      </x:c>
    </x:row>
    <x:row r="165" ht="20" customHeight="1">
      <x:c r="A165" s="15"/>
      <x:c r="B165" s="28"/>
      <x:c r="C165" s="15"/>
      <x:c r="D165" s="15"/>
      <x:c r="E165" s="15"/>
      <x:c r="F165" s="70" t="str">
        <x:f>IF(OR(B165="",C165="",D165=""),"",SUMIFS('12_Production_Log'!$M:$M,'12_Production_Log'!$B:$B,B165,'12_Production_Log'!$C:$C,C165,'12_Production_Log'!$D:$D,D165))</x:f>
      </x:c>
      <x:c r="G165" s="70" t="str">
        <x:f>IF(OR(B165="",C165="",D165=""),"",SUMIFS('14_Materials_Log'!$I:$I,'14_Materials_Log'!$B:$B,B165,'14_Materials_Log'!$C:$C,C165,'14_Materials_Log'!$D:$D,D165,'14_Materials_Log'!$J:$J,"Yes"))</x:f>
      </x:c>
      <x:c r="H165" s="70" t="str">
        <x:f>IF(OR(B165="",C165="",D165=""),"",SUMIFS('13_Labor_Time'!$L:$L,'13_Labor_Time'!$B:$B,B165,'13_Labor_Time'!$C:$C,C165,'13_Labor_Time'!$D:$D,D165))</x:f>
      </x:c>
      <x:c r="I165" s="70" t="str">
        <x:f>IF(OR(B165="",C165="",D165=""),"",SUMIFS('15_Equipment_Log'!$M:$M,'15_Equipment_Log'!$B:$B,B165,'15_Equipment_Log'!$C:$C,C165,'15_Equipment_Log'!$D:$D,D165))</x:f>
      </x:c>
      <x:c r="J165" s="15"/>
      <x:c r="K165" s="15"/>
      <x:c r="L165" s="15"/>
      <x:c r="M165" s="15"/>
      <x:c r="N165" s="70" t="str">
        <x:f>IF(COUNTA(B165:E165,J165:M165)=0,"",F165+G165-H165-I165)</x:f>
      </x:c>
      <x:c r="O165" s="15" t="str">
        <x:f>IF(COUNTA(B165:E165,J165:M165)=0,"",TEXTJOIN("; ",TRUE,IF(B165="","Missing work date",""),IF(C165="","Missing project",""),IF(D165="","Missing job",""),IF(J165&lt;&gt;"Yes","Backup incomplete",""),IF(K165&lt;&gt;"Yes","Redline incomplete",""),IF(L165&lt;&gt;"Yes","Customer not approved",""),IF(M165&lt;&gt;"Ready","Invoice not ready","")))</x:f>
      </x:c>
    </x:row>
    <x:row r="166" ht="20" customHeight="1">
      <x:c r="A166" s="15"/>
      <x:c r="B166" s="28"/>
      <x:c r="C166" s="15"/>
      <x:c r="D166" s="15"/>
      <x:c r="E166" s="15"/>
      <x:c r="F166" s="70" t="str">
        <x:f>IF(OR(B166="",C166="",D166=""),"",SUMIFS('12_Production_Log'!$M:$M,'12_Production_Log'!$B:$B,B166,'12_Production_Log'!$C:$C,C166,'12_Production_Log'!$D:$D,D166))</x:f>
      </x:c>
      <x:c r="G166" s="70" t="str">
        <x:f>IF(OR(B166="",C166="",D166=""),"",SUMIFS('14_Materials_Log'!$I:$I,'14_Materials_Log'!$B:$B,B166,'14_Materials_Log'!$C:$C,C166,'14_Materials_Log'!$D:$D,D166,'14_Materials_Log'!$J:$J,"Yes"))</x:f>
      </x:c>
      <x:c r="H166" s="70" t="str">
        <x:f>IF(OR(B166="",C166="",D166=""),"",SUMIFS('13_Labor_Time'!$L:$L,'13_Labor_Time'!$B:$B,B166,'13_Labor_Time'!$C:$C,C166,'13_Labor_Time'!$D:$D,D166))</x:f>
      </x:c>
      <x:c r="I166" s="70" t="str">
        <x:f>IF(OR(B166="",C166="",D166=""),"",SUMIFS('15_Equipment_Log'!$M:$M,'15_Equipment_Log'!$B:$B,B166,'15_Equipment_Log'!$C:$C,C166,'15_Equipment_Log'!$D:$D,D166))</x:f>
      </x:c>
      <x:c r="J166" s="15"/>
      <x:c r="K166" s="15"/>
      <x:c r="L166" s="15"/>
      <x:c r="M166" s="15"/>
      <x:c r="N166" s="70" t="str">
        <x:f>IF(COUNTA(B166:E166,J166:M166)=0,"",F166+G166-H166-I166)</x:f>
      </x:c>
      <x:c r="O166" s="15" t="str">
        <x:f>IF(COUNTA(B166:E166,J166:M166)=0,"",TEXTJOIN("; ",TRUE,IF(B166="","Missing work date",""),IF(C166="","Missing project",""),IF(D166="","Missing job",""),IF(J166&lt;&gt;"Yes","Backup incomplete",""),IF(K166&lt;&gt;"Yes","Redline incomplete",""),IF(L166&lt;&gt;"Yes","Customer not approved",""),IF(M166&lt;&gt;"Ready","Invoice not ready","")))</x:f>
      </x:c>
    </x:row>
    <x:row r="167" ht="20" customHeight="1">
      <x:c r="A167" s="15"/>
      <x:c r="B167" s="28"/>
      <x:c r="C167" s="15"/>
      <x:c r="D167" s="15"/>
      <x:c r="E167" s="15"/>
      <x:c r="F167" s="70" t="str">
        <x:f>IF(OR(B167="",C167="",D167=""),"",SUMIFS('12_Production_Log'!$M:$M,'12_Production_Log'!$B:$B,B167,'12_Production_Log'!$C:$C,C167,'12_Production_Log'!$D:$D,D167))</x:f>
      </x:c>
      <x:c r="G167" s="70" t="str">
        <x:f>IF(OR(B167="",C167="",D167=""),"",SUMIFS('14_Materials_Log'!$I:$I,'14_Materials_Log'!$B:$B,B167,'14_Materials_Log'!$C:$C,C167,'14_Materials_Log'!$D:$D,D167,'14_Materials_Log'!$J:$J,"Yes"))</x:f>
      </x:c>
      <x:c r="H167" s="70" t="str">
        <x:f>IF(OR(B167="",C167="",D167=""),"",SUMIFS('13_Labor_Time'!$L:$L,'13_Labor_Time'!$B:$B,B167,'13_Labor_Time'!$C:$C,C167,'13_Labor_Time'!$D:$D,D167))</x:f>
      </x:c>
      <x:c r="I167" s="70" t="str">
        <x:f>IF(OR(B167="",C167="",D167=""),"",SUMIFS('15_Equipment_Log'!$M:$M,'15_Equipment_Log'!$B:$B,B167,'15_Equipment_Log'!$C:$C,C167,'15_Equipment_Log'!$D:$D,D167))</x:f>
      </x:c>
      <x:c r="J167" s="15"/>
      <x:c r="K167" s="15"/>
      <x:c r="L167" s="15"/>
      <x:c r="M167" s="15"/>
      <x:c r="N167" s="70" t="str">
        <x:f>IF(COUNTA(B167:E167,J167:M167)=0,"",F167+G167-H167-I167)</x:f>
      </x:c>
      <x:c r="O167" s="15" t="str">
        <x:f>IF(COUNTA(B167:E167,J167:M167)=0,"",TEXTJOIN("; ",TRUE,IF(B167="","Missing work date",""),IF(C167="","Missing project",""),IF(D167="","Missing job",""),IF(J167&lt;&gt;"Yes","Backup incomplete",""),IF(K167&lt;&gt;"Yes","Redline incomplete",""),IF(L167&lt;&gt;"Yes","Customer not approved",""),IF(M167&lt;&gt;"Ready","Invoice not ready","")))</x:f>
      </x:c>
    </x:row>
    <x:row r="168" ht="20" customHeight="1">
      <x:c r="A168" s="15"/>
      <x:c r="B168" s="28"/>
      <x:c r="C168" s="15"/>
      <x:c r="D168" s="15"/>
      <x:c r="E168" s="15"/>
      <x:c r="F168" s="70" t="str">
        <x:f>IF(OR(B168="",C168="",D168=""),"",SUMIFS('12_Production_Log'!$M:$M,'12_Production_Log'!$B:$B,B168,'12_Production_Log'!$C:$C,C168,'12_Production_Log'!$D:$D,D168))</x:f>
      </x:c>
      <x:c r="G168" s="70" t="str">
        <x:f>IF(OR(B168="",C168="",D168=""),"",SUMIFS('14_Materials_Log'!$I:$I,'14_Materials_Log'!$B:$B,B168,'14_Materials_Log'!$C:$C,C168,'14_Materials_Log'!$D:$D,D168,'14_Materials_Log'!$J:$J,"Yes"))</x:f>
      </x:c>
      <x:c r="H168" s="70" t="str">
        <x:f>IF(OR(B168="",C168="",D168=""),"",SUMIFS('13_Labor_Time'!$L:$L,'13_Labor_Time'!$B:$B,B168,'13_Labor_Time'!$C:$C,C168,'13_Labor_Time'!$D:$D,D168))</x:f>
      </x:c>
      <x:c r="I168" s="70" t="str">
        <x:f>IF(OR(B168="",C168="",D168=""),"",SUMIFS('15_Equipment_Log'!$M:$M,'15_Equipment_Log'!$B:$B,B168,'15_Equipment_Log'!$C:$C,C168,'15_Equipment_Log'!$D:$D,D168))</x:f>
      </x:c>
      <x:c r="J168" s="15"/>
      <x:c r="K168" s="15"/>
      <x:c r="L168" s="15"/>
      <x:c r="M168" s="15"/>
      <x:c r="N168" s="70" t="str">
        <x:f>IF(COUNTA(B168:E168,J168:M168)=0,"",F168+G168-H168-I168)</x:f>
      </x:c>
      <x:c r="O168" s="15" t="str">
        <x:f>IF(COUNTA(B168:E168,J168:M168)=0,"",TEXTJOIN("; ",TRUE,IF(B168="","Missing work date",""),IF(C168="","Missing project",""),IF(D168="","Missing job",""),IF(J168&lt;&gt;"Yes","Backup incomplete",""),IF(K168&lt;&gt;"Yes","Redline incomplete",""),IF(L168&lt;&gt;"Yes","Customer not approved",""),IF(M168&lt;&gt;"Ready","Invoice not ready","")))</x:f>
      </x:c>
    </x:row>
    <x:row r="169" ht="20" customHeight="1">
      <x:c r="A169" s="15"/>
      <x:c r="B169" s="28"/>
      <x:c r="C169" s="15"/>
      <x:c r="D169" s="15"/>
      <x:c r="E169" s="15"/>
      <x:c r="F169" s="70" t="str">
        <x:f>IF(OR(B169="",C169="",D169=""),"",SUMIFS('12_Production_Log'!$M:$M,'12_Production_Log'!$B:$B,B169,'12_Production_Log'!$C:$C,C169,'12_Production_Log'!$D:$D,D169))</x:f>
      </x:c>
      <x:c r="G169" s="70" t="str">
        <x:f>IF(OR(B169="",C169="",D169=""),"",SUMIFS('14_Materials_Log'!$I:$I,'14_Materials_Log'!$B:$B,B169,'14_Materials_Log'!$C:$C,C169,'14_Materials_Log'!$D:$D,D169,'14_Materials_Log'!$J:$J,"Yes"))</x:f>
      </x:c>
      <x:c r="H169" s="70" t="str">
        <x:f>IF(OR(B169="",C169="",D169=""),"",SUMIFS('13_Labor_Time'!$L:$L,'13_Labor_Time'!$B:$B,B169,'13_Labor_Time'!$C:$C,C169,'13_Labor_Time'!$D:$D,D169))</x:f>
      </x:c>
      <x:c r="I169" s="70" t="str">
        <x:f>IF(OR(B169="",C169="",D169=""),"",SUMIFS('15_Equipment_Log'!$M:$M,'15_Equipment_Log'!$B:$B,B169,'15_Equipment_Log'!$C:$C,C169,'15_Equipment_Log'!$D:$D,D169))</x:f>
      </x:c>
      <x:c r="J169" s="15"/>
      <x:c r="K169" s="15"/>
      <x:c r="L169" s="15"/>
      <x:c r="M169" s="15"/>
      <x:c r="N169" s="70" t="str">
        <x:f>IF(COUNTA(B169:E169,J169:M169)=0,"",F169+G169-H169-I169)</x:f>
      </x:c>
      <x:c r="O169" s="15" t="str">
        <x:f>IF(COUNTA(B169:E169,J169:M169)=0,"",TEXTJOIN("; ",TRUE,IF(B169="","Missing work date",""),IF(C169="","Missing project",""),IF(D169="","Missing job",""),IF(J169&lt;&gt;"Yes","Backup incomplete",""),IF(K169&lt;&gt;"Yes","Redline incomplete",""),IF(L169&lt;&gt;"Yes","Customer not approved",""),IF(M169&lt;&gt;"Ready","Invoice not ready","")))</x:f>
      </x:c>
    </x:row>
    <x:row r="170" ht="20" customHeight="1">
      <x:c r="A170" s="15"/>
      <x:c r="B170" s="28"/>
      <x:c r="C170" s="15"/>
      <x:c r="D170" s="15"/>
      <x:c r="E170" s="15"/>
      <x:c r="F170" s="70" t="str">
        <x:f>IF(OR(B170="",C170="",D170=""),"",SUMIFS('12_Production_Log'!$M:$M,'12_Production_Log'!$B:$B,B170,'12_Production_Log'!$C:$C,C170,'12_Production_Log'!$D:$D,D170))</x:f>
      </x:c>
      <x:c r="G170" s="70" t="str">
        <x:f>IF(OR(B170="",C170="",D170=""),"",SUMIFS('14_Materials_Log'!$I:$I,'14_Materials_Log'!$B:$B,B170,'14_Materials_Log'!$C:$C,C170,'14_Materials_Log'!$D:$D,D170,'14_Materials_Log'!$J:$J,"Yes"))</x:f>
      </x:c>
      <x:c r="H170" s="70" t="str">
        <x:f>IF(OR(B170="",C170="",D170=""),"",SUMIFS('13_Labor_Time'!$L:$L,'13_Labor_Time'!$B:$B,B170,'13_Labor_Time'!$C:$C,C170,'13_Labor_Time'!$D:$D,D170))</x:f>
      </x:c>
      <x:c r="I170" s="70" t="str">
        <x:f>IF(OR(B170="",C170="",D170=""),"",SUMIFS('15_Equipment_Log'!$M:$M,'15_Equipment_Log'!$B:$B,B170,'15_Equipment_Log'!$C:$C,C170,'15_Equipment_Log'!$D:$D,D170))</x:f>
      </x:c>
      <x:c r="J170" s="15"/>
      <x:c r="K170" s="15"/>
      <x:c r="L170" s="15"/>
      <x:c r="M170" s="15"/>
      <x:c r="N170" s="70" t="str">
        <x:f>IF(COUNTA(B170:E170,J170:M170)=0,"",F170+G170-H170-I170)</x:f>
      </x:c>
      <x:c r="O170" s="15" t="str">
        <x:f>IF(COUNTA(B170:E170,J170:M170)=0,"",TEXTJOIN("; ",TRUE,IF(B170="","Missing work date",""),IF(C170="","Missing project",""),IF(D170="","Missing job",""),IF(J170&lt;&gt;"Yes","Backup incomplete",""),IF(K170&lt;&gt;"Yes","Redline incomplete",""),IF(L170&lt;&gt;"Yes","Customer not approved",""),IF(M170&lt;&gt;"Ready","Invoice not ready","")))</x:f>
      </x:c>
    </x:row>
    <x:row r="171" ht="20" customHeight="1">
      <x:c r="A171" s="15"/>
      <x:c r="B171" s="28"/>
      <x:c r="C171" s="15"/>
      <x:c r="D171" s="15"/>
      <x:c r="E171" s="15"/>
      <x:c r="F171" s="70" t="str">
        <x:f>IF(OR(B171="",C171="",D171=""),"",SUMIFS('12_Production_Log'!$M:$M,'12_Production_Log'!$B:$B,B171,'12_Production_Log'!$C:$C,C171,'12_Production_Log'!$D:$D,D171))</x:f>
      </x:c>
      <x:c r="G171" s="70" t="str">
        <x:f>IF(OR(B171="",C171="",D171=""),"",SUMIFS('14_Materials_Log'!$I:$I,'14_Materials_Log'!$B:$B,B171,'14_Materials_Log'!$C:$C,C171,'14_Materials_Log'!$D:$D,D171,'14_Materials_Log'!$J:$J,"Yes"))</x:f>
      </x:c>
      <x:c r="H171" s="70" t="str">
        <x:f>IF(OR(B171="",C171="",D171=""),"",SUMIFS('13_Labor_Time'!$L:$L,'13_Labor_Time'!$B:$B,B171,'13_Labor_Time'!$C:$C,C171,'13_Labor_Time'!$D:$D,D171))</x:f>
      </x:c>
      <x:c r="I171" s="70" t="str">
        <x:f>IF(OR(B171="",C171="",D171=""),"",SUMIFS('15_Equipment_Log'!$M:$M,'15_Equipment_Log'!$B:$B,B171,'15_Equipment_Log'!$C:$C,C171,'15_Equipment_Log'!$D:$D,D171))</x:f>
      </x:c>
      <x:c r="J171" s="15"/>
      <x:c r="K171" s="15"/>
      <x:c r="L171" s="15"/>
      <x:c r="M171" s="15"/>
      <x:c r="N171" s="70" t="str">
        <x:f>IF(COUNTA(B171:E171,J171:M171)=0,"",F171+G171-H171-I171)</x:f>
      </x:c>
      <x:c r="O171" s="15" t="str">
        <x:f>IF(COUNTA(B171:E171,J171:M171)=0,"",TEXTJOIN("; ",TRUE,IF(B171="","Missing work date",""),IF(C171="","Missing project",""),IF(D171="","Missing job",""),IF(J171&lt;&gt;"Yes","Backup incomplete",""),IF(K171&lt;&gt;"Yes","Redline incomplete",""),IF(L171&lt;&gt;"Yes","Customer not approved",""),IF(M171&lt;&gt;"Ready","Invoice not ready","")))</x:f>
      </x:c>
    </x:row>
    <x:row r="172" ht="20" customHeight="1">
      <x:c r="A172" s="15"/>
      <x:c r="B172" s="28"/>
      <x:c r="C172" s="15"/>
      <x:c r="D172" s="15"/>
      <x:c r="E172" s="15"/>
      <x:c r="F172" s="70" t="str">
        <x:f>IF(OR(B172="",C172="",D172=""),"",SUMIFS('12_Production_Log'!$M:$M,'12_Production_Log'!$B:$B,B172,'12_Production_Log'!$C:$C,C172,'12_Production_Log'!$D:$D,D172))</x:f>
      </x:c>
      <x:c r="G172" s="70" t="str">
        <x:f>IF(OR(B172="",C172="",D172=""),"",SUMIFS('14_Materials_Log'!$I:$I,'14_Materials_Log'!$B:$B,B172,'14_Materials_Log'!$C:$C,C172,'14_Materials_Log'!$D:$D,D172,'14_Materials_Log'!$J:$J,"Yes"))</x:f>
      </x:c>
      <x:c r="H172" s="70" t="str">
        <x:f>IF(OR(B172="",C172="",D172=""),"",SUMIFS('13_Labor_Time'!$L:$L,'13_Labor_Time'!$B:$B,B172,'13_Labor_Time'!$C:$C,C172,'13_Labor_Time'!$D:$D,D172))</x:f>
      </x:c>
      <x:c r="I172" s="70" t="str">
        <x:f>IF(OR(B172="",C172="",D172=""),"",SUMIFS('15_Equipment_Log'!$M:$M,'15_Equipment_Log'!$B:$B,B172,'15_Equipment_Log'!$C:$C,C172,'15_Equipment_Log'!$D:$D,D172))</x:f>
      </x:c>
      <x:c r="J172" s="15"/>
      <x:c r="K172" s="15"/>
      <x:c r="L172" s="15"/>
      <x:c r="M172" s="15"/>
      <x:c r="N172" s="70" t="str">
        <x:f>IF(COUNTA(B172:E172,J172:M172)=0,"",F172+G172-H172-I172)</x:f>
      </x:c>
      <x:c r="O172" s="15" t="str">
        <x:f>IF(COUNTA(B172:E172,J172:M172)=0,"",TEXTJOIN("; ",TRUE,IF(B172="","Missing work date",""),IF(C172="","Missing project",""),IF(D172="","Missing job",""),IF(J172&lt;&gt;"Yes","Backup incomplete",""),IF(K172&lt;&gt;"Yes","Redline incomplete",""),IF(L172&lt;&gt;"Yes","Customer not approved",""),IF(M172&lt;&gt;"Ready","Invoice not ready","")))</x:f>
      </x:c>
    </x:row>
    <x:row r="173" ht="20" customHeight="1">
      <x:c r="A173" s="15"/>
      <x:c r="B173" s="28"/>
      <x:c r="C173" s="15"/>
      <x:c r="D173" s="15"/>
      <x:c r="E173" s="15"/>
      <x:c r="F173" s="70" t="str">
        <x:f>IF(OR(B173="",C173="",D173=""),"",SUMIFS('12_Production_Log'!$M:$M,'12_Production_Log'!$B:$B,B173,'12_Production_Log'!$C:$C,C173,'12_Production_Log'!$D:$D,D173))</x:f>
      </x:c>
      <x:c r="G173" s="70" t="str">
        <x:f>IF(OR(B173="",C173="",D173=""),"",SUMIFS('14_Materials_Log'!$I:$I,'14_Materials_Log'!$B:$B,B173,'14_Materials_Log'!$C:$C,C173,'14_Materials_Log'!$D:$D,D173,'14_Materials_Log'!$J:$J,"Yes"))</x:f>
      </x:c>
      <x:c r="H173" s="70" t="str">
        <x:f>IF(OR(B173="",C173="",D173=""),"",SUMIFS('13_Labor_Time'!$L:$L,'13_Labor_Time'!$B:$B,B173,'13_Labor_Time'!$C:$C,C173,'13_Labor_Time'!$D:$D,D173))</x:f>
      </x:c>
      <x:c r="I173" s="70" t="str">
        <x:f>IF(OR(B173="",C173="",D173=""),"",SUMIFS('15_Equipment_Log'!$M:$M,'15_Equipment_Log'!$B:$B,B173,'15_Equipment_Log'!$C:$C,C173,'15_Equipment_Log'!$D:$D,D173))</x:f>
      </x:c>
      <x:c r="J173" s="15"/>
      <x:c r="K173" s="15"/>
      <x:c r="L173" s="15"/>
      <x:c r="M173" s="15"/>
      <x:c r="N173" s="70" t="str">
        <x:f>IF(COUNTA(B173:E173,J173:M173)=0,"",F173+G173-H173-I173)</x:f>
      </x:c>
      <x:c r="O173" s="15" t="str">
        <x:f>IF(COUNTA(B173:E173,J173:M173)=0,"",TEXTJOIN("; ",TRUE,IF(B173="","Missing work date",""),IF(C173="","Missing project",""),IF(D173="","Missing job",""),IF(J173&lt;&gt;"Yes","Backup incomplete",""),IF(K173&lt;&gt;"Yes","Redline incomplete",""),IF(L173&lt;&gt;"Yes","Customer not approved",""),IF(M173&lt;&gt;"Ready","Invoice not ready","")))</x:f>
      </x:c>
    </x:row>
    <x:row r="174" ht="20" customHeight="1">
      <x:c r="A174" s="15"/>
      <x:c r="B174" s="28"/>
      <x:c r="C174" s="15"/>
      <x:c r="D174" s="15"/>
      <x:c r="E174" s="15"/>
      <x:c r="F174" s="70" t="str">
        <x:f>IF(OR(B174="",C174="",D174=""),"",SUMIFS('12_Production_Log'!$M:$M,'12_Production_Log'!$B:$B,B174,'12_Production_Log'!$C:$C,C174,'12_Production_Log'!$D:$D,D174))</x:f>
      </x:c>
      <x:c r="G174" s="70" t="str">
        <x:f>IF(OR(B174="",C174="",D174=""),"",SUMIFS('14_Materials_Log'!$I:$I,'14_Materials_Log'!$B:$B,B174,'14_Materials_Log'!$C:$C,C174,'14_Materials_Log'!$D:$D,D174,'14_Materials_Log'!$J:$J,"Yes"))</x:f>
      </x:c>
      <x:c r="H174" s="70" t="str">
        <x:f>IF(OR(B174="",C174="",D174=""),"",SUMIFS('13_Labor_Time'!$L:$L,'13_Labor_Time'!$B:$B,B174,'13_Labor_Time'!$C:$C,C174,'13_Labor_Time'!$D:$D,D174))</x:f>
      </x:c>
      <x:c r="I174" s="70" t="str">
        <x:f>IF(OR(B174="",C174="",D174=""),"",SUMIFS('15_Equipment_Log'!$M:$M,'15_Equipment_Log'!$B:$B,B174,'15_Equipment_Log'!$C:$C,C174,'15_Equipment_Log'!$D:$D,D174))</x:f>
      </x:c>
      <x:c r="J174" s="15"/>
      <x:c r="K174" s="15"/>
      <x:c r="L174" s="15"/>
      <x:c r="M174" s="15"/>
      <x:c r="N174" s="70" t="str">
        <x:f>IF(COUNTA(B174:E174,J174:M174)=0,"",F174+G174-H174-I174)</x:f>
      </x:c>
      <x:c r="O174" s="15" t="str">
        <x:f>IF(COUNTA(B174:E174,J174:M174)=0,"",TEXTJOIN("; ",TRUE,IF(B174="","Missing work date",""),IF(C174="","Missing project",""),IF(D174="","Missing job",""),IF(J174&lt;&gt;"Yes","Backup incomplete",""),IF(K174&lt;&gt;"Yes","Redline incomplete",""),IF(L174&lt;&gt;"Yes","Customer not approved",""),IF(M174&lt;&gt;"Ready","Invoice not ready","")))</x:f>
      </x:c>
    </x:row>
    <x:row r="175" ht="20" customHeight="1">
      <x:c r="A175" s="15"/>
      <x:c r="B175" s="28"/>
      <x:c r="C175" s="15"/>
      <x:c r="D175" s="15"/>
      <x:c r="E175" s="15"/>
      <x:c r="F175" s="70" t="str">
        <x:f>IF(OR(B175="",C175="",D175=""),"",SUMIFS('12_Production_Log'!$M:$M,'12_Production_Log'!$B:$B,B175,'12_Production_Log'!$C:$C,C175,'12_Production_Log'!$D:$D,D175))</x:f>
      </x:c>
      <x:c r="G175" s="70" t="str">
        <x:f>IF(OR(B175="",C175="",D175=""),"",SUMIFS('14_Materials_Log'!$I:$I,'14_Materials_Log'!$B:$B,B175,'14_Materials_Log'!$C:$C,C175,'14_Materials_Log'!$D:$D,D175,'14_Materials_Log'!$J:$J,"Yes"))</x:f>
      </x:c>
      <x:c r="H175" s="70" t="str">
        <x:f>IF(OR(B175="",C175="",D175=""),"",SUMIFS('13_Labor_Time'!$L:$L,'13_Labor_Time'!$B:$B,B175,'13_Labor_Time'!$C:$C,C175,'13_Labor_Time'!$D:$D,D175))</x:f>
      </x:c>
      <x:c r="I175" s="70" t="str">
        <x:f>IF(OR(B175="",C175="",D175=""),"",SUMIFS('15_Equipment_Log'!$M:$M,'15_Equipment_Log'!$B:$B,B175,'15_Equipment_Log'!$C:$C,C175,'15_Equipment_Log'!$D:$D,D175))</x:f>
      </x:c>
      <x:c r="J175" s="15"/>
      <x:c r="K175" s="15"/>
      <x:c r="L175" s="15"/>
      <x:c r="M175" s="15"/>
      <x:c r="N175" s="70" t="str">
        <x:f>IF(COUNTA(B175:E175,J175:M175)=0,"",F175+G175-H175-I175)</x:f>
      </x:c>
      <x:c r="O175" s="15" t="str">
        <x:f>IF(COUNTA(B175:E175,J175:M175)=0,"",TEXTJOIN("; ",TRUE,IF(B175="","Missing work date",""),IF(C175="","Missing project",""),IF(D175="","Missing job",""),IF(J175&lt;&gt;"Yes","Backup incomplete",""),IF(K175&lt;&gt;"Yes","Redline incomplete",""),IF(L175&lt;&gt;"Yes","Customer not approved",""),IF(M175&lt;&gt;"Ready","Invoice not ready","")))</x:f>
      </x:c>
    </x:row>
    <x:row r="176" ht="20" customHeight="1">
      <x:c r="A176" s="15"/>
      <x:c r="B176" s="28"/>
      <x:c r="C176" s="15"/>
      <x:c r="D176" s="15"/>
      <x:c r="E176" s="15"/>
      <x:c r="F176" s="70" t="str">
        <x:f>IF(OR(B176="",C176="",D176=""),"",SUMIFS('12_Production_Log'!$M:$M,'12_Production_Log'!$B:$B,B176,'12_Production_Log'!$C:$C,C176,'12_Production_Log'!$D:$D,D176))</x:f>
      </x:c>
      <x:c r="G176" s="70" t="str">
        <x:f>IF(OR(B176="",C176="",D176=""),"",SUMIFS('14_Materials_Log'!$I:$I,'14_Materials_Log'!$B:$B,B176,'14_Materials_Log'!$C:$C,C176,'14_Materials_Log'!$D:$D,D176,'14_Materials_Log'!$J:$J,"Yes"))</x:f>
      </x:c>
      <x:c r="H176" s="70" t="str">
        <x:f>IF(OR(B176="",C176="",D176=""),"",SUMIFS('13_Labor_Time'!$L:$L,'13_Labor_Time'!$B:$B,B176,'13_Labor_Time'!$C:$C,C176,'13_Labor_Time'!$D:$D,D176))</x:f>
      </x:c>
      <x:c r="I176" s="70" t="str">
        <x:f>IF(OR(B176="",C176="",D176=""),"",SUMIFS('15_Equipment_Log'!$M:$M,'15_Equipment_Log'!$B:$B,B176,'15_Equipment_Log'!$C:$C,C176,'15_Equipment_Log'!$D:$D,D176))</x:f>
      </x:c>
      <x:c r="J176" s="15"/>
      <x:c r="K176" s="15"/>
      <x:c r="L176" s="15"/>
      <x:c r="M176" s="15"/>
      <x:c r="N176" s="70" t="str">
        <x:f>IF(COUNTA(B176:E176,J176:M176)=0,"",F176+G176-H176-I176)</x:f>
      </x:c>
      <x:c r="O176" s="15" t="str">
        <x:f>IF(COUNTA(B176:E176,J176:M176)=0,"",TEXTJOIN("; ",TRUE,IF(B176="","Missing work date",""),IF(C176="","Missing project",""),IF(D176="","Missing job",""),IF(J176&lt;&gt;"Yes","Backup incomplete",""),IF(K176&lt;&gt;"Yes","Redline incomplete",""),IF(L176&lt;&gt;"Yes","Customer not approved",""),IF(M176&lt;&gt;"Ready","Invoice not ready","")))</x:f>
      </x:c>
    </x:row>
    <x:row r="177" ht="20" customHeight="1">
      <x:c r="A177" s="15"/>
      <x:c r="B177" s="28"/>
      <x:c r="C177" s="15"/>
      <x:c r="D177" s="15"/>
      <x:c r="E177" s="15"/>
      <x:c r="F177" s="70" t="str">
        <x:f>IF(OR(B177="",C177="",D177=""),"",SUMIFS('12_Production_Log'!$M:$M,'12_Production_Log'!$B:$B,B177,'12_Production_Log'!$C:$C,C177,'12_Production_Log'!$D:$D,D177))</x:f>
      </x:c>
      <x:c r="G177" s="70" t="str">
        <x:f>IF(OR(B177="",C177="",D177=""),"",SUMIFS('14_Materials_Log'!$I:$I,'14_Materials_Log'!$B:$B,B177,'14_Materials_Log'!$C:$C,C177,'14_Materials_Log'!$D:$D,D177,'14_Materials_Log'!$J:$J,"Yes"))</x:f>
      </x:c>
      <x:c r="H177" s="70" t="str">
        <x:f>IF(OR(B177="",C177="",D177=""),"",SUMIFS('13_Labor_Time'!$L:$L,'13_Labor_Time'!$B:$B,B177,'13_Labor_Time'!$C:$C,C177,'13_Labor_Time'!$D:$D,D177))</x:f>
      </x:c>
      <x:c r="I177" s="70" t="str">
        <x:f>IF(OR(B177="",C177="",D177=""),"",SUMIFS('15_Equipment_Log'!$M:$M,'15_Equipment_Log'!$B:$B,B177,'15_Equipment_Log'!$C:$C,C177,'15_Equipment_Log'!$D:$D,D177))</x:f>
      </x:c>
      <x:c r="J177" s="15"/>
      <x:c r="K177" s="15"/>
      <x:c r="L177" s="15"/>
      <x:c r="M177" s="15"/>
      <x:c r="N177" s="70" t="str">
        <x:f>IF(COUNTA(B177:E177,J177:M177)=0,"",F177+G177-H177-I177)</x:f>
      </x:c>
      <x:c r="O177" s="15" t="str">
        <x:f>IF(COUNTA(B177:E177,J177:M177)=0,"",TEXTJOIN("; ",TRUE,IF(B177="","Missing work date",""),IF(C177="","Missing project",""),IF(D177="","Missing job",""),IF(J177&lt;&gt;"Yes","Backup incomplete",""),IF(K177&lt;&gt;"Yes","Redline incomplete",""),IF(L177&lt;&gt;"Yes","Customer not approved",""),IF(M177&lt;&gt;"Ready","Invoice not ready","")))</x:f>
      </x:c>
    </x:row>
    <x:row r="178" ht="20" customHeight="1">
      <x:c r="A178" s="15"/>
      <x:c r="B178" s="28"/>
      <x:c r="C178" s="15"/>
      <x:c r="D178" s="15"/>
      <x:c r="E178" s="15"/>
      <x:c r="F178" s="70" t="str">
        <x:f>IF(OR(B178="",C178="",D178=""),"",SUMIFS('12_Production_Log'!$M:$M,'12_Production_Log'!$B:$B,B178,'12_Production_Log'!$C:$C,C178,'12_Production_Log'!$D:$D,D178))</x:f>
      </x:c>
      <x:c r="G178" s="70" t="str">
        <x:f>IF(OR(B178="",C178="",D178=""),"",SUMIFS('14_Materials_Log'!$I:$I,'14_Materials_Log'!$B:$B,B178,'14_Materials_Log'!$C:$C,C178,'14_Materials_Log'!$D:$D,D178,'14_Materials_Log'!$J:$J,"Yes"))</x:f>
      </x:c>
      <x:c r="H178" s="70" t="str">
        <x:f>IF(OR(B178="",C178="",D178=""),"",SUMIFS('13_Labor_Time'!$L:$L,'13_Labor_Time'!$B:$B,B178,'13_Labor_Time'!$C:$C,C178,'13_Labor_Time'!$D:$D,D178))</x:f>
      </x:c>
      <x:c r="I178" s="70" t="str">
        <x:f>IF(OR(B178="",C178="",D178=""),"",SUMIFS('15_Equipment_Log'!$M:$M,'15_Equipment_Log'!$B:$B,B178,'15_Equipment_Log'!$C:$C,C178,'15_Equipment_Log'!$D:$D,D178))</x:f>
      </x:c>
      <x:c r="J178" s="15"/>
      <x:c r="K178" s="15"/>
      <x:c r="L178" s="15"/>
      <x:c r="M178" s="15"/>
      <x:c r="N178" s="70" t="str">
        <x:f>IF(COUNTA(B178:E178,J178:M178)=0,"",F178+G178-H178-I178)</x:f>
      </x:c>
      <x:c r="O178" s="15" t="str">
        <x:f>IF(COUNTA(B178:E178,J178:M178)=0,"",TEXTJOIN("; ",TRUE,IF(B178="","Missing work date",""),IF(C178="","Missing project",""),IF(D178="","Missing job",""),IF(J178&lt;&gt;"Yes","Backup incomplete",""),IF(K178&lt;&gt;"Yes","Redline incomplete",""),IF(L178&lt;&gt;"Yes","Customer not approved",""),IF(M178&lt;&gt;"Ready","Invoice not ready","")))</x:f>
      </x:c>
    </x:row>
    <x:row r="179" ht="20" customHeight="1">
      <x:c r="A179" s="15"/>
      <x:c r="B179" s="28"/>
      <x:c r="C179" s="15"/>
      <x:c r="D179" s="15"/>
      <x:c r="E179" s="15"/>
      <x:c r="F179" s="70" t="str">
        <x:f>IF(OR(B179="",C179="",D179=""),"",SUMIFS('12_Production_Log'!$M:$M,'12_Production_Log'!$B:$B,B179,'12_Production_Log'!$C:$C,C179,'12_Production_Log'!$D:$D,D179))</x:f>
      </x:c>
      <x:c r="G179" s="70" t="str">
        <x:f>IF(OR(B179="",C179="",D179=""),"",SUMIFS('14_Materials_Log'!$I:$I,'14_Materials_Log'!$B:$B,B179,'14_Materials_Log'!$C:$C,C179,'14_Materials_Log'!$D:$D,D179,'14_Materials_Log'!$J:$J,"Yes"))</x:f>
      </x:c>
      <x:c r="H179" s="70" t="str">
        <x:f>IF(OR(B179="",C179="",D179=""),"",SUMIFS('13_Labor_Time'!$L:$L,'13_Labor_Time'!$B:$B,B179,'13_Labor_Time'!$C:$C,C179,'13_Labor_Time'!$D:$D,D179))</x:f>
      </x:c>
      <x:c r="I179" s="70" t="str">
        <x:f>IF(OR(B179="",C179="",D179=""),"",SUMIFS('15_Equipment_Log'!$M:$M,'15_Equipment_Log'!$B:$B,B179,'15_Equipment_Log'!$C:$C,C179,'15_Equipment_Log'!$D:$D,D179))</x:f>
      </x:c>
      <x:c r="J179" s="15"/>
      <x:c r="K179" s="15"/>
      <x:c r="L179" s="15"/>
      <x:c r="M179" s="15"/>
      <x:c r="N179" s="70" t="str">
        <x:f>IF(COUNTA(B179:E179,J179:M179)=0,"",F179+G179-H179-I179)</x:f>
      </x:c>
      <x:c r="O179" s="15" t="str">
        <x:f>IF(COUNTA(B179:E179,J179:M179)=0,"",TEXTJOIN("; ",TRUE,IF(B179="","Missing work date",""),IF(C179="","Missing project",""),IF(D179="","Missing job",""),IF(J179&lt;&gt;"Yes","Backup incomplete",""),IF(K179&lt;&gt;"Yes","Redline incomplete",""),IF(L179&lt;&gt;"Yes","Customer not approved",""),IF(M179&lt;&gt;"Ready","Invoice not ready","")))</x:f>
      </x:c>
    </x:row>
    <x:row r="180" ht="20" customHeight="1">
      <x:c r="A180" s="15"/>
      <x:c r="B180" s="28"/>
      <x:c r="C180" s="15"/>
      <x:c r="D180" s="15"/>
      <x:c r="E180" s="15"/>
      <x:c r="F180" s="70" t="str">
        <x:f>IF(OR(B180="",C180="",D180=""),"",SUMIFS('12_Production_Log'!$M:$M,'12_Production_Log'!$B:$B,B180,'12_Production_Log'!$C:$C,C180,'12_Production_Log'!$D:$D,D180))</x:f>
      </x:c>
      <x:c r="G180" s="70" t="str">
        <x:f>IF(OR(B180="",C180="",D180=""),"",SUMIFS('14_Materials_Log'!$I:$I,'14_Materials_Log'!$B:$B,B180,'14_Materials_Log'!$C:$C,C180,'14_Materials_Log'!$D:$D,D180,'14_Materials_Log'!$J:$J,"Yes"))</x:f>
      </x:c>
      <x:c r="H180" s="70" t="str">
        <x:f>IF(OR(B180="",C180="",D180=""),"",SUMIFS('13_Labor_Time'!$L:$L,'13_Labor_Time'!$B:$B,B180,'13_Labor_Time'!$C:$C,C180,'13_Labor_Time'!$D:$D,D180))</x:f>
      </x:c>
      <x:c r="I180" s="70" t="str">
        <x:f>IF(OR(B180="",C180="",D180=""),"",SUMIFS('15_Equipment_Log'!$M:$M,'15_Equipment_Log'!$B:$B,B180,'15_Equipment_Log'!$C:$C,C180,'15_Equipment_Log'!$D:$D,D180))</x:f>
      </x:c>
      <x:c r="J180" s="15"/>
      <x:c r="K180" s="15"/>
      <x:c r="L180" s="15"/>
      <x:c r="M180" s="15"/>
      <x:c r="N180" s="70" t="str">
        <x:f>IF(COUNTA(B180:E180,J180:M180)=0,"",F180+G180-H180-I180)</x:f>
      </x:c>
      <x:c r="O180" s="15" t="str">
        <x:f>IF(COUNTA(B180:E180,J180:M180)=0,"",TEXTJOIN("; ",TRUE,IF(B180="","Missing work date",""),IF(C180="","Missing project",""),IF(D180="","Missing job",""),IF(J180&lt;&gt;"Yes","Backup incomplete",""),IF(K180&lt;&gt;"Yes","Redline incomplete",""),IF(L180&lt;&gt;"Yes","Customer not approved",""),IF(M180&lt;&gt;"Ready","Invoice not ready","")))</x:f>
      </x:c>
    </x:row>
    <x:row r="181" ht="20" customHeight="1">
      <x:c r="A181" s="15"/>
      <x:c r="B181" s="28"/>
      <x:c r="C181" s="15"/>
      <x:c r="D181" s="15"/>
      <x:c r="E181" s="15"/>
      <x:c r="F181" s="70" t="str">
        <x:f>IF(OR(B181="",C181="",D181=""),"",SUMIFS('12_Production_Log'!$M:$M,'12_Production_Log'!$B:$B,B181,'12_Production_Log'!$C:$C,C181,'12_Production_Log'!$D:$D,D181))</x:f>
      </x:c>
      <x:c r="G181" s="70" t="str">
        <x:f>IF(OR(B181="",C181="",D181=""),"",SUMIFS('14_Materials_Log'!$I:$I,'14_Materials_Log'!$B:$B,B181,'14_Materials_Log'!$C:$C,C181,'14_Materials_Log'!$D:$D,D181,'14_Materials_Log'!$J:$J,"Yes"))</x:f>
      </x:c>
      <x:c r="H181" s="70" t="str">
        <x:f>IF(OR(B181="",C181="",D181=""),"",SUMIFS('13_Labor_Time'!$L:$L,'13_Labor_Time'!$B:$B,B181,'13_Labor_Time'!$C:$C,C181,'13_Labor_Time'!$D:$D,D181))</x:f>
      </x:c>
      <x:c r="I181" s="70" t="str">
        <x:f>IF(OR(B181="",C181="",D181=""),"",SUMIFS('15_Equipment_Log'!$M:$M,'15_Equipment_Log'!$B:$B,B181,'15_Equipment_Log'!$C:$C,C181,'15_Equipment_Log'!$D:$D,D181))</x:f>
      </x:c>
      <x:c r="J181" s="15"/>
      <x:c r="K181" s="15"/>
      <x:c r="L181" s="15"/>
      <x:c r="M181" s="15"/>
      <x:c r="N181" s="70" t="str">
        <x:f>IF(COUNTA(B181:E181,J181:M181)=0,"",F181+G181-H181-I181)</x:f>
      </x:c>
      <x:c r="O181" s="15" t="str">
        <x:f>IF(COUNTA(B181:E181,J181:M181)=0,"",TEXTJOIN("; ",TRUE,IF(B181="","Missing work date",""),IF(C181="","Missing project",""),IF(D181="","Missing job",""),IF(J181&lt;&gt;"Yes","Backup incomplete",""),IF(K181&lt;&gt;"Yes","Redline incomplete",""),IF(L181&lt;&gt;"Yes","Customer not approved",""),IF(M181&lt;&gt;"Ready","Invoice not ready","")))</x:f>
      </x:c>
    </x:row>
    <x:row r="182" ht="20" customHeight="1">
      <x:c r="A182" s="15"/>
      <x:c r="B182" s="28"/>
      <x:c r="C182" s="15"/>
      <x:c r="D182" s="15"/>
      <x:c r="E182" s="15"/>
      <x:c r="F182" s="70" t="str">
        <x:f>IF(OR(B182="",C182="",D182=""),"",SUMIFS('12_Production_Log'!$M:$M,'12_Production_Log'!$B:$B,B182,'12_Production_Log'!$C:$C,C182,'12_Production_Log'!$D:$D,D182))</x:f>
      </x:c>
      <x:c r="G182" s="70" t="str">
        <x:f>IF(OR(B182="",C182="",D182=""),"",SUMIFS('14_Materials_Log'!$I:$I,'14_Materials_Log'!$B:$B,B182,'14_Materials_Log'!$C:$C,C182,'14_Materials_Log'!$D:$D,D182,'14_Materials_Log'!$J:$J,"Yes"))</x:f>
      </x:c>
      <x:c r="H182" s="70" t="str">
        <x:f>IF(OR(B182="",C182="",D182=""),"",SUMIFS('13_Labor_Time'!$L:$L,'13_Labor_Time'!$B:$B,B182,'13_Labor_Time'!$C:$C,C182,'13_Labor_Time'!$D:$D,D182))</x:f>
      </x:c>
      <x:c r="I182" s="70" t="str">
        <x:f>IF(OR(B182="",C182="",D182=""),"",SUMIFS('15_Equipment_Log'!$M:$M,'15_Equipment_Log'!$B:$B,B182,'15_Equipment_Log'!$C:$C,C182,'15_Equipment_Log'!$D:$D,D182))</x:f>
      </x:c>
      <x:c r="J182" s="15"/>
      <x:c r="K182" s="15"/>
      <x:c r="L182" s="15"/>
      <x:c r="M182" s="15"/>
      <x:c r="N182" s="70" t="str">
        <x:f>IF(COUNTA(B182:E182,J182:M182)=0,"",F182+G182-H182-I182)</x:f>
      </x:c>
      <x:c r="O182" s="15" t="str">
        <x:f>IF(COUNTA(B182:E182,J182:M182)=0,"",TEXTJOIN("; ",TRUE,IF(B182="","Missing work date",""),IF(C182="","Missing project",""),IF(D182="","Missing job",""),IF(J182&lt;&gt;"Yes","Backup incomplete",""),IF(K182&lt;&gt;"Yes","Redline incomplete",""),IF(L182&lt;&gt;"Yes","Customer not approved",""),IF(M182&lt;&gt;"Ready","Invoice not ready","")))</x:f>
      </x:c>
    </x:row>
    <x:row r="183" ht="20" customHeight="1">
      <x:c r="A183" s="15"/>
      <x:c r="B183" s="28"/>
      <x:c r="C183" s="15"/>
      <x:c r="D183" s="15"/>
      <x:c r="E183" s="15"/>
      <x:c r="F183" s="70" t="str">
        <x:f>IF(OR(B183="",C183="",D183=""),"",SUMIFS('12_Production_Log'!$M:$M,'12_Production_Log'!$B:$B,B183,'12_Production_Log'!$C:$C,C183,'12_Production_Log'!$D:$D,D183))</x:f>
      </x:c>
      <x:c r="G183" s="70" t="str">
        <x:f>IF(OR(B183="",C183="",D183=""),"",SUMIFS('14_Materials_Log'!$I:$I,'14_Materials_Log'!$B:$B,B183,'14_Materials_Log'!$C:$C,C183,'14_Materials_Log'!$D:$D,D183,'14_Materials_Log'!$J:$J,"Yes"))</x:f>
      </x:c>
      <x:c r="H183" s="70" t="str">
        <x:f>IF(OR(B183="",C183="",D183=""),"",SUMIFS('13_Labor_Time'!$L:$L,'13_Labor_Time'!$B:$B,B183,'13_Labor_Time'!$C:$C,C183,'13_Labor_Time'!$D:$D,D183))</x:f>
      </x:c>
      <x:c r="I183" s="70" t="str">
        <x:f>IF(OR(B183="",C183="",D183=""),"",SUMIFS('15_Equipment_Log'!$M:$M,'15_Equipment_Log'!$B:$B,B183,'15_Equipment_Log'!$C:$C,C183,'15_Equipment_Log'!$D:$D,D183))</x:f>
      </x:c>
      <x:c r="J183" s="15"/>
      <x:c r="K183" s="15"/>
      <x:c r="L183" s="15"/>
      <x:c r="M183" s="15"/>
      <x:c r="N183" s="70" t="str">
        <x:f>IF(COUNTA(B183:E183,J183:M183)=0,"",F183+G183-H183-I183)</x:f>
      </x:c>
      <x:c r="O183" s="15" t="str">
        <x:f>IF(COUNTA(B183:E183,J183:M183)=0,"",TEXTJOIN("; ",TRUE,IF(B183="","Missing work date",""),IF(C183="","Missing project",""),IF(D183="","Missing job",""),IF(J183&lt;&gt;"Yes","Backup incomplete",""),IF(K183&lt;&gt;"Yes","Redline incomplete",""),IF(L183&lt;&gt;"Yes","Customer not approved",""),IF(M183&lt;&gt;"Ready","Invoice not ready","")))</x:f>
      </x:c>
    </x:row>
    <x:row r="184" ht="20" customHeight="1">
      <x:c r="A184" s="15"/>
      <x:c r="B184" s="28"/>
      <x:c r="C184" s="15"/>
      <x:c r="D184" s="15"/>
      <x:c r="E184" s="15"/>
      <x:c r="F184" s="70" t="str">
        <x:f>IF(OR(B184="",C184="",D184=""),"",SUMIFS('12_Production_Log'!$M:$M,'12_Production_Log'!$B:$B,B184,'12_Production_Log'!$C:$C,C184,'12_Production_Log'!$D:$D,D184))</x:f>
      </x:c>
      <x:c r="G184" s="70" t="str">
        <x:f>IF(OR(B184="",C184="",D184=""),"",SUMIFS('14_Materials_Log'!$I:$I,'14_Materials_Log'!$B:$B,B184,'14_Materials_Log'!$C:$C,C184,'14_Materials_Log'!$D:$D,D184,'14_Materials_Log'!$J:$J,"Yes"))</x:f>
      </x:c>
      <x:c r="H184" s="70" t="str">
        <x:f>IF(OR(B184="",C184="",D184=""),"",SUMIFS('13_Labor_Time'!$L:$L,'13_Labor_Time'!$B:$B,B184,'13_Labor_Time'!$C:$C,C184,'13_Labor_Time'!$D:$D,D184))</x:f>
      </x:c>
      <x:c r="I184" s="70" t="str">
        <x:f>IF(OR(B184="",C184="",D184=""),"",SUMIFS('15_Equipment_Log'!$M:$M,'15_Equipment_Log'!$B:$B,B184,'15_Equipment_Log'!$C:$C,C184,'15_Equipment_Log'!$D:$D,D184))</x:f>
      </x:c>
      <x:c r="J184" s="15"/>
      <x:c r="K184" s="15"/>
      <x:c r="L184" s="15"/>
      <x:c r="M184" s="15"/>
      <x:c r="N184" s="70" t="str">
        <x:f>IF(COUNTA(B184:E184,J184:M184)=0,"",F184+G184-H184-I184)</x:f>
      </x:c>
      <x:c r="O184" s="15" t="str">
        <x:f>IF(COUNTA(B184:E184,J184:M184)=0,"",TEXTJOIN("; ",TRUE,IF(B184="","Missing work date",""),IF(C184="","Missing project",""),IF(D184="","Missing job",""),IF(J184&lt;&gt;"Yes","Backup incomplete",""),IF(K184&lt;&gt;"Yes","Redline incomplete",""),IF(L184&lt;&gt;"Yes","Customer not approved",""),IF(M184&lt;&gt;"Ready","Invoice not ready","")))</x:f>
      </x:c>
    </x:row>
    <x:row r="185" ht="20" customHeight="1">
      <x:c r="A185" s="15"/>
      <x:c r="B185" s="28"/>
      <x:c r="C185" s="15"/>
      <x:c r="D185" s="15"/>
      <x:c r="E185" s="15"/>
      <x:c r="F185" s="70" t="str">
        <x:f>IF(OR(B185="",C185="",D185=""),"",SUMIFS('12_Production_Log'!$M:$M,'12_Production_Log'!$B:$B,B185,'12_Production_Log'!$C:$C,C185,'12_Production_Log'!$D:$D,D185))</x:f>
      </x:c>
      <x:c r="G185" s="70" t="str">
        <x:f>IF(OR(B185="",C185="",D185=""),"",SUMIFS('14_Materials_Log'!$I:$I,'14_Materials_Log'!$B:$B,B185,'14_Materials_Log'!$C:$C,C185,'14_Materials_Log'!$D:$D,D185,'14_Materials_Log'!$J:$J,"Yes"))</x:f>
      </x:c>
      <x:c r="H185" s="70" t="str">
        <x:f>IF(OR(B185="",C185="",D185=""),"",SUMIFS('13_Labor_Time'!$L:$L,'13_Labor_Time'!$B:$B,B185,'13_Labor_Time'!$C:$C,C185,'13_Labor_Time'!$D:$D,D185))</x:f>
      </x:c>
      <x:c r="I185" s="70" t="str">
        <x:f>IF(OR(B185="",C185="",D185=""),"",SUMIFS('15_Equipment_Log'!$M:$M,'15_Equipment_Log'!$B:$B,B185,'15_Equipment_Log'!$C:$C,C185,'15_Equipment_Log'!$D:$D,D185))</x:f>
      </x:c>
      <x:c r="J185" s="15"/>
      <x:c r="K185" s="15"/>
      <x:c r="L185" s="15"/>
      <x:c r="M185" s="15"/>
      <x:c r="N185" s="70" t="str">
        <x:f>IF(COUNTA(B185:E185,J185:M185)=0,"",F185+G185-H185-I185)</x:f>
      </x:c>
      <x:c r="O185" s="15" t="str">
        <x:f>IF(COUNTA(B185:E185,J185:M185)=0,"",TEXTJOIN("; ",TRUE,IF(B185="","Missing work date",""),IF(C185="","Missing project",""),IF(D185="","Missing job",""),IF(J185&lt;&gt;"Yes","Backup incomplete",""),IF(K185&lt;&gt;"Yes","Redline incomplete",""),IF(L185&lt;&gt;"Yes","Customer not approved",""),IF(M185&lt;&gt;"Ready","Invoice not ready","")))</x:f>
      </x:c>
    </x:row>
    <x:row r="186" ht="20" customHeight="1">
      <x:c r="A186" s="15"/>
      <x:c r="B186" s="28"/>
      <x:c r="C186" s="15"/>
      <x:c r="D186" s="15"/>
      <x:c r="E186" s="15"/>
      <x:c r="F186" s="70" t="str">
        <x:f>IF(OR(B186="",C186="",D186=""),"",SUMIFS('12_Production_Log'!$M:$M,'12_Production_Log'!$B:$B,B186,'12_Production_Log'!$C:$C,C186,'12_Production_Log'!$D:$D,D186))</x:f>
      </x:c>
      <x:c r="G186" s="70" t="str">
        <x:f>IF(OR(B186="",C186="",D186=""),"",SUMIFS('14_Materials_Log'!$I:$I,'14_Materials_Log'!$B:$B,B186,'14_Materials_Log'!$C:$C,C186,'14_Materials_Log'!$D:$D,D186,'14_Materials_Log'!$J:$J,"Yes"))</x:f>
      </x:c>
      <x:c r="H186" s="70" t="str">
        <x:f>IF(OR(B186="",C186="",D186=""),"",SUMIFS('13_Labor_Time'!$L:$L,'13_Labor_Time'!$B:$B,B186,'13_Labor_Time'!$C:$C,C186,'13_Labor_Time'!$D:$D,D186))</x:f>
      </x:c>
      <x:c r="I186" s="70" t="str">
        <x:f>IF(OR(B186="",C186="",D186=""),"",SUMIFS('15_Equipment_Log'!$M:$M,'15_Equipment_Log'!$B:$B,B186,'15_Equipment_Log'!$C:$C,C186,'15_Equipment_Log'!$D:$D,D186))</x:f>
      </x:c>
      <x:c r="J186" s="15"/>
      <x:c r="K186" s="15"/>
      <x:c r="L186" s="15"/>
      <x:c r="M186" s="15"/>
      <x:c r="N186" s="70" t="str">
        <x:f>IF(COUNTA(B186:E186,J186:M186)=0,"",F186+G186-H186-I186)</x:f>
      </x:c>
      <x:c r="O186" s="15" t="str">
        <x:f>IF(COUNTA(B186:E186,J186:M186)=0,"",TEXTJOIN("; ",TRUE,IF(B186="","Missing work date",""),IF(C186="","Missing project",""),IF(D186="","Missing job",""),IF(J186&lt;&gt;"Yes","Backup incomplete",""),IF(K186&lt;&gt;"Yes","Redline incomplete",""),IF(L186&lt;&gt;"Yes","Customer not approved",""),IF(M186&lt;&gt;"Ready","Invoice not ready","")))</x:f>
      </x:c>
    </x:row>
    <x:row r="187" ht="20" customHeight="1">
      <x:c r="A187" s="15"/>
      <x:c r="B187" s="28"/>
      <x:c r="C187" s="15"/>
      <x:c r="D187" s="15"/>
      <x:c r="E187" s="15"/>
      <x:c r="F187" s="70" t="str">
        <x:f>IF(OR(B187="",C187="",D187=""),"",SUMIFS('12_Production_Log'!$M:$M,'12_Production_Log'!$B:$B,B187,'12_Production_Log'!$C:$C,C187,'12_Production_Log'!$D:$D,D187))</x:f>
      </x:c>
      <x:c r="G187" s="70" t="str">
        <x:f>IF(OR(B187="",C187="",D187=""),"",SUMIFS('14_Materials_Log'!$I:$I,'14_Materials_Log'!$B:$B,B187,'14_Materials_Log'!$C:$C,C187,'14_Materials_Log'!$D:$D,D187,'14_Materials_Log'!$J:$J,"Yes"))</x:f>
      </x:c>
      <x:c r="H187" s="70" t="str">
        <x:f>IF(OR(B187="",C187="",D187=""),"",SUMIFS('13_Labor_Time'!$L:$L,'13_Labor_Time'!$B:$B,B187,'13_Labor_Time'!$C:$C,C187,'13_Labor_Time'!$D:$D,D187))</x:f>
      </x:c>
      <x:c r="I187" s="70" t="str">
        <x:f>IF(OR(B187="",C187="",D187=""),"",SUMIFS('15_Equipment_Log'!$M:$M,'15_Equipment_Log'!$B:$B,B187,'15_Equipment_Log'!$C:$C,C187,'15_Equipment_Log'!$D:$D,D187))</x:f>
      </x:c>
      <x:c r="J187" s="15"/>
      <x:c r="K187" s="15"/>
      <x:c r="L187" s="15"/>
      <x:c r="M187" s="15"/>
      <x:c r="N187" s="70" t="str">
        <x:f>IF(COUNTA(B187:E187,J187:M187)=0,"",F187+G187-H187-I187)</x:f>
      </x:c>
      <x:c r="O187" s="15" t="str">
        <x:f>IF(COUNTA(B187:E187,J187:M187)=0,"",TEXTJOIN("; ",TRUE,IF(B187="","Missing work date",""),IF(C187="","Missing project",""),IF(D187="","Missing job",""),IF(J187&lt;&gt;"Yes","Backup incomplete",""),IF(K187&lt;&gt;"Yes","Redline incomplete",""),IF(L187&lt;&gt;"Yes","Customer not approved",""),IF(M187&lt;&gt;"Ready","Invoice not ready","")))</x:f>
      </x:c>
    </x:row>
    <x:row r="188" ht="20" customHeight="1">
      <x:c r="A188" s="15"/>
      <x:c r="B188" s="28"/>
      <x:c r="C188" s="15"/>
      <x:c r="D188" s="15"/>
      <x:c r="E188" s="15"/>
      <x:c r="F188" s="70" t="str">
        <x:f>IF(OR(B188="",C188="",D188=""),"",SUMIFS('12_Production_Log'!$M:$M,'12_Production_Log'!$B:$B,B188,'12_Production_Log'!$C:$C,C188,'12_Production_Log'!$D:$D,D188))</x:f>
      </x:c>
      <x:c r="G188" s="70" t="str">
        <x:f>IF(OR(B188="",C188="",D188=""),"",SUMIFS('14_Materials_Log'!$I:$I,'14_Materials_Log'!$B:$B,B188,'14_Materials_Log'!$C:$C,C188,'14_Materials_Log'!$D:$D,D188,'14_Materials_Log'!$J:$J,"Yes"))</x:f>
      </x:c>
      <x:c r="H188" s="70" t="str">
        <x:f>IF(OR(B188="",C188="",D188=""),"",SUMIFS('13_Labor_Time'!$L:$L,'13_Labor_Time'!$B:$B,B188,'13_Labor_Time'!$C:$C,C188,'13_Labor_Time'!$D:$D,D188))</x:f>
      </x:c>
      <x:c r="I188" s="70" t="str">
        <x:f>IF(OR(B188="",C188="",D188=""),"",SUMIFS('15_Equipment_Log'!$M:$M,'15_Equipment_Log'!$B:$B,B188,'15_Equipment_Log'!$C:$C,C188,'15_Equipment_Log'!$D:$D,D188))</x:f>
      </x:c>
      <x:c r="J188" s="15"/>
      <x:c r="K188" s="15"/>
      <x:c r="L188" s="15"/>
      <x:c r="M188" s="15"/>
      <x:c r="N188" s="70" t="str">
        <x:f>IF(COUNTA(B188:E188,J188:M188)=0,"",F188+G188-H188-I188)</x:f>
      </x:c>
      <x:c r="O188" s="15" t="str">
        <x:f>IF(COUNTA(B188:E188,J188:M188)=0,"",TEXTJOIN("; ",TRUE,IF(B188="","Missing work date",""),IF(C188="","Missing project",""),IF(D188="","Missing job",""),IF(J188&lt;&gt;"Yes","Backup incomplete",""),IF(K188&lt;&gt;"Yes","Redline incomplete",""),IF(L188&lt;&gt;"Yes","Customer not approved",""),IF(M188&lt;&gt;"Ready","Invoice not ready","")))</x:f>
      </x:c>
    </x:row>
    <x:row r="189" ht="20" customHeight="1">
      <x:c r="A189" s="15"/>
      <x:c r="B189" s="28"/>
      <x:c r="C189" s="15"/>
      <x:c r="D189" s="15"/>
      <x:c r="E189" s="15"/>
      <x:c r="F189" s="70" t="str">
        <x:f>IF(OR(B189="",C189="",D189=""),"",SUMIFS('12_Production_Log'!$M:$M,'12_Production_Log'!$B:$B,B189,'12_Production_Log'!$C:$C,C189,'12_Production_Log'!$D:$D,D189))</x:f>
      </x:c>
      <x:c r="G189" s="70" t="str">
        <x:f>IF(OR(B189="",C189="",D189=""),"",SUMIFS('14_Materials_Log'!$I:$I,'14_Materials_Log'!$B:$B,B189,'14_Materials_Log'!$C:$C,C189,'14_Materials_Log'!$D:$D,D189,'14_Materials_Log'!$J:$J,"Yes"))</x:f>
      </x:c>
      <x:c r="H189" s="70" t="str">
        <x:f>IF(OR(B189="",C189="",D189=""),"",SUMIFS('13_Labor_Time'!$L:$L,'13_Labor_Time'!$B:$B,B189,'13_Labor_Time'!$C:$C,C189,'13_Labor_Time'!$D:$D,D189))</x:f>
      </x:c>
      <x:c r="I189" s="70" t="str">
        <x:f>IF(OR(B189="",C189="",D189=""),"",SUMIFS('15_Equipment_Log'!$M:$M,'15_Equipment_Log'!$B:$B,B189,'15_Equipment_Log'!$C:$C,C189,'15_Equipment_Log'!$D:$D,D189))</x:f>
      </x:c>
      <x:c r="J189" s="15"/>
      <x:c r="K189" s="15"/>
      <x:c r="L189" s="15"/>
      <x:c r="M189" s="15"/>
      <x:c r="N189" s="70" t="str">
        <x:f>IF(COUNTA(B189:E189,J189:M189)=0,"",F189+G189-H189-I189)</x:f>
      </x:c>
      <x:c r="O189" s="15" t="str">
        <x:f>IF(COUNTA(B189:E189,J189:M189)=0,"",TEXTJOIN("; ",TRUE,IF(B189="","Missing work date",""),IF(C189="","Missing project",""),IF(D189="","Missing job",""),IF(J189&lt;&gt;"Yes","Backup incomplete",""),IF(K189&lt;&gt;"Yes","Redline incomplete",""),IF(L189&lt;&gt;"Yes","Customer not approved",""),IF(M189&lt;&gt;"Ready","Invoice not ready","")))</x:f>
      </x:c>
    </x:row>
    <x:row r="190" ht="20" customHeight="1">
      <x:c r="A190" s="15"/>
      <x:c r="B190" s="28"/>
      <x:c r="C190" s="15"/>
      <x:c r="D190" s="15"/>
      <x:c r="E190" s="15"/>
      <x:c r="F190" s="70" t="str">
        <x:f>IF(OR(B190="",C190="",D190=""),"",SUMIFS('12_Production_Log'!$M:$M,'12_Production_Log'!$B:$B,B190,'12_Production_Log'!$C:$C,C190,'12_Production_Log'!$D:$D,D190))</x:f>
      </x:c>
      <x:c r="G190" s="70" t="str">
        <x:f>IF(OR(B190="",C190="",D190=""),"",SUMIFS('14_Materials_Log'!$I:$I,'14_Materials_Log'!$B:$B,B190,'14_Materials_Log'!$C:$C,C190,'14_Materials_Log'!$D:$D,D190,'14_Materials_Log'!$J:$J,"Yes"))</x:f>
      </x:c>
      <x:c r="H190" s="70" t="str">
        <x:f>IF(OR(B190="",C190="",D190=""),"",SUMIFS('13_Labor_Time'!$L:$L,'13_Labor_Time'!$B:$B,B190,'13_Labor_Time'!$C:$C,C190,'13_Labor_Time'!$D:$D,D190))</x:f>
      </x:c>
      <x:c r="I190" s="70" t="str">
        <x:f>IF(OR(B190="",C190="",D190=""),"",SUMIFS('15_Equipment_Log'!$M:$M,'15_Equipment_Log'!$B:$B,B190,'15_Equipment_Log'!$C:$C,C190,'15_Equipment_Log'!$D:$D,D190))</x:f>
      </x:c>
      <x:c r="J190" s="15"/>
      <x:c r="K190" s="15"/>
      <x:c r="L190" s="15"/>
      <x:c r="M190" s="15"/>
      <x:c r="N190" s="70" t="str">
        <x:f>IF(COUNTA(B190:E190,J190:M190)=0,"",F190+G190-H190-I190)</x:f>
      </x:c>
      <x:c r="O190" s="15" t="str">
        <x:f>IF(COUNTA(B190:E190,J190:M190)=0,"",TEXTJOIN("; ",TRUE,IF(B190="","Missing work date",""),IF(C190="","Missing project",""),IF(D190="","Missing job",""),IF(J190&lt;&gt;"Yes","Backup incomplete",""),IF(K190&lt;&gt;"Yes","Redline incomplete",""),IF(L190&lt;&gt;"Yes","Customer not approved",""),IF(M190&lt;&gt;"Ready","Invoice not ready","")))</x:f>
      </x:c>
    </x:row>
    <x:row r="191" ht="20" customHeight="1">
      <x:c r="A191" s="15"/>
      <x:c r="B191" s="28"/>
      <x:c r="C191" s="15"/>
      <x:c r="D191" s="15"/>
      <x:c r="E191" s="15"/>
      <x:c r="F191" s="70" t="str">
        <x:f>IF(OR(B191="",C191="",D191=""),"",SUMIFS('12_Production_Log'!$M:$M,'12_Production_Log'!$B:$B,B191,'12_Production_Log'!$C:$C,C191,'12_Production_Log'!$D:$D,D191))</x:f>
      </x:c>
      <x:c r="G191" s="70" t="str">
        <x:f>IF(OR(B191="",C191="",D191=""),"",SUMIFS('14_Materials_Log'!$I:$I,'14_Materials_Log'!$B:$B,B191,'14_Materials_Log'!$C:$C,C191,'14_Materials_Log'!$D:$D,D191,'14_Materials_Log'!$J:$J,"Yes"))</x:f>
      </x:c>
      <x:c r="H191" s="70" t="str">
        <x:f>IF(OR(B191="",C191="",D191=""),"",SUMIFS('13_Labor_Time'!$L:$L,'13_Labor_Time'!$B:$B,B191,'13_Labor_Time'!$C:$C,C191,'13_Labor_Time'!$D:$D,D191))</x:f>
      </x:c>
      <x:c r="I191" s="70" t="str">
        <x:f>IF(OR(B191="",C191="",D191=""),"",SUMIFS('15_Equipment_Log'!$M:$M,'15_Equipment_Log'!$B:$B,B191,'15_Equipment_Log'!$C:$C,C191,'15_Equipment_Log'!$D:$D,D191))</x:f>
      </x:c>
      <x:c r="J191" s="15"/>
      <x:c r="K191" s="15"/>
      <x:c r="L191" s="15"/>
      <x:c r="M191" s="15"/>
      <x:c r="N191" s="70" t="str">
        <x:f>IF(COUNTA(B191:E191,J191:M191)=0,"",F191+G191-H191-I191)</x:f>
      </x:c>
      <x:c r="O191" s="15" t="str">
        <x:f>IF(COUNTA(B191:E191,J191:M191)=0,"",TEXTJOIN("; ",TRUE,IF(B191="","Missing work date",""),IF(C191="","Missing project",""),IF(D191="","Missing job",""),IF(J191&lt;&gt;"Yes","Backup incomplete",""),IF(K191&lt;&gt;"Yes","Redline incomplete",""),IF(L191&lt;&gt;"Yes","Customer not approved",""),IF(M191&lt;&gt;"Ready","Invoice not ready","")))</x:f>
      </x:c>
    </x:row>
    <x:row r="192" ht="20" customHeight="1">
      <x:c r="A192" s="15"/>
      <x:c r="B192" s="28"/>
      <x:c r="C192" s="15"/>
      <x:c r="D192" s="15"/>
      <x:c r="E192" s="15"/>
      <x:c r="F192" s="70" t="str">
        <x:f>IF(OR(B192="",C192="",D192=""),"",SUMIFS('12_Production_Log'!$M:$M,'12_Production_Log'!$B:$B,B192,'12_Production_Log'!$C:$C,C192,'12_Production_Log'!$D:$D,D192))</x:f>
      </x:c>
      <x:c r="G192" s="70" t="str">
        <x:f>IF(OR(B192="",C192="",D192=""),"",SUMIFS('14_Materials_Log'!$I:$I,'14_Materials_Log'!$B:$B,B192,'14_Materials_Log'!$C:$C,C192,'14_Materials_Log'!$D:$D,D192,'14_Materials_Log'!$J:$J,"Yes"))</x:f>
      </x:c>
      <x:c r="H192" s="70" t="str">
        <x:f>IF(OR(B192="",C192="",D192=""),"",SUMIFS('13_Labor_Time'!$L:$L,'13_Labor_Time'!$B:$B,B192,'13_Labor_Time'!$C:$C,C192,'13_Labor_Time'!$D:$D,D192))</x:f>
      </x:c>
      <x:c r="I192" s="70" t="str">
        <x:f>IF(OR(B192="",C192="",D192=""),"",SUMIFS('15_Equipment_Log'!$M:$M,'15_Equipment_Log'!$B:$B,B192,'15_Equipment_Log'!$C:$C,C192,'15_Equipment_Log'!$D:$D,D192))</x:f>
      </x:c>
      <x:c r="J192" s="15"/>
      <x:c r="K192" s="15"/>
      <x:c r="L192" s="15"/>
      <x:c r="M192" s="15"/>
      <x:c r="N192" s="70" t="str">
        <x:f>IF(COUNTA(B192:E192,J192:M192)=0,"",F192+G192-H192-I192)</x:f>
      </x:c>
      <x:c r="O192" s="15" t="str">
        <x:f>IF(COUNTA(B192:E192,J192:M192)=0,"",TEXTJOIN("; ",TRUE,IF(B192="","Missing work date",""),IF(C192="","Missing project",""),IF(D192="","Missing job",""),IF(J192&lt;&gt;"Yes","Backup incomplete",""),IF(K192&lt;&gt;"Yes","Redline incomplete",""),IF(L192&lt;&gt;"Yes","Customer not approved",""),IF(M192&lt;&gt;"Ready","Invoice not ready","")))</x:f>
      </x:c>
    </x:row>
    <x:row r="193" ht="20" customHeight="1">
      <x:c r="A193" s="15"/>
      <x:c r="B193" s="28"/>
      <x:c r="C193" s="15"/>
      <x:c r="D193" s="15"/>
      <x:c r="E193" s="15"/>
      <x:c r="F193" s="70" t="str">
        <x:f>IF(OR(B193="",C193="",D193=""),"",SUMIFS('12_Production_Log'!$M:$M,'12_Production_Log'!$B:$B,B193,'12_Production_Log'!$C:$C,C193,'12_Production_Log'!$D:$D,D193))</x:f>
      </x:c>
      <x:c r="G193" s="70" t="str">
        <x:f>IF(OR(B193="",C193="",D193=""),"",SUMIFS('14_Materials_Log'!$I:$I,'14_Materials_Log'!$B:$B,B193,'14_Materials_Log'!$C:$C,C193,'14_Materials_Log'!$D:$D,D193,'14_Materials_Log'!$J:$J,"Yes"))</x:f>
      </x:c>
      <x:c r="H193" s="70" t="str">
        <x:f>IF(OR(B193="",C193="",D193=""),"",SUMIFS('13_Labor_Time'!$L:$L,'13_Labor_Time'!$B:$B,B193,'13_Labor_Time'!$C:$C,C193,'13_Labor_Time'!$D:$D,D193))</x:f>
      </x:c>
      <x:c r="I193" s="70" t="str">
        <x:f>IF(OR(B193="",C193="",D193=""),"",SUMIFS('15_Equipment_Log'!$M:$M,'15_Equipment_Log'!$B:$B,B193,'15_Equipment_Log'!$C:$C,C193,'15_Equipment_Log'!$D:$D,D193))</x:f>
      </x:c>
      <x:c r="J193" s="15"/>
      <x:c r="K193" s="15"/>
      <x:c r="L193" s="15"/>
      <x:c r="M193" s="15"/>
      <x:c r="N193" s="70" t="str">
        <x:f>IF(COUNTA(B193:E193,J193:M193)=0,"",F193+G193-H193-I193)</x:f>
      </x:c>
      <x:c r="O193" s="15" t="str">
        <x:f>IF(COUNTA(B193:E193,J193:M193)=0,"",TEXTJOIN("; ",TRUE,IF(B193="","Missing work date",""),IF(C193="","Missing project",""),IF(D193="","Missing job",""),IF(J193&lt;&gt;"Yes","Backup incomplete",""),IF(K193&lt;&gt;"Yes","Redline incomplete",""),IF(L193&lt;&gt;"Yes","Customer not approved",""),IF(M193&lt;&gt;"Ready","Invoice not ready","")))</x:f>
      </x:c>
    </x:row>
    <x:row r="194" ht="20" customHeight="1">
      <x:c r="A194" s="15"/>
      <x:c r="B194" s="28"/>
      <x:c r="C194" s="15"/>
      <x:c r="D194" s="15"/>
      <x:c r="E194" s="15"/>
      <x:c r="F194" s="70" t="str">
        <x:f>IF(OR(B194="",C194="",D194=""),"",SUMIFS('12_Production_Log'!$M:$M,'12_Production_Log'!$B:$B,B194,'12_Production_Log'!$C:$C,C194,'12_Production_Log'!$D:$D,D194))</x:f>
      </x:c>
      <x:c r="G194" s="70" t="str">
        <x:f>IF(OR(B194="",C194="",D194=""),"",SUMIFS('14_Materials_Log'!$I:$I,'14_Materials_Log'!$B:$B,B194,'14_Materials_Log'!$C:$C,C194,'14_Materials_Log'!$D:$D,D194,'14_Materials_Log'!$J:$J,"Yes"))</x:f>
      </x:c>
      <x:c r="H194" s="70" t="str">
        <x:f>IF(OR(B194="",C194="",D194=""),"",SUMIFS('13_Labor_Time'!$L:$L,'13_Labor_Time'!$B:$B,B194,'13_Labor_Time'!$C:$C,C194,'13_Labor_Time'!$D:$D,D194))</x:f>
      </x:c>
      <x:c r="I194" s="70" t="str">
        <x:f>IF(OR(B194="",C194="",D194=""),"",SUMIFS('15_Equipment_Log'!$M:$M,'15_Equipment_Log'!$B:$B,B194,'15_Equipment_Log'!$C:$C,C194,'15_Equipment_Log'!$D:$D,D194))</x:f>
      </x:c>
      <x:c r="J194" s="15"/>
      <x:c r="K194" s="15"/>
      <x:c r="L194" s="15"/>
      <x:c r="M194" s="15"/>
      <x:c r="N194" s="70" t="str">
        <x:f>IF(COUNTA(B194:E194,J194:M194)=0,"",F194+G194-H194-I194)</x:f>
      </x:c>
      <x:c r="O194" s="15" t="str">
        <x:f>IF(COUNTA(B194:E194,J194:M194)=0,"",TEXTJOIN("; ",TRUE,IF(B194="","Missing work date",""),IF(C194="","Missing project",""),IF(D194="","Missing job",""),IF(J194&lt;&gt;"Yes","Backup incomplete",""),IF(K194&lt;&gt;"Yes","Redline incomplete",""),IF(L194&lt;&gt;"Yes","Customer not approved",""),IF(M194&lt;&gt;"Ready","Invoice not ready","")))</x:f>
      </x:c>
    </x:row>
    <x:row r="195" ht="20" customHeight="1">
      <x:c r="A195" s="15"/>
      <x:c r="B195" s="28"/>
      <x:c r="C195" s="15"/>
      <x:c r="D195" s="15"/>
      <x:c r="E195" s="15"/>
      <x:c r="F195" s="70" t="str">
        <x:f>IF(OR(B195="",C195="",D195=""),"",SUMIFS('12_Production_Log'!$M:$M,'12_Production_Log'!$B:$B,B195,'12_Production_Log'!$C:$C,C195,'12_Production_Log'!$D:$D,D195))</x:f>
      </x:c>
      <x:c r="G195" s="70" t="str">
        <x:f>IF(OR(B195="",C195="",D195=""),"",SUMIFS('14_Materials_Log'!$I:$I,'14_Materials_Log'!$B:$B,B195,'14_Materials_Log'!$C:$C,C195,'14_Materials_Log'!$D:$D,D195,'14_Materials_Log'!$J:$J,"Yes"))</x:f>
      </x:c>
      <x:c r="H195" s="70" t="str">
        <x:f>IF(OR(B195="",C195="",D195=""),"",SUMIFS('13_Labor_Time'!$L:$L,'13_Labor_Time'!$B:$B,B195,'13_Labor_Time'!$C:$C,C195,'13_Labor_Time'!$D:$D,D195))</x:f>
      </x:c>
      <x:c r="I195" s="70" t="str">
        <x:f>IF(OR(B195="",C195="",D195=""),"",SUMIFS('15_Equipment_Log'!$M:$M,'15_Equipment_Log'!$B:$B,B195,'15_Equipment_Log'!$C:$C,C195,'15_Equipment_Log'!$D:$D,D195))</x:f>
      </x:c>
      <x:c r="J195" s="15"/>
      <x:c r="K195" s="15"/>
      <x:c r="L195" s="15"/>
      <x:c r="M195" s="15"/>
      <x:c r="N195" s="70" t="str">
        <x:f>IF(COUNTA(B195:E195,J195:M195)=0,"",F195+G195-H195-I195)</x:f>
      </x:c>
      <x:c r="O195" s="15" t="str">
        <x:f>IF(COUNTA(B195:E195,J195:M195)=0,"",TEXTJOIN("; ",TRUE,IF(B195="","Missing work date",""),IF(C195="","Missing project",""),IF(D195="","Missing job",""),IF(J195&lt;&gt;"Yes","Backup incomplete",""),IF(K195&lt;&gt;"Yes","Redline incomplete",""),IF(L195&lt;&gt;"Yes","Customer not approved",""),IF(M195&lt;&gt;"Ready","Invoice not ready","")))</x:f>
      </x:c>
    </x:row>
    <x:row r="196" ht="20" customHeight="1">
      <x:c r="A196" s="15"/>
      <x:c r="B196" s="28"/>
      <x:c r="C196" s="15"/>
      <x:c r="D196" s="15"/>
      <x:c r="E196" s="15"/>
      <x:c r="F196" s="70" t="str">
        <x:f>IF(OR(B196="",C196="",D196=""),"",SUMIFS('12_Production_Log'!$M:$M,'12_Production_Log'!$B:$B,B196,'12_Production_Log'!$C:$C,C196,'12_Production_Log'!$D:$D,D196))</x:f>
      </x:c>
      <x:c r="G196" s="70" t="str">
        <x:f>IF(OR(B196="",C196="",D196=""),"",SUMIFS('14_Materials_Log'!$I:$I,'14_Materials_Log'!$B:$B,B196,'14_Materials_Log'!$C:$C,C196,'14_Materials_Log'!$D:$D,D196,'14_Materials_Log'!$J:$J,"Yes"))</x:f>
      </x:c>
      <x:c r="H196" s="70" t="str">
        <x:f>IF(OR(B196="",C196="",D196=""),"",SUMIFS('13_Labor_Time'!$L:$L,'13_Labor_Time'!$B:$B,B196,'13_Labor_Time'!$C:$C,C196,'13_Labor_Time'!$D:$D,D196))</x:f>
      </x:c>
      <x:c r="I196" s="70" t="str">
        <x:f>IF(OR(B196="",C196="",D196=""),"",SUMIFS('15_Equipment_Log'!$M:$M,'15_Equipment_Log'!$B:$B,B196,'15_Equipment_Log'!$C:$C,C196,'15_Equipment_Log'!$D:$D,D196))</x:f>
      </x:c>
      <x:c r="J196" s="15"/>
      <x:c r="K196" s="15"/>
      <x:c r="L196" s="15"/>
      <x:c r="M196" s="15"/>
      <x:c r="N196" s="70" t="str">
        <x:f>IF(COUNTA(B196:E196,J196:M196)=0,"",F196+G196-H196-I196)</x:f>
      </x:c>
      <x:c r="O196" s="15" t="str">
        <x:f>IF(COUNTA(B196:E196,J196:M196)=0,"",TEXTJOIN("; ",TRUE,IF(B196="","Missing work date",""),IF(C196="","Missing project",""),IF(D196="","Missing job",""),IF(J196&lt;&gt;"Yes","Backup incomplete",""),IF(K196&lt;&gt;"Yes","Redline incomplete",""),IF(L196&lt;&gt;"Yes","Customer not approved",""),IF(M196&lt;&gt;"Ready","Invoice not ready","")))</x:f>
      </x:c>
    </x:row>
    <x:row r="197" ht="20" customHeight="1">
      <x:c r="A197" s="15"/>
      <x:c r="B197" s="28"/>
      <x:c r="C197" s="15"/>
      <x:c r="D197" s="15"/>
      <x:c r="E197" s="15"/>
      <x:c r="F197" s="70" t="str">
        <x:f>IF(OR(B197="",C197="",D197=""),"",SUMIFS('12_Production_Log'!$M:$M,'12_Production_Log'!$B:$B,B197,'12_Production_Log'!$C:$C,C197,'12_Production_Log'!$D:$D,D197))</x:f>
      </x:c>
      <x:c r="G197" s="70" t="str">
        <x:f>IF(OR(B197="",C197="",D197=""),"",SUMIFS('14_Materials_Log'!$I:$I,'14_Materials_Log'!$B:$B,B197,'14_Materials_Log'!$C:$C,C197,'14_Materials_Log'!$D:$D,D197,'14_Materials_Log'!$J:$J,"Yes"))</x:f>
      </x:c>
      <x:c r="H197" s="70" t="str">
        <x:f>IF(OR(B197="",C197="",D197=""),"",SUMIFS('13_Labor_Time'!$L:$L,'13_Labor_Time'!$B:$B,B197,'13_Labor_Time'!$C:$C,C197,'13_Labor_Time'!$D:$D,D197))</x:f>
      </x:c>
      <x:c r="I197" s="70" t="str">
        <x:f>IF(OR(B197="",C197="",D197=""),"",SUMIFS('15_Equipment_Log'!$M:$M,'15_Equipment_Log'!$B:$B,B197,'15_Equipment_Log'!$C:$C,C197,'15_Equipment_Log'!$D:$D,D197))</x:f>
      </x:c>
      <x:c r="J197" s="15"/>
      <x:c r="K197" s="15"/>
      <x:c r="L197" s="15"/>
      <x:c r="M197" s="15"/>
      <x:c r="N197" s="70" t="str">
        <x:f>IF(COUNTA(B197:E197,J197:M197)=0,"",F197+G197-H197-I197)</x:f>
      </x:c>
      <x:c r="O197" s="15" t="str">
        <x:f>IF(COUNTA(B197:E197,J197:M197)=0,"",TEXTJOIN("; ",TRUE,IF(B197="","Missing work date",""),IF(C197="","Missing project",""),IF(D197="","Missing job",""),IF(J197&lt;&gt;"Yes","Backup incomplete",""),IF(K197&lt;&gt;"Yes","Redline incomplete",""),IF(L197&lt;&gt;"Yes","Customer not approved",""),IF(M197&lt;&gt;"Ready","Invoice not ready","")))</x:f>
      </x:c>
    </x:row>
    <x:row r="198" ht="20" customHeight="1">
      <x:c r="A198" s="15"/>
      <x:c r="B198" s="28"/>
      <x:c r="C198" s="15"/>
      <x:c r="D198" s="15"/>
      <x:c r="E198" s="15"/>
      <x:c r="F198" s="70" t="str">
        <x:f>IF(OR(B198="",C198="",D198=""),"",SUMIFS('12_Production_Log'!$M:$M,'12_Production_Log'!$B:$B,B198,'12_Production_Log'!$C:$C,C198,'12_Production_Log'!$D:$D,D198))</x:f>
      </x:c>
      <x:c r="G198" s="70" t="str">
        <x:f>IF(OR(B198="",C198="",D198=""),"",SUMIFS('14_Materials_Log'!$I:$I,'14_Materials_Log'!$B:$B,B198,'14_Materials_Log'!$C:$C,C198,'14_Materials_Log'!$D:$D,D198,'14_Materials_Log'!$J:$J,"Yes"))</x:f>
      </x:c>
      <x:c r="H198" s="70" t="str">
        <x:f>IF(OR(B198="",C198="",D198=""),"",SUMIFS('13_Labor_Time'!$L:$L,'13_Labor_Time'!$B:$B,B198,'13_Labor_Time'!$C:$C,C198,'13_Labor_Time'!$D:$D,D198))</x:f>
      </x:c>
      <x:c r="I198" s="70" t="str">
        <x:f>IF(OR(B198="",C198="",D198=""),"",SUMIFS('15_Equipment_Log'!$M:$M,'15_Equipment_Log'!$B:$B,B198,'15_Equipment_Log'!$C:$C,C198,'15_Equipment_Log'!$D:$D,D198))</x:f>
      </x:c>
      <x:c r="J198" s="15"/>
      <x:c r="K198" s="15"/>
      <x:c r="L198" s="15"/>
      <x:c r="M198" s="15"/>
      <x:c r="N198" s="70" t="str">
        <x:f>IF(COUNTA(B198:E198,J198:M198)=0,"",F198+G198-H198-I198)</x:f>
      </x:c>
      <x:c r="O198" s="15" t="str">
        <x:f>IF(COUNTA(B198:E198,J198:M198)=0,"",TEXTJOIN("; ",TRUE,IF(B198="","Missing work date",""),IF(C198="","Missing project",""),IF(D198="","Missing job",""),IF(J198&lt;&gt;"Yes","Backup incomplete",""),IF(K198&lt;&gt;"Yes","Redline incomplete",""),IF(L198&lt;&gt;"Yes","Customer not approved",""),IF(M198&lt;&gt;"Ready","Invoice not ready","")))</x:f>
      </x:c>
    </x:row>
    <x:row r="199" ht="20" customHeight="1">
      <x:c r="A199" s="15"/>
      <x:c r="B199" s="28"/>
      <x:c r="C199" s="15"/>
      <x:c r="D199" s="15"/>
      <x:c r="E199" s="15"/>
      <x:c r="F199" s="70" t="str">
        <x:f>IF(OR(B199="",C199="",D199=""),"",SUMIFS('12_Production_Log'!$M:$M,'12_Production_Log'!$B:$B,B199,'12_Production_Log'!$C:$C,C199,'12_Production_Log'!$D:$D,D199))</x:f>
      </x:c>
      <x:c r="G199" s="70" t="str">
        <x:f>IF(OR(B199="",C199="",D199=""),"",SUMIFS('14_Materials_Log'!$I:$I,'14_Materials_Log'!$B:$B,B199,'14_Materials_Log'!$C:$C,C199,'14_Materials_Log'!$D:$D,D199,'14_Materials_Log'!$J:$J,"Yes"))</x:f>
      </x:c>
      <x:c r="H199" s="70" t="str">
        <x:f>IF(OR(B199="",C199="",D199=""),"",SUMIFS('13_Labor_Time'!$L:$L,'13_Labor_Time'!$B:$B,B199,'13_Labor_Time'!$C:$C,C199,'13_Labor_Time'!$D:$D,D199))</x:f>
      </x:c>
      <x:c r="I199" s="70" t="str">
        <x:f>IF(OR(B199="",C199="",D199=""),"",SUMIFS('15_Equipment_Log'!$M:$M,'15_Equipment_Log'!$B:$B,B199,'15_Equipment_Log'!$C:$C,C199,'15_Equipment_Log'!$D:$D,D199))</x:f>
      </x:c>
      <x:c r="J199" s="15"/>
      <x:c r="K199" s="15"/>
      <x:c r="L199" s="15"/>
      <x:c r="M199" s="15"/>
      <x:c r="N199" s="70" t="str">
        <x:f>IF(COUNTA(B199:E199,J199:M199)=0,"",F199+G199-H199-I199)</x:f>
      </x:c>
      <x:c r="O199" s="15" t="str">
        <x:f>IF(COUNTA(B199:E199,J199:M199)=0,"",TEXTJOIN("; ",TRUE,IF(B199="","Missing work date",""),IF(C199="","Missing project",""),IF(D199="","Missing job",""),IF(J199&lt;&gt;"Yes","Backup incomplete",""),IF(K199&lt;&gt;"Yes","Redline incomplete",""),IF(L199&lt;&gt;"Yes","Customer not approved",""),IF(M199&lt;&gt;"Ready","Invoice not ready","")))</x:f>
      </x:c>
    </x:row>
    <x:row r="200" ht="20" customHeight="1">
      <x:c r="A200" s="15"/>
      <x:c r="B200" s="28"/>
      <x:c r="C200" s="15"/>
      <x:c r="D200" s="15"/>
      <x:c r="E200" s="15"/>
      <x:c r="F200" s="70" t="str">
        <x:f>IF(OR(B200="",C200="",D200=""),"",SUMIFS('12_Production_Log'!$M:$M,'12_Production_Log'!$B:$B,B200,'12_Production_Log'!$C:$C,C200,'12_Production_Log'!$D:$D,D200))</x:f>
      </x:c>
      <x:c r="G200" s="70" t="str">
        <x:f>IF(OR(B200="",C200="",D200=""),"",SUMIFS('14_Materials_Log'!$I:$I,'14_Materials_Log'!$B:$B,B200,'14_Materials_Log'!$C:$C,C200,'14_Materials_Log'!$D:$D,D200,'14_Materials_Log'!$J:$J,"Yes"))</x:f>
      </x:c>
      <x:c r="H200" s="70" t="str">
        <x:f>IF(OR(B200="",C200="",D200=""),"",SUMIFS('13_Labor_Time'!$L:$L,'13_Labor_Time'!$B:$B,B200,'13_Labor_Time'!$C:$C,C200,'13_Labor_Time'!$D:$D,D200))</x:f>
      </x:c>
      <x:c r="I200" s="70" t="str">
        <x:f>IF(OR(B200="",C200="",D200=""),"",SUMIFS('15_Equipment_Log'!$M:$M,'15_Equipment_Log'!$B:$B,B200,'15_Equipment_Log'!$C:$C,C200,'15_Equipment_Log'!$D:$D,D200))</x:f>
      </x:c>
      <x:c r="J200" s="15"/>
      <x:c r="K200" s="15"/>
      <x:c r="L200" s="15"/>
      <x:c r="M200" s="15"/>
      <x:c r="N200" s="70" t="str">
        <x:f>IF(COUNTA(B200:E200,J200:M200)=0,"",F200+G200-H200-I200)</x:f>
      </x:c>
      <x:c r="O200" s="15" t="str">
        <x:f>IF(COUNTA(B200:E200,J200:M200)=0,"",TEXTJOIN("; ",TRUE,IF(B200="","Missing work date",""),IF(C200="","Missing project",""),IF(D200="","Missing job",""),IF(J200&lt;&gt;"Yes","Backup incomplete",""),IF(K200&lt;&gt;"Yes","Redline incomplete",""),IF(L200&lt;&gt;"Yes","Customer not approved",""),IF(M200&lt;&gt;"Ready","Invoice not ready","")))</x:f>
      </x:c>
    </x:row>
    <x:row r="201" ht="20" customHeight="1">
      <x:c r="A201" s="15"/>
      <x:c r="B201" s="28"/>
      <x:c r="C201" s="15"/>
      <x:c r="D201" s="15"/>
      <x:c r="E201" s="15"/>
      <x:c r="F201" s="70" t="str">
        <x:f>IF(OR(B201="",C201="",D201=""),"",SUMIFS('12_Production_Log'!$M:$M,'12_Production_Log'!$B:$B,B201,'12_Production_Log'!$C:$C,C201,'12_Production_Log'!$D:$D,D201))</x:f>
      </x:c>
      <x:c r="G201" s="70" t="str">
        <x:f>IF(OR(B201="",C201="",D201=""),"",SUMIFS('14_Materials_Log'!$I:$I,'14_Materials_Log'!$B:$B,B201,'14_Materials_Log'!$C:$C,C201,'14_Materials_Log'!$D:$D,D201,'14_Materials_Log'!$J:$J,"Yes"))</x:f>
      </x:c>
      <x:c r="H201" s="70" t="str">
        <x:f>IF(OR(B201="",C201="",D201=""),"",SUMIFS('13_Labor_Time'!$L:$L,'13_Labor_Time'!$B:$B,B201,'13_Labor_Time'!$C:$C,C201,'13_Labor_Time'!$D:$D,D201))</x:f>
      </x:c>
      <x:c r="I201" s="70" t="str">
        <x:f>IF(OR(B201="",C201="",D201=""),"",SUMIFS('15_Equipment_Log'!$M:$M,'15_Equipment_Log'!$B:$B,B201,'15_Equipment_Log'!$C:$C,C201,'15_Equipment_Log'!$D:$D,D201))</x:f>
      </x:c>
      <x:c r="J201" s="15"/>
      <x:c r="K201" s="15"/>
      <x:c r="L201" s="15"/>
      <x:c r="M201" s="15"/>
      <x:c r="N201" s="70" t="str">
        <x:f>IF(COUNTA(B201:E201,J201:M201)=0,"",F201+G201-H201-I201)</x:f>
      </x:c>
      <x:c r="O201" s="15" t="str">
        <x:f>IF(COUNTA(B201:E201,J201:M201)=0,"",TEXTJOIN("; ",TRUE,IF(B201="","Missing work date",""),IF(C201="","Missing project",""),IF(D201="","Missing job",""),IF(J201&lt;&gt;"Yes","Backup incomplete",""),IF(K201&lt;&gt;"Yes","Redline incomplete",""),IF(L201&lt;&gt;"Yes","Customer not approved",""),IF(M201&lt;&gt;"Ready","Invoice not ready","")))</x:f>
      </x:c>
    </x:row>
  </x:sheetData>
  <x:conditionalFormatting sqref="O2:O201">
    <x:cfRule type="expression" dxfId="8" priority="1">
      <x:formula>O2&lt;&gt;""</x:formula>
    </x:cfRule>
  </x:conditionalFormatting>
  <x:dataValidations count="4">
    <x:dataValidation type="list" sqref="J2:J201">
      <x:formula1>"Yes,No"</x:formula1>
    </x:dataValidation>
    <x:dataValidation type="list" sqref="K2:K201">
      <x:formula1>"Yes,No"</x:formula1>
    </x:dataValidation>
    <x:dataValidation type="list" sqref="L2:L201">
      <x:formula1>"Yes,No"</x:formula1>
    </x:dataValidation>
    <x:dataValidation type="list" sqref="M2:M201">
      <x:formula1>"Not Ready,Ready,Submitted,Paid,Disputed,Hold"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748bedc0904ae6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16" hidden="0" customWidth="1"/>
    <x:col min="6" max="6" width="28" hidden="0" customWidth="1"/>
    <x:col min="7" max="7" width="12" hidden="0" customWidth="1"/>
    <x:col min="8" max="8" width="24" hidden="0" customWidth="1"/>
    <x:col min="9" max="9" width="18" hidden="0" customWidth="1"/>
    <x:col min="10" max="10" width="14" hidden="0" customWidth="1"/>
    <x:col min="11" max="11" width="12" hidden="0" customWidth="1"/>
    <x:col min="12" max="12" width="50" hidden="0" customWidth="1"/>
    <x:col min="13" max="13" width="42" hidden="0" customWidth="1"/>
  </x:cols>
  <x:sheetData>
    <x:row r="1" ht="30" customHeight="1">
      <x:c r="A1" s="216" t="str">
        <x:v>IssueID</x:v>
      </x:c>
      <x:c r="B1" s="216" t="str">
        <x:v>WorkDate</x:v>
      </x:c>
      <x:c r="C1" s="216" t="str">
        <x:v>ProjectID</x:v>
      </x:c>
      <x:c r="D1" s="216" t="str">
        <x:v>SourceSheet</x:v>
      </x:c>
      <x:c r="E1" s="216" t="str">
        <x:v>SourceID</x:v>
      </x:c>
      <x:c r="F1" s="216" t="str">
        <x:v>IssueType</x:v>
      </x:c>
      <x:c r="G1" s="216" t="str">
        <x:v>Severity</x:v>
      </x:c>
      <x:c r="H1" s="216" t="str">
        <x:v>Status</x:v>
      </x:c>
      <x:c r="I1" s="216" t="str">
        <x:v>Owner</x:v>
      </x:c>
      <x:c r="J1" s="216" t="str">
        <x:v>DueDate</x:v>
      </x:c>
      <x:c r="K1" s="216" t="str">
        <x:v>DaysOpen</x:v>
      </x:c>
      <x:c r="L1" s="216" t="str">
        <x:v>Notes</x:v>
      </x:c>
      <x:c r="M1" s="216" t="str">
        <x:v>Resolution</x:v>
      </x:c>
    </x:row>
    <x:row r="2" ht="20" customHeight="1">
      <x:c r="A2" s="15" t="str">
        <x:v>ISS-0001</x:v>
      </x:c>
      <x:c r="B2" s="28" t="n">
        <x:v>46204</x:v>
      </x:c>
      <x:c r="C2" s="15" t="str">
        <x:v>PRJ-1001</x:v>
      </x:c>
      <x:c r="D2" s="15" t="str">
        <x:v>11_Intake_Daily</x:v>
      </x:c>
      <x:c r="E2" s="15" t="str">
        <x:v>SUB-0002</x:v>
      </x:c>
      <x:c r="F2" s="15" t="str">
        <x:v>Missing redline</x:v>
      </x:c>
      <x:c r="G2" s="15" t="str">
        <x:v>High</x:v>
      </x:c>
      <x:c r="H2" s="15" t="str">
        <x:v>Open</x:v>
      </x:c>
      <x:c r="I2" s="15" t="str">
        <x:v>Office Admin</x:v>
      </x:c>
      <x:c r="J2" s="28" t="n">
        <x:v>46206</x:v>
      </x:c>
      <x:c r="K2" s="222" t="n">
        <x:f>IF(COUNTA(B2:J2)=0,"",IF(H2="Closed","",TODAY()-B2))</x:f>
        <x:v>1</x:v>
      </x:c>
      <x:c r="L2" s="15" t="str">
        <x:v>Bore package missing redline</x:v>
      </x:c>
      <x:c r="M2" s="15" t="str"/>
    </x:row>
    <x:row r="3" ht="20" customHeight="1">
      <x:c r="A3" s="15" t="str">
        <x:v>ISS-0002</x:v>
      </x:c>
      <x:c r="B3" s="28" t="n">
        <x:v>46204</x:v>
      </x:c>
      <x:c r="C3" s="15" t="str">
        <x:v>PRJ-1002</x:v>
      </x:c>
      <x:c r="D3" s="15" t="str">
        <x:v>16_Safety_Log</x:v>
      </x:c>
      <x:c r="E3" s="15" t="str">
        <x:v>SAFE-0001</x:v>
      </x:c>
      <x:c r="F3" s="15" t="str">
        <x:v>Damage follow-up</x:v>
      </x:c>
      <x:c r="G3" s="15" t="str">
        <x:v>Critical</x:v>
      </x:c>
      <x:c r="H3" s="15" t="str">
        <x:v>Open</x:v>
      </x:c>
      <x:c r="I3" s="15" t="str">
        <x:v>Boss</x:v>
      </x:c>
      <x:c r="J3" s="28" t="n">
        <x:v>46205</x:v>
      </x:c>
      <x:c r="K3" s="222" t="n">
        <x:f>IF(COUNTA(B3:J3)=0,"",IF(H3="Closed","",TODAY()-B3))</x:f>
        <x:v>1</x:v>
      </x:c>
      <x:c r="L3" s="15" t="str">
        <x:v>Sidewalk chip needs customer record</x:v>
      </x:c>
      <x:c r="M3" s="15" t="str"/>
    </x:row>
    <x:row r="4" ht="20" customHeight="1">
      <x:c r="A4" s="15" t="str">
        <x:v>ISS-0003</x:v>
      </x:c>
      <x:c r="B4" s="28" t="n">
        <x:v>46204</x:v>
      </x:c>
      <x:c r="C4" s="15" t="str">
        <x:v>PRJ-1001</x:v>
      </x:c>
      <x:c r="D4" s="15" t="str">
        <x:v>17_Proof_Assets</x:v>
      </x:c>
      <x:c r="E4" s="15" t="str">
        <x:v>AST-0002</x:v>
      </x:c>
      <x:c r="F4" s="15" t="str">
        <x:v>Required asset not uploaded</x:v>
      </x:c>
      <x:c r="G4" s="15" t="str">
        <x:v>High</x:v>
      </x:c>
      <x:c r="H4" s="15" t="str">
        <x:v>Field Correction Needed</x:v>
      </x:c>
      <x:c r="I4" s="15" t="str">
        <x:v>Foreman</x:v>
      </x:c>
      <x:c r="J4" s="28" t="n">
        <x:v>46205</x:v>
      </x:c>
      <x:c r="K4" s="222" t="n">
        <x:f>IF(COUNTA(B4:J4)=0,"",IF(H4="Closed","",TODAY()-B4))</x:f>
        <x:v>1</x:v>
      </x:c>
      <x:c r="L4" s="15" t="str">
        <x:v>Upload marked-up redline</x:v>
      </x:c>
      <x:c r="M4" s="15" t="str"/>
    </x:row>
    <x:row r="5" ht="20" customHeight="1">
      <x:c r="A5" s="15"/>
      <x:c r="B5" s="28"/>
      <x:c r="C5" s="15"/>
      <x:c r="D5" s="15"/>
      <x:c r="E5" s="15"/>
      <x:c r="F5" s="15"/>
      <x:c r="G5" s="15"/>
      <x:c r="H5" s="15"/>
      <x:c r="I5" s="15"/>
      <x:c r="J5" s="28"/>
      <x:c r="K5" s="222" t="str">
        <x:f>IF(COUNTA(B5:J5)=0,"",IF(H5="Closed","",TODAY()-B5))</x:f>
      </x:c>
      <x:c r="L5" s="15"/>
      <x:c r="M5" s="15"/>
    </x:row>
    <x:row r="6" ht="20" customHeight="1">
      <x:c r="A6" s="15"/>
      <x:c r="B6" s="28"/>
      <x:c r="C6" s="15"/>
      <x:c r="D6" s="15"/>
      <x:c r="E6" s="15"/>
      <x:c r="F6" s="15"/>
      <x:c r="G6" s="15"/>
      <x:c r="H6" s="15"/>
      <x:c r="I6" s="15"/>
      <x:c r="J6" s="28"/>
      <x:c r="K6" s="222" t="str">
        <x:f>IF(COUNTA(B6:J6)=0,"",IF(H6="Closed","",TODAY()-B6))</x:f>
      </x:c>
      <x:c r="L6" s="15"/>
      <x:c r="M6" s="15"/>
    </x:row>
    <x:row r="7" ht="20" customHeight="1">
      <x:c r="A7" s="15"/>
      <x:c r="B7" s="28"/>
      <x:c r="C7" s="15"/>
      <x:c r="D7" s="15"/>
      <x:c r="E7" s="15"/>
      <x:c r="F7" s="15"/>
      <x:c r="G7" s="15"/>
      <x:c r="H7" s="15"/>
      <x:c r="I7" s="15"/>
      <x:c r="J7" s="28"/>
      <x:c r="K7" s="222" t="str">
        <x:f>IF(COUNTA(B7:J7)=0,"",IF(H7="Closed","",TODAY()-B7))</x:f>
      </x:c>
      <x:c r="L7" s="15"/>
      <x:c r="M7" s="15"/>
    </x:row>
    <x:row r="8" ht="20" customHeight="1">
      <x:c r="A8" s="15"/>
      <x:c r="B8" s="28"/>
      <x:c r="C8" s="15"/>
      <x:c r="D8" s="15"/>
      <x:c r="E8" s="15"/>
      <x:c r="F8" s="15"/>
      <x:c r="G8" s="15"/>
      <x:c r="H8" s="15"/>
      <x:c r="I8" s="15"/>
      <x:c r="J8" s="28"/>
      <x:c r="K8" s="222" t="str">
        <x:f>IF(COUNTA(B8:J8)=0,"",IF(H8="Closed","",TODAY()-B8))</x:f>
      </x:c>
      <x:c r="L8" s="15"/>
      <x:c r="M8" s="15"/>
    </x:row>
    <x:row r="9" ht="20" customHeight="1">
      <x:c r="A9" s="15"/>
      <x:c r="B9" s="28"/>
      <x:c r="C9" s="15"/>
      <x:c r="D9" s="15"/>
      <x:c r="E9" s="15"/>
      <x:c r="F9" s="15"/>
      <x:c r="G9" s="15"/>
      <x:c r="H9" s="15"/>
      <x:c r="I9" s="15"/>
      <x:c r="J9" s="28"/>
      <x:c r="K9" s="222" t="str">
        <x:f>IF(COUNTA(B9:J9)=0,"",IF(H9="Closed","",TODAY()-B9))</x:f>
      </x:c>
      <x:c r="L9" s="15"/>
      <x:c r="M9" s="15"/>
    </x:row>
    <x:row r="10" ht="20" customHeight="1">
      <x:c r="A10" s="15"/>
      <x:c r="B10" s="28"/>
      <x:c r="C10" s="15"/>
      <x:c r="D10" s="15"/>
      <x:c r="E10" s="15"/>
      <x:c r="F10" s="15"/>
      <x:c r="G10" s="15"/>
      <x:c r="H10" s="15"/>
      <x:c r="I10" s="15"/>
      <x:c r="J10" s="28"/>
      <x:c r="K10" s="222" t="str">
        <x:f>IF(COUNTA(B10:J10)=0,"",IF(H10="Closed","",TODAY()-B10))</x:f>
      </x:c>
      <x:c r="L10" s="15"/>
      <x:c r="M10" s="15"/>
    </x:row>
    <x:row r="11" ht="20" customHeight="1">
      <x:c r="A11" s="15"/>
      <x:c r="B11" s="28"/>
      <x:c r="C11" s="15"/>
      <x:c r="D11" s="15"/>
      <x:c r="E11" s="15"/>
      <x:c r="F11" s="15"/>
      <x:c r="G11" s="15"/>
      <x:c r="H11" s="15"/>
      <x:c r="I11" s="15"/>
      <x:c r="J11" s="28"/>
      <x:c r="K11" s="222" t="str">
        <x:f>IF(COUNTA(B11:J11)=0,"",IF(H11="Closed","",TODAY()-B11))</x:f>
      </x:c>
      <x:c r="L11" s="15"/>
      <x:c r="M11" s="15"/>
    </x:row>
    <x:row r="12" ht="20" customHeight="1">
      <x:c r="A12" s="15"/>
      <x:c r="B12" s="28"/>
      <x:c r="C12" s="15"/>
      <x:c r="D12" s="15"/>
      <x:c r="E12" s="15"/>
      <x:c r="F12" s="15"/>
      <x:c r="G12" s="15"/>
      <x:c r="H12" s="15"/>
      <x:c r="I12" s="15"/>
      <x:c r="J12" s="28"/>
      <x:c r="K12" s="222" t="str">
        <x:f>IF(COUNTA(B12:J12)=0,"",IF(H12="Closed","",TODAY()-B12))</x:f>
      </x:c>
      <x:c r="L12" s="15"/>
      <x:c r="M12" s="15"/>
    </x:row>
    <x:row r="13" ht="20" customHeight="1">
      <x:c r="A13" s="15"/>
      <x:c r="B13" s="28"/>
      <x:c r="C13" s="15"/>
      <x:c r="D13" s="15"/>
      <x:c r="E13" s="15"/>
      <x:c r="F13" s="15"/>
      <x:c r="G13" s="15"/>
      <x:c r="H13" s="15"/>
      <x:c r="I13" s="15"/>
      <x:c r="J13" s="28"/>
      <x:c r="K13" s="222" t="str">
        <x:f>IF(COUNTA(B13:J13)=0,"",IF(H13="Closed","",TODAY()-B13))</x:f>
      </x:c>
      <x:c r="L13" s="15"/>
      <x:c r="M13" s="15"/>
    </x:row>
    <x:row r="14" ht="20" customHeight="1">
      <x:c r="A14" s="15"/>
      <x:c r="B14" s="28"/>
      <x:c r="C14" s="15"/>
      <x:c r="D14" s="15"/>
      <x:c r="E14" s="15"/>
      <x:c r="F14" s="15"/>
      <x:c r="G14" s="15"/>
      <x:c r="H14" s="15"/>
      <x:c r="I14" s="15"/>
      <x:c r="J14" s="28"/>
      <x:c r="K14" s="222" t="str">
        <x:f>IF(COUNTA(B14:J14)=0,"",IF(H14="Closed","",TODAY()-B14))</x:f>
      </x:c>
      <x:c r="L14" s="15"/>
      <x:c r="M14" s="15"/>
    </x:row>
    <x:row r="15" ht="20" customHeight="1">
      <x:c r="A15" s="15"/>
      <x:c r="B15" s="28"/>
      <x:c r="C15" s="15"/>
      <x:c r="D15" s="15"/>
      <x:c r="E15" s="15"/>
      <x:c r="F15" s="15"/>
      <x:c r="G15" s="15"/>
      <x:c r="H15" s="15"/>
      <x:c r="I15" s="15"/>
      <x:c r="J15" s="28"/>
      <x:c r="K15" s="222" t="str">
        <x:f>IF(COUNTA(B15:J15)=0,"",IF(H15="Closed","",TODAY()-B15))</x:f>
      </x:c>
      <x:c r="L15" s="15"/>
      <x:c r="M15" s="15"/>
    </x:row>
    <x:row r="16" ht="20" customHeight="1">
      <x:c r="A16" s="15"/>
      <x:c r="B16" s="28"/>
      <x:c r="C16" s="15"/>
      <x:c r="D16" s="15"/>
      <x:c r="E16" s="15"/>
      <x:c r="F16" s="15"/>
      <x:c r="G16" s="15"/>
      <x:c r="H16" s="15"/>
      <x:c r="I16" s="15"/>
      <x:c r="J16" s="28"/>
      <x:c r="K16" s="222" t="str">
        <x:f>IF(COUNTA(B16:J16)=0,"",IF(H16="Closed","",TODAY()-B16))</x:f>
      </x:c>
      <x:c r="L16" s="15"/>
      <x:c r="M16" s="15"/>
    </x:row>
    <x:row r="17" ht="20" customHeight="1">
      <x:c r="A17" s="15"/>
      <x:c r="B17" s="28"/>
      <x:c r="C17" s="15"/>
      <x:c r="D17" s="15"/>
      <x:c r="E17" s="15"/>
      <x:c r="F17" s="15"/>
      <x:c r="G17" s="15"/>
      <x:c r="H17" s="15"/>
      <x:c r="I17" s="15"/>
      <x:c r="J17" s="28"/>
      <x:c r="K17" s="222" t="str">
        <x:f>IF(COUNTA(B17:J17)=0,"",IF(H17="Closed","",TODAY()-B17))</x:f>
      </x:c>
      <x:c r="L17" s="15"/>
      <x:c r="M17" s="15"/>
    </x:row>
    <x:row r="18" ht="20" customHeight="1">
      <x:c r="A18" s="15"/>
      <x:c r="B18" s="28"/>
      <x:c r="C18" s="15"/>
      <x:c r="D18" s="15"/>
      <x:c r="E18" s="15"/>
      <x:c r="F18" s="15"/>
      <x:c r="G18" s="15"/>
      <x:c r="H18" s="15"/>
      <x:c r="I18" s="15"/>
      <x:c r="J18" s="28"/>
      <x:c r="K18" s="222" t="str">
        <x:f>IF(COUNTA(B18:J18)=0,"",IF(H18="Closed","",TODAY()-B18))</x:f>
      </x:c>
      <x:c r="L18" s="15"/>
      <x:c r="M18" s="15"/>
    </x:row>
    <x:row r="19" ht="20" customHeight="1">
      <x:c r="A19" s="15"/>
      <x:c r="B19" s="28"/>
      <x:c r="C19" s="15"/>
      <x:c r="D19" s="15"/>
      <x:c r="E19" s="15"/>
      <x:c r="F19" s="15"/>
      <x:c r="G19" s="15"/>
      <x:c r="H19" s="15"/>
      <x:c r="I19" s="15"/>
      <x:c r="J19" s="28"/>
      <x:c r="K19" s="222" t="str">
        <x:f>IF(COUNTA(B19:J19)=0,"",IF(H19="Closed","",TODAY()-B19))</x:f>
      </x:c>
      <x:c r="L19" s="15"/>
      <x:c r="M19" s="15"/>
    </x:row>
    <x:row r="20" ht="20" customHeight="1">
      <x:c r="A20" s="15"/>
      <x:c r="B20" s="28"/>
      <x:c r="C20" s="15"/>
      <x:c r="D20" s="15"/>
      <x:c r="E20" s="15"/>
      <x:c r="F20" s="15"/>
      <x:c r="G20" s="15"/>
      <x:c r="H20" s="15"/>
      <x:c r="I20" s="15"/>
      <x:c r="J20" s="28"/>
      <x:c r="K20" s="222" t="str">
        <x:f>IF(COUNTA(B20:J20)=0,"",IF(H20="Closed","",TODAY()-B20))</x:f>
      </x:c>
      <x:c r="L20" s="15"/>
      <x:c r="M20" s="15"/>
    </x:row>
    <x:row r="21" ht="20" customHeight="1">
      <x:c r="A21" s="15"/>
      <x:c r="B21" s="28"/>
      <x:c r="C21" s="15"/>
      <x:c r="D21" s="15"/>
      <x:c r="E21" s="15"/>
      <x:c r="F21" s="15"/>
      <x:c r="G21" s="15"/>
      <x:c r="H21" s="15"/>
      <x:c r="I21" s="15"/>
      <x:c r="J21" s="28"/>
      <x:c r="K21" s="222" t="str">
        <x:f>IF(COUNTA(B21:J21)=0,"",IF(H21="Closed","",TODAY()-B21))</x:f>
      </x:c>
      <x:c r="L21" s="15"/>
      <x:c r="M21" s="15"/>
    </x:row>
    <x:row r="22" ht="20" customHeight="1">
      <x:c r="A22" s="15"/>
      <x:c r="B22" s="28"/>
      <x:c r="C22" s="15"/>
      <x:c r="D22" s="15"/>
      <x:c r="E22" s="15"/>
      <x:c r="F22" s="15"/>
      <x:c r="G22" s="15"/>
      <x:c r="H22" s="15"/>
      <x:c r="I22" s="15"/>
      <x:c r="J22" s="28"/>
      <x:c r="K22" s="222" t="str">
        <x:f>IF(COUNTA(B22:J22)=0,"",IF(H22="Closed","",TODAY()-B22))</x:f>
      </x:c>
      <x:c r="L22" s="15"/>
      <x:c r="M22" s="15"/>
    </x:row>
    <x:row r="23" ht="20" customHeight="1">
      <x:c r="A23" s="15"/>
      <x:c r="B23" s="28"/>
      <x:c r="C23" s="15"/>
      <x:c r="D23" s="15"/>
      <x:c r="E23" s="15"/>
      <x:c r="F23" s="15"/>
      <x:c r="G23" s="15"/>
      <x:c r="H23" s="15"/>
      <x:c r="I23" s="15"/>
      <x:c r="J23" s="28"/>
      <x:c r="K23" s="222" t="str">
        <x:f>IF(COUNTA(B23:J23)=0,"",IF(H23="Closed","",TODAY()-B23))</x:f>
      </x:c>
      <x:c r="L23" s="15"/>
      <x:c r="M23" s="15"/>
    </x:row>
    <x:row r="24" ht="20" customHeight="1">
      <x:c r="A24" s="15"/>
      <x:c r="B24" s="28"/>
      <x:c r="C24" s="15"/>
      <x:c r="D24" s="15"/>
      <x:c r="E24" s="15"/>
      <x:c r="F24" s="15"/>
      <x:c r="G24" s="15"/>
      <x:c r="H24" s="15"/>
      <x:c r="I24" s="15"/>
      <x:c r="J24" s="28"/>
      <x:c r="K24" s="222" t="str">
        <x:f>IF(COUNTA(B24:J24)=0,"",IF(H24="Closed","",TODAY()-B24))</x:f>
      </x:c>
      <x:c r="L24" s="15"/>
      <x:c r="M24" s="15"/>
    </x:row>
    <x:row r="25" ht="20" customHeight="1">
      <x:c r="A25" s="15"/>
      <x:c r="B25" s="28"/>
      <x:c r="C25" s="15"/>
      <x:c r="D25" s="15"/>
      <x:c r="E25" s="15"/>
      <x:c r="F25" s="15"/>
      <x:c r="G25" s="15"/>
      <x:c r="H25" s="15"/>
      <x:c r="I25" s="15"/>
      <x:c r="J25" s="28"/>
      <x:c r="K25" s="222" t="str">
        <x:f>IF(COUNTA(B25:J25)=0,"",IF(H25="Closed","",TODAY()-B25))</x:f>
      </x:c>
      <x:c r="L25" s="15"/>
      <x:c r="M25" s="15"/>
    </x:row>
    <x:row r="26" ht="20" customHeight="1">
      <x:c r="A26" s="15"/>
      <x:c r="B26" s="28"/>
      <x:c r="C26" s="15"/>
      <x:c r="D26" s="15"/>
      <x:c r="E26" s="15"/>
      <x:c r="F26" s="15"/>
      <x:c r="G26" s="15"/>
      <x:c r="H26" s="15"/>
      <x:c r="I26" s="15"/>
      <x:c r="J26" s="28"/>
      <x:c r="K26" s="222" t="str">
        <x:f>IF(COUNTA(B26:J26)=0,"",IF(H26="Closed","",TODAY()-B26))</x:f>
      </x:c>
      <x:c r="L26" s="15"/>
      <x:c r="M26" s="15"/>
    </x:row>
    <x:row r="27" ht="20" customHeight="1">
      <x:c r="A27" s="15"/>
      <x:c r="B27" s="28"/>
      <x:c r="C27" s="15"/>
      <x:c r="D27" s="15"/>
      <x:c r="E27" s="15"/>
      <x:c r="F27" s="15"/>
      <x:c r="G27" s="15"/>
      <x:c r="H27" s="15"/>
      <x:c r="I27" s="15"/>
      <x:c r="J27" s="28"/>
      <x:c r="K27" s="222" t="str">
        <x:f>IF(COUNTA(B27:J27)=0,"",IF(H27="Closed","",TODAY()-B27))</x:f>
      </x:c>
      <x:c r="L27" s="15"/>
      <x:c r="M27" s="15"/>
    </x:row>
    <x:row r="28" ht="20" customHeight="1">
      <x:c r="A28" s="15"/>
      <x:c r="B28" s="28"/>
      <x:c r="C28" s="15"/>
      <x:c r="D28" s="15"/>
      <x:c r="E28" s="15"/>
      <x:c r="F28" s="15"/>
      <x:c r="G28" s="15"/>
      <x:c r="H28" s="15"/>
      <x:c r="I28" s="15"/>
      <x:c r="J28" s="28"/>
      <x:c r="K28" s="222" t="str">
        <x:f>IF(COUNTA(B28:J28)=0,"",IF(H28="Closed","",TODAY()-B28))</x:f>
      </x:c>
      <x:c r="L28" s="15"/>
      <x:c r="M28" s="15"/>
    </x:row>
    <x:row r="29" ht="20" customHeight="1">
      <x:c r="A29" s="15"/>
      <x:c r="B29" s="28"/>
      <x:c r="C29" s="15"/>
      <x:c r="D29" s="15"/>
      <x:c r="E29" s="15"/>
      <x:c r="F29" s="15"/>
      <x:c r="G29" s="15"/>
      <x:c r="H29" s="15"/>
      <x:c r="I29" s="15"/>
      <x:c r="J29" s="28"/>
      <x:c r="K29" s="222" t="str">
        <x:f>IF(COUNTA(B29:J29)=0,"",IF(H29="Closed","",TODAY()-B29))</x:f>
      </x:c>
      <x:c r="L29" s="15"/>
      <x:c r="M29" s="15"/>
    </x:row>
    <x:row r="30" ht="20" customHeight="1">
      <x:c r="A30" s="15"/>
      <x:c r="B30" s="28"/>
      <x:c r="C30" s="15"/>
      <x:c r="D30" s="15"/>
      <x:c r="E30" s="15"/>
      <x:c r="F30" s="15"/>
      <x:c r="G30" s="15"/>
      <x:c r="H30" s="15"/>
      <x:c r="I30" s="15"/>
      <x:c r="J30" s="28"/>
      <x:c r="K30" s="222" t="str">
        <x:f>IF(COUNTA(B30:J30)=0,"",IF(H30="Closed","",TODAY()-B30))</x:f>
      </x:c>
      <x:c r="L30" s="15"/>
      <x:c r="M30" s="15"/>
    </x:row>
    <x:row r="31" ht="20" customHeight="1">
      <x:c r="A31" s="15"/>
      <x:c r="B31" s="28"/>
      <x:c r="C31" s="15"/>
      <x:c r="D31" s="15"/>
      <x:c r="E31" s="15"/>
      <x:c r="F31" s="15"/>
      <x:c r="G31" s="15"/>
      <x:c r="H31" s="15"/>
      <x:c r="I31" s="15"/>
      <x:c r="J31" s="28"/>
      <x:c r="K31" s="222" t="str">
        <x:f>IF(COUNTA(B31:J31)=0,"",IF(H31="Closed","",TODAY()-B31))</x:f>
      </x:c>
      <x:c r="L31" s="15"/>
      <x:c r="M31" s="15"/>
    </x:row>
    <x:row r="32" ht="20" customHeight="1">
      <x:c r="A32" s="15"/>
      <x:c r="B32" s="28"/>
      <x:c r="C32" s="15"/>
      <x:c r="D32" s="15"/>
      <x:c r="E32" s="15"/>
      <x:c r="F32" s="15"/>
      <x:c r="G32" s="15"/>
      <x:c r="H32" s="15"/>
      <x:c r="I32" s="15"/>
      <x:c r="J32" s="28"/>
      <x:c r="K32" s="222" t="str">
        <x:f>IF(COUNTA(B32:J32)=0,"",IF(H32="Closed","",TODAY()-B32))</x:f>
      </x:c>
      <x:c r="L32" s="15"/>
      <x:c r="M32" s="15"/>
    </x:row>
    <x:row r="33" ht="20" customHeight="1">
      <x:c r="A33" s="15"/>
      <x:c r="B33" s="28"/>
      <x:c r="C33" s="15"/>
      <x:c r="D33" s="15"/>
      <x:c r="E33" s="15"/>
      <x:c r="F33" s="15"/>
      <x:c r="G33" s="15"/>
      <x:c r="H33" s="15"/>
      <x:c r="I33" s="15"/>
      <x:c r="J33" s="28"/>
      <x:c r="K33" s="222" t="str">
        <x:f>IF(COUNTA(B33:J33)=0,"",IF(H33="Closed","",TODAY()-B33))</x:f>
      </x:c>
      <x:c r="L33" s="15"/>
      <x:c r="M33" s="15"/>
    </x:row>
    <x:row r="34" ht="20" customHeight="1">
      <x:c r="A34" s="15"/>
      <x:c r="B34" s="28"/>
      <x:c r="C34" s="15"/>
      <x:c r="D34" s="15"/>
      <x:c r="E34" s="15"/>
      <x:c r="F34" s="15"/>
      <x:c r="G34" s="15"/>
      <x:c r="H34" s="15"/>
      <x:c r="I34" s="15"/>
      <x:c r="J34" s="28"/>
      <x:c r="K34" s="222" t="str">
        <x:f>IF(COUNTA(B34:J34)=0,"",IF(H34="Closed","",TODAY()-B34))</x:f>
      </x:c>
      <x:c r="L34" s="15"/>
      <x:c r="M34" s="15"/>
    </x:row>
    <x:row r="35" ht="20" customHeight="1">
      <x:c r="A35" s="15"/>
      <x:c r="B35" s="28"/>
      <x:c r="C35" s="15"/>
      <x:c r="D35" s="15"/>
      <x:c r="E35" s="15"/>
      <x:c r="F35" s="15"/>
      <x:c r="G35" s="15"/>
      <x:c r="H35" s="15"/>
      <x:c r="I35" s="15"/>
      <x:c r="J35" s="28"/>
      <x:c r="K35" s="222" t="str">
        <x:f>IF(COUNTA(B35:J35)=0,"",IF(H35="Closed","",TODAY()-B35))</x:f>
      </x:c>
      <x:c r="L35" s="15"/>
      <x:c r="M35" s="15"/>
    </x:row>
    <x:row r="36" ht="20" customHeight="1">
      <x:c r="A36" s="15"/>
      <x:c r="B36" s="28"/>
      <x:c r="C36" s="15"/>
      <x:c r="D36" s="15"/>
      <x:c r="E36" s="15"/>
      <x:c r="F36" s="15"/>
      <x:c r="G36" s="15"/>
      <x:c r="H36" s="15"/>
      <x:c r="I36" s="15"/>
      <x:c r="J36" s="28"/>
      <x:c r="K36" s="222" t="str">
        <x:f>IF(COUNTA(B36:J36)=0,"",IF(H36="Closed","",TODAY()-B36))</x:f>
      </x:c>
      <x:c r="L36" s="15"/>
      <x:c r="M36" s="15"/>
    </x:row>
    <x:row r="37" ht="20" customHeight="1">
      <x:c r="A37" s="15"/>
      <x:c r="B37" s="28"/>
      <x:c r="C37" s="15"/>
      <x:c r="D37" s="15"/>
      <x:c r="E37" s="15"/>
      <x:c r="F37" s="15"/>
      <x:c r="G37" s="15"/>
      <x:c r="H37" s="15"/>
      <x:c r="I37" s="15"/>
      <x:c r="J37" s="28"/>
      <x:c r="K37" s="222" t="str">
        <x:f>IF(COUNTA(B37:J37)=0,"",IF(H37="Closed","",TODAY()-B37))</x:f>
      </x:c>
      <x:c r="L37" s="15"/>
      <x:c r="M37" s="15"/>
    </x:row>
    <x:row r="38" ht="20" customHeight="1">
      <x:c r="A38" s="15"/>
      <x:c r="B38" s="28"/>
      <x:c r="C38" s="15"/>
      <x:c r="D38" s="15"/>
      <x:c r="E38" s="15"/>
      <x:c r="F38" s="15"/>
      <x:c r="G38" s="15"/>
      <x:c r="H38" s="15"/>
      <x:c r="I38" s="15"/>
      <x:c r="J38" s="28"/>
      <x:c r="K38" s="222" t="str">
        <x:f>IF(COUNTA(B38:J38)=0,"",IF(H38="Closed","",TODAY()-B38))</x:f>
      </x:c>
      <x:c r="L38" s="15"/>
      <x:c r="M38" s="15"/>
    </x:row>
    <x:row r="39" ht="20" customHeight="1">
      <x:c r="A39" s="15"/>
      <x:c r="B39" s="28"/>
      <x:c r="C39" s="15"/>
      <x:c r="D39" s="15"/>
      <x:c r="E39" s="15"/>
      <x:c r="F39" s="15"/>
      <x:c r="G39" s="15"/>
      <x:c r="H39" s="15"/>
      <x:c r="I39" s="15"/>
      <x:c r="J39" s="28"/>
      <x:c r="K39" s="222" t="str">
        <x:f>IF(COUNTA(B39:J39)=0,"",IF(H39="Closed","",TODAY()-B39))</x:f>
      </x:c>
      <x:c r="L39" s="15"/>
      <x:c r="M39" s="15"/>
    </x:row>
    <x:row r="40" ht="20" customHeight="1">
      <x:c r="A40" s="15"/>
      <x:c r="B40" s="28"/>
      <x:c r="C40" s="15"/>
      <x:c r="D40" s="15"/>
      <x:c r="E40" s="15"/>
      <x:c r="F40" s="15"/>
      <x:c r="G40" s="15"/>
      <x:c r="H40" s="15"/>
      <x:c r="I40" s="15"/>
      <x:c r="J40" s="28"/>
      <x:c r="K40" s="222" t="str">
        <x:f>IF(COUNTA(B40:J40)=0,"",IF(H40="Closed","",TODAY()-B40))</x:f>
      </x:c>
      <x:c r="L40" s="15"/>
      <x:c r="M40" s="15"/>
    </x:row>
    <x:row r="41" ht="20" customHeight="1">
      <x:c r="A41" s="15"/>
      <x:c r="B41" s="28"/>
      <x:c r="C41" s="15"/>
      <x:c r="D41" s="15"/>
      <x:c r="E41" s="15"/>
      <x:c r="F41" s="15"/>
      <x:c r="G41" s="15"/>
      <x:c r="H41" s="15"/>
      <x:c r="I41" s="15"/>
      <x:c r="J41" s="28"/>
      <x:c r="K41" s="222" t="str">
        <x:f>IF(COUNTA(B41:J41)=0,"",IF(H41="Closed","",TODAY()-B41))</x:f>
      </x:c>
      <x:c r="L41" s="15"/>
      <x:c r="M41" s="15"/>
    </x:row>
    <x:row r="42" ht="20" customHeight="1">
      <x:c r="A42" s="15"/>
      <x:c r="B42" s="28"/>
      <x:c r="C42" s="15"/>
      <x:c r="D42" s="15"/>
      <x:c r="E42" s="15"/>
      <x:c r="F42" s="15"/>
      <x:c r="G42" s="15"/>
      <x:c r="H42" s="15"/>
      <x:c r="I42" s="15"/>
      <x:c r="J42" s="28"/>
      <x:c r="K42" s="222" t="str">
        <x:f>IF(COUNTA(B42:J42)=0,"",IF(H42="Closed","",TODAY()-B42))</x:f>
      </x:c>
      <x:c r="L42" s="15"/>
      <x:c r="M42" s="15"/>
    </x:row>
    <x:row r="43" ht="20" customHeight="1">
      <x:c r="A43" s="15"/>
      <x:c r="B43" s="28"/>
      <x:c r="C43" s="15"/>
      <x:c r="D43" s="15"/>
      <x:c r="E43" s="15"/>
      <x:c r="F43" s="15"/>
      <x:c r="G43" s="15"/>
      <x:c r="H43" s="15"/>
      <x:c r="I43" s="15"/>
      <x:c r="J43" s="28"/>
      <x:c r="K43" s="222" t="str">
        <x:f>IF(COUNTA(B43:J43)=0,"",IF(H43="Closed","",TODAY()-B43))</x:f>
      </x:c>
      <x:c r="L43" s="15"/>
      <x:c r="M43" s="15"/>
    </x:row>
    <x:row r="44" ht="20" customHeight="1">
      <x:c r="A44" s="15"/>
      <x:c r="B44" s="28"/>
      <x:c r="C44" s="15"/>
      <x:c r="D44" s="15"/>
      <x:c r="E44" s="15"/>
      <x:c r="F44" s="15"/>
      <x:c r="G44" s="15"/>
      <x:c r="H44" s="15"/>
      <x:c r="I44" s="15"/>
      <x:c r="J44" s="28"/>
      <x:c r="K44" s="222" t="str">
        <x:f>IF(COUNTA(B44:J44)=0,"",IF(H44="Closed","",TODAY()-B44))</x:f>
      </x:c>
      <x:c r="L44" s="15"/>
      <x:c r="M44" s="15"/>
    </x:row>
    <x:row r="45" ht="20" customHeight="1">
      <x:c r="A45" s="15"/>
      <x:c r="B45" s="28"/>
      <x:c r="C45" s="15"/>
      <x:c r="D45" s="15"/>
      <x:c r="E45" s="15"/>
      <x:c r="F45" s="15"/>
      <x:c r="G45" s="15"/>
      <x:c r="H45" s="15"/>
      <x:c r="I45" s="15"/>
      <x:c r="J45" s="28"/>
      <x:c r="K45" s="222" t="str">
        <x:f>IF(COUNTA(B45:J45)=0,"",IF(H45="Closed","",TODAY()-B45))</x:f>
      </x:c>
      <x:c r="L45" s="15"/>
      <x:c r="M45" s="15"/>
    </x:row>
    <x:row r="46" ht="20" customHeight="1">
      <x:c r="A46" s="15"/>
      <x:c r="B46" s="28"/>
      <x:c r="C46" s="15"/>
      <x:c r="D46" s="15"/>
      <x:c r="E46" s="15"/>
      <x:c r="F46" s="15"/>
      <x:c r="G46" s="15"/>
      <x:c r="H46" s="15"/>
      <x:c r="I46" s="15"/>
      <x:c r="J46" s="28"/>
      <x:c r="K46" s="222" t="str">
        <x:f>IF(COUNTA(B46:J46)=0,"",IF(H46="Closed","",TODAY()-B46))</x:f>
      </x:c>
      <x:c r="L46" s="15"/>
      <x:c r="M46" s="15"/>
    </x:row>
    <x:row r="47" ht="20" customHeight="1">
      <x:c r="A47" s="15"/>
      <x:c r="B47" s="28"/>
      <x:c r="C47" s="15"/>
      <x:c r="D47" s="15"/>
      <x:c r="E47" s="15"/>
      <x:c r="F47" s="15"/>
      <x:c r="G47" s="15"/>
      <x:c r="H47" s="15"/>
      <x:c r="I47" s="15"/>
      <x:c r="J47" s="28"/>
      <x:c r="K47" s="222" t="str">
        <x:f>IF(COUNTA(B47:J47)=0,"",IF(H47="Closed","",TODAY()-B47))</x:f>
      </x:c>
      <x:c r="L47" s="15"/>
      <x:c r="M47" s="15"/>
    </x:row>
    <x:row r="48" ht="20" customHeight="1">
      <x:c r="A48" s="15"/>
      <x:c r="B48" s="28"/>
      <x:c r="C48" s="15"/>
      <x:c r="D48" s="15"/>
      <x:c r="E48" s="15"/>
      <x:c r="F48" s="15"/>
      <x:c r="G48" s="15"/>
      <x:c r="H48" s="15"/>
      <x:c r="I48" s="15"/>
      <x:c r="J48" s="28"/>
      <x:c r="K48" s="222" t="str">
        <x:f>IF(COUNTA(B48:J48)=0,"",IF(H48="Closed","",TODAY()-B48))</x:f>
      </x:c>
      <x:c r="L48" s="15"/>
      <x:c r="M48" s="15"/>
    </x:row>
    <x:row r="49" ht="20" customHeight="1">
      <x:c r="A49" s="15"/>
      <x:c r="B49" s="28"/>
      <x:c r="C49" s="15"/>
      <x:c r="D49" s="15"/>
      <x:c r="E49" s="15"/>
      <x:c r="F49" s="15"/>
      <x:c r="G49" s="15"/>
      <x:c r="H49" s="15"/>
      <x:c r="I49" s="15"/>
      <x:c r="J49" s="28"/>
      <x:c r="K49" s="222" t="str">
        <x:f>IF(COUNTA(B49:J49)=0,"",IF(H49="Closed","",TODAY()-B49))</x:f>
      </x:c>
      <x:c r="L49" s="15"/>
      <x:c r="M49" s="15"/>
    </x:row>
    <x:row r="50" ht="20" customHeight="1">
      <x:c r="A50" s="15"/>
      <x:c r="B50" s="28"/>
      <x:c r="C50" s="15"/>
      <x:c r="D50" s="15"/>
      <x:c r="E50" s="15"/>
      <x:c r="F50" s="15"/>
      <x:c r="G50" s="15"/>
      <x:c r="H50" s="15"/>
      <x:c r="I50" s="15"/>
      <x:c r="J50" s="28"/>
      <x:c r="K50" s="222" t="str">
        <x:f>IF(COUNTA(B50:J50)=0,"",IF(H50="Closed","",TODAY()-B50))</x:f>
      </x:c>
      <x:c r="L50" s="15"/>
      <x:c r="M50" s="15"/>
    </x:row>
    <x:row r="51" ht="20" customHeight="1">
      <x:c r="A51" s="15"/>
      <x:c r="B51" s="28"/>
      <x:c r="C51" s="15"/>
      <x:c r="D51" s="15"/>
      <x:c r="E51" s="15"/>
      <x:c r="F51" s="15"/>
      <x:c r="G51" s="15"/>
      <x:c r="H51" s="15"/>
      <x:c r="I51" s="15"/>
      <x:c r="J51" s="28"/>
      <x:c r="K51" s="222" t="str">
        <x:f>IF(COUNTA(B51:J51)=0,"",IF(H51="Closed","",TODAY()-B51))</x:f>
      </x:c>
      <x:c r="L51" s="15"/>
      <x:c r="M51" s="15"/>
    </x:row>
    <x:row r="52" ht="20" customHeight="1">
      <x:c r="A52" s="15"/>
      <x:c r="B52" s="28"/>
      <x:c r="C52" s="15"/>
      <x:c r="D52" s="15"/>
      <x:c r="E52" s="15"/>
      <x:c r="F52" s="15"/>
      <x:c r="G52" s="15"/>
      <x:c r="H52" s="15"/>
      <x:c r="I52" s="15"/>
      <x:c r="J52" s="28"/>
      <x:c r="K52" s="222" t="str">
        <x:f>IF(COUNTA(B52:J52)=0,"",IF(H52="Closed","",TODAY()-B52))</x:f>
      </x:c>
      <x:c r="L52" s="15"/>
      <x:c r="M52" s="15"/>
    </x:row>
    <x:row r="53" ht="20" customHeight="1">
      <x:c r="A53" s="15"/>
      <x:c r="B53" s="28"/>
      <x:c r="C53" s="15"/>
      <x:c r="D53" s="15"/>
      <x:c r="E53" s="15"/>
      <x:c r="F53" s="15"/>
      <x:c r="G53" s="15"/>
      <x:c r="H53" s="15"/>
      <x:c r="I53" s="15"/>
      <x:c r="J53" s="28"/>
      <x:c r="K53" s="222" t="str">
        <x:f>IF(COUNTA(B53:J53)=0,"",IF(H53="Closed","",TODAY()-B53))</x:f>
      </x:c>
      <x:c r="L53" s="15"/>
      <x:c r="M53" s="15"/>
    </x:row>
    <x:row r="54" ht="20" customHeight="1">
      <x:c r="A54" s="15"/>
      <x:c r="B54" s="28"/>
      <x:c r="C54" s="15"/>
      <x:c r="D54" s="15"/>
      <x:c r="E54" s="15"/>
      <x:c r="F54" s="15"/>
      <x:c r="G54" s="15"/>
      <x:c r="H54" s="15"/>
      <x:c r="I54" s="15"/>
      <x:c r="J54" s="28"/>
      <x:c r="K54" s="222" t="str">
        <x:f>IF(COUNTA(B54:J54)=0,"",IF(H54="Closed","",TODAY()-B54))</x:f>
      </x:c>
      <x:c r="L54" s="15"/>
      <x:c r="M54" s="15"/>
    </x:row>
    <x:row r="55" ht="20" customHeight="1">
      <x:c r="A55" s="15"/>
      <x:c r="B55" s="28"/>
      <x:c r="C55" s="15"/>
      <x:c r="D55" s="15"/>
      <x:c r="E55" s="15"/>
      <x:c r="F55" s="15"/>
      <x:c r="G55" s="15"/>
      <x:c r="H55" s="15"/>
      <x:c r="I55" s="15"/>
      <x:c r="J55" s="28"/>
      <x:c r="K55" s="222" t="str">
        <x:f>IF(COUNTA(B55:J55)=0,"",IF(H55="Closed","",TODAY()-B55))</x:f>
      </x:c>
      <x:c r="L55" s="15"/>
      <x:c r="M55" s="15"/>
    </x:row>
    <x:row r="56" ht="20" customHeight="1">
      <x:c r="A56" s="15"/>
      <x:c r="B56" s="28"/>
      <x:c r="C56" s="15"/>
      <x:c r="D56" s="15"/>
      <x:c r="E56" s="15"/>
      <x:c r="F56" s="15"/>
      <x:c r="G56" s="15"/>
      <x:c r="H56" s="15"/>
      <x:c r="I56" s="15"/>
      <x:c r="J56" s="28"/>
      <x:c r="K56" s="222" t="str">
        <x:f>IF(COUNTA(B56:J56)=0,"",IF(H56="Closed","",TODAY()-B56))</x:f>
      </x:c>
      <x:c r="L56" s="15"/>
      <x:c r="M56" s="15"/>
    </x:row>
    <x:row r="57" ht="20" customHeight="1">
      <x:c r="A57" s="15"/>
      <x:c r="B57" s="28"/>
      <x:c r="C57" s="15"/>
      <x:c r="D57" s="15"/>
      <x:c r="E57" s="15"/>
      <x:c r="F57" s="15"/>
      <x:c r="G57" s="15"/>
      <x:c r="H57" s="15"/>
      <x:c r="I57" s="15"/>
      <x:c r="J57" s="28"/>
      <x:c r="K57" s="222" t="str">
        <x:f>IF(COUNTA(B57:J57)=0,"",IF(H57="Closed","",TODAY()-B57))</x:f>
      </x:c>
      <x:c r="L57" s="15"/>
      <x:c r="M57" s="15"/>
    </x:row>
    <x:row r="58" ht="20" customHeight="1">
      <x:c r="A58" s="15"/>
      <x:c r="B58" s="28"/>
      <x:c r="C58" s="15"/>
      <x:c r="D58" s="15"/>
      <x:c r="E58" s="15"/>
      <x:c r="F58" s="15"/>
      <x:c r="G58" s="15"/>
      <x:c r="H58" s="15"/>
      <x:c r="I58" s="15"/>
      <x:c r="J58" s="28"/>
      <x:c r="K58" s="222" t="str">
        <x:f>IF(COUNTA(B58:J58)=0,"",IF(H58="Closed","",TODAY()-B58))</x:f>
      </x:c>
      <x:c r="L58" s="15"/>
      <x:c r="M58" s="15"/>
    </x:row>
    <x:row r="59" ht="20" customHeight="1">
      <x:c r="A59" s="15"/>
      <x:c r="B59" s="28"/>
      <x:c r="C59" s="15"/>
      <x:c r="D59" s="15"/>
      <x:c r="E59" s="15"/>
      <x:c r="F59" s="15"/>
      <x:c r="G59" s="15"/>
      <x:c r="H59" s="15"/>
      <x:c r="I59" s="15"/>
      <x:c r="J59" s="28"/>
      <x:c r="K59" s="222" t="str">
        <x:f>IF(COUNTA(B59:J59)=0,"",IF(H59="Closed","",TODAY()-B59))</x:f>
      </x:c>
      <x:c r="L59" s="15"/>
      <x:c r="M59" s="15"/>
    </x:row>
    <x:row r="60" ht="20" customHeight="1">
      <x:c r="A60" s="15"/>
      <x:c r="B60" s="28"/>
      <x:c r="C60" s="15"/>
      <x:c r="D60" s="15"/>
      <x:c r="E60" s="15"/>
      <x:c r="F60" s="15"/>
      <x:c r="G60" s="15"/>
      <x:c r="H60" s="15"/>
      <x:c r="I60" s="15"/>
      <x:c r="J60" s="28"/>
      <x:c r="K60" s="222" t="str">
        <x:f>IF(COUNTA(B60:J60)=0,"",IF(H60="Closed","",TODAY()-B60))</x:f>
      </x:c>
      <x:c r="L60" s="15"/>
      <x:c r="M60" s="15"/>
    </x:row>
    <x:row r="61" ht="20" customHeight="1">
      <x:c r="A61" s="15"/>
      <x:c r="B61" s="28"/>
      <x:c r="C61" s="15"/>
      <x:c r="D61" s="15"/>
      <x:c r="E61" s="15"/>
      <x:c r="F61" s="15"/>
      <x:c r="G61" s="15"/>
      <x:c r="H61" s="15"/>
      <x:c r="I61" s="15"/>
      <x:c r="J61" s="28"/>
      <x:c r="K61" s="222" t="str">
        <x:f>IF(COUNTA(B61:J61)=0,"",IF(H61="Closed","",TODAY()-B61))</x:f>
      </x:c>
      <x:c r="L61" s="15"/>
      <x:c r="M61" s="15"/>
    </x:row>
    <x:row r="62" ht="20" customHeight="1">
      <x:c r="A62" s="15"/>
      <x:c r="B62" s="28"/>
      <x:c r="C62" s="15"/>
      <x:c r="D62" s="15"/>
      <x:c r="E62" s="15"/>
      <x:c r="F62" s="15"/>
      <x:c r="G62" s="15"/>
      <x:c r="H62" s="15"/>
      <x:c r="I62" s="15"/>
      <x:c r="J62" s="28"/>
      <x:c r="K62" s="222" t="str">
        <x:f>IF(COUNTA(B62:J62)=0,"",IF(H62="Closed","",TODAY()-B62))</x:f>
      </x:c>
      <x:c r="L62" s="15"/>
      <x:c r="M62" s="15"/>
    </x:row>
    <x:row r="63" ht="20" customHeight="1">
      <x:c r="A63" s="15"/>
      <x:c r="B63" s="28"/>
      <x:c r="C63" s="15"/>
      <x:c r="D63" s="15"/>
      <x:c r="E63" s="15"/>
      <x:c r="F63" s="15"/>
      <x:c r="G63" s="15"/>
      <x:c r="H63" s="15"/>
      <x:c r="I63" s="15"/>
      <x:c r="J63" s="28"/>
      <x:c r="K63" s="222" t="str">
        <x:f>IF(COUNTA(B63:J63)=0,"",IF(H63="Closed","",TODAY()-B63))</x:f>
      </x:c>
      <x:c r="L63" s="15"/>
      <x:c r="M63" s="15"/>
    </x:row>
    <x:row r="64" ht="20" customHeight="1">
      <x:c r="A64" s="15"/>
      <x:c r="B64" s="28"/>
      <x:c r="C64" s="15"/>
      <x:c r="D64" s="15"/>
      <x:c r="E64" s="15"/>
      <x:c r="F64" s="15"/>
      <x:c r="G64" s="15"/>
      <x:c r="H64" s="15"/>
      <x:c r="I64" s="15"/>
      <x:c r="J64" s="28"/>
      <x:c r="K64" s="222" t="str">
        <x:f>IF(COUNTA(B64:J64)=0,"",IF(H64="Closed","",TODAY()-B64))</x:f>
      </x:c>
      <x:c r="L64" s="15"/>
      <x:c r="M64" s="15"/>
    </x:row>
    <x:row r="65" ht="20" customHeight="1">
      <x:c r="A65" s="15"/>
      <x:c r="B65" s="28"/>
      <x:c r="C65" s="15"/>
      <x:c r="D65" s="15"/>
      <x:c r="E65" s="15"/>
      <x:c r="F65" s="15"/>
      <x:c r="G65" s="15"/>
      <x:c r="H65" s="15"/>
      <x:c r="I65" s="15"/>
      <x:c r="J65" s="28"/>
      <x:c r="K65" s="222" t="str">
        <x:f>IF(COUNTA(B65:J65)=0,"",IF(H65="Closed","",TODAY()-B65))</x:f>
      </x:c>
      <x:c r="L65" s="15"/>
      <x:c r="M65" s="15"/>
    </x:row>
    <x:row r="66" ht="20" customHeight="1">
      <x:c r="A66" s="15"/>
      <x:c r="B66" s="28"/>
      <x:c r="C66" s="15"/>
      <x:c r="D66" s="15"/>
      <x:c r="E66" s="15"/>
      <x:c r="F66" s="15"/>
      <x:c r="G66" s="15"/>
      <x:c r="H66" s="15"/>
      <x:c r="I66" s="15"/>
      <x:c r="J66" s="28"/>
      <x:c r="K66" s="222" t="str">
        <x:f>IF(COUNTA(B66:J66)=0,"",IF(H66="Closed","",TODAY()-B66))</x:f>
      </x:c>
      <x:c r="L66" s="15"/>
      <x:c r="M66" s="15"/>
    </x:row>
    <x:row r="67" ht="20" customHeight="1">
      <x:c r="A67" s="15"/>
      <x:c r="B67" s="28"/>
      <x:c r="C67" s="15"/>
      <x:c r="D67" s="15"/>
      <x:c r="E67" s="15"/>
      <x:c r="F67" s="15"/>
      <x:c r="G67" s="15"/>
      <x:c r="H67" s="15"/>
      <x:c r="I67" s="15"/>
      <x:c r="J67" s="28"/>
      <x:c r="K67" s="222" t="str">
        <x:f>IF(COUNTA(B67:J67)=0,"",IF(H67="Closed","",TODAY()-B67))</x:f>
      </x:c>
      <x:c r="L67" s="15"/>
      <x:c r="M67" s="15"/>
    </x:row>
    <x:row r="68" ht="20" customHeight="1">
      <x:c r="A68" s="15"/>
      <x:c r="B68" s="28"/>
      <x:c r="C68" s="15"/>
      <x:c r="D68" s="15"/>
      <x:c r="E68" s="15"/>
      <x:c r="F68" s="15"/>
      <x:c r="G68" s="15"/>
      <x:c r="H68" s="15"/>
      <x:c r="I68" s="15"/>
      <x:c r="J68" s="28"/>
      <x:c r="K68" s="222" t="str">
        <x:f>IF(COUNTA(B68:J68)=0,"",IF(H68="Closed","",TODAY()-B68))</x:f>
      </x:c>
      <x:c r="L68" s="15"/>
      <x:c r="M68" s="15"/>
    </x:row>
    <x:row r="69" ht="20" customHeight="1">
      <x:c r="A69" s="15"/>
      <x:c r="B69" s="28"/>
      <x:c r="C69" s="15"/>
      <x:c r="D69" s="15"/>
      <x:c r="E69" s="15"/>
      <x:c r="F69" s="15"/>
      <x:c r="G69" s="15"/>
      <x:c r="H69" s="15"/>
      <x:c r="I69" s="15"/>
      <x:c r="J69" s="28"/>
      <x:c r="K69" s="222" t="str">
        <x:f>IF(COUNTA(B69:J69)=0,"",IF(H69="Closed","",TODAY()-B69))</x:f>
      </x:c>
      <x:c r="L69" s="15"/>
      <x:c r="M69" s="15"/>
    </x:row>
    <x:row r="70" ht="20" customHeight="1">
      <x:c r="A70" s="15"/>
      <x:c r="B70" s="28"/>
      <x:c r="C70" s="15"/>
      <x:c r="D70" s="15"/>
      <x:c r="E70" s="15"/>
      <x:c r="F70" s="15"/>
      <x:c r="G70" s="15"/>
      <x:c r="H70" s="15"/>
      <x:c r="I70" s="15"/>
      <x:c r="J70" s="28"/>
      <x:c r="K70" s="222" t="str">
        <x:f>IF(COUNTA(B70:J70)=0,"",IF(H70="Closed","",TODAY()-B70))</x:f>
      </x:c>
      <x:c r="L70" s="15"/>
      <x:c r="M70" s="15"/>
    </x:row>
    <x:row r="71" ht="20" customHeight="1">
      <x:c r="A71" s="15"/>
      <x:c r="B71" s="28"/>
      <x:c r="C71" s="15"/>
      <x:c r="D71" s="15"/>
      <x:c r="E71" s="15"/>
      <x:c r="F71" s="15"/>
      <x:c r="G71" s="15"/>
      <x:c r="H71" s="15"/>
      <x:c r="I71" s="15"/>
      <x:c r="J71" s="28"/>
      <x:c r="K71" s="222" t="str">
        <x:f>IF(COUNTA(B71:J71)=0,"",IF(H71="Closed","",TODAY()-B71))</x:f>
      </x:c>
      <x:c r="L71" s="15"/>
      <x:c r="M71" s="15"/>
    </x:row>
    <x:row r="72" ht="20" customHeight="1">
      <x:c r="A72" s="15"/>
      <x:c r="B72" s="28"/>
      <x:c r="C72" s="15"/>
      <x:c r="D72" s="15"/>
      <x:c r="E72" s="15"/>
      <x:c r="F72" s="15"/>
      <x:c r="G72" s="15"/>
      <x:c r="H72" s="15"/>
      <x:c r="I72" s="15"/>
      <x:c r="J72" s="28"/>
      <x:c r="K72" s="222" t="str">
        <x:f>IF(COUNTA(B72:J72)=0,"",IF(H72="Closed","",TODAY()-B72))</x:f>
      </x:c>
      <x:c r="L72" s="15"/>
      <x:c r="M72" s="15"/>
    </x:row>
    <x:row r="73" ht="20" customHeight="1">
      <x:c r="A73" s="15"/>
      <x:c r="B73" s="28"/>
      <x:c r="C73" s="15"/>
      <x:c r="D73" s="15"/>
      <x:c r="E73" s="15"/>
      <x:c r="F73" s="15"/>
      <x:c r="G73" s="15"/>
      <x:c r="H73" s="15"/>
      <x:c r="I73" s="15"/>
      <x:c r="J73" s="28"/>
      <x:c r="K73" s="222" t="str">
        <x:f>IF(COUNTA(B73:J73)=0,"",IF(H73="Closed","",TODAY()-B73))</x:f>
      </x:c>
      <x:c r="L73" s="15"/>
      <x:c r="M73" s="15"/>
    </x:row>
    <x:row r="74" ht="20" customHeight="1">
      <x:c r="A74" s="15"/>
      <x:c r="B74" s="28"/>
      <x:c r="C74" s="15"/>
      <x:c r="D74" s="15"/>
      <x:c r="E74" s="15"/>
      <x:c r="F74" s="15"/>
      <x:c r="G74" s="15"/>
      <x:c r="H74" s="15"/>
      <x:c r="I74" s="15"/>
      <x:c r="J74" s="28"/>
      <x:c r="K74" s="222" t="str">
        <x:f>IF(COUNTA(B74:J74)=0,"",IF(H74="Closed","",TODAY()-B74))</x:f>
      </x:c>
      <x:c r="L74" s="15"/>
      <x:c r="M74" s="15"/>
    </x:row>
    <x:row r="75" ht="20" customHeight="1">
      <x:c r="A75" s="15"/>
      <x:c r="B75" s="28"/>
      <x:c r="C75" s="15"/>
      <x:c r="D75" s="15"/>
      <x:c r="E75" s="15"/>
      <x:c r="F75" s="15"/>
      <x:c r="G75" s="15"/>
      <x:c r="H75" s="15"/>
      <x:c r="I75" s="15"/>
      <x:c r="J75" s="28"/>
      <x:c r="K75" s="222" t="str">
        <x:f>IF(COUNTA(B75:J75)=0,"",IF(H75="Closed","",TODAY()-B75))</x:f>
      </x:c>
      <x:c r="L75" s="15"/>
      <x:c r="M75" s="15"/>
    </x:row>
    <x:row r="76" ht="20" customHeight="1">
      <x:c r="A76" s="15"/>
      <x:c r="B76" s="28"/>
      <x:c r="C76" s="15"/>
      <x:c r="D76" s="15"/>
      <x:c r="E76" s="15"/>
      <x:c r="F76" s="15"/>
      <x:c r="G76" s="15"/>
      <x:c r="H76" s="15"/>
      <x:c r="I76" s="15"/>
      <x:c r="J76" s="28"/>
      <x:c r="K76" s="222" t="str">
        <x:f>IF(COUNTA(B76:J76)=0,"",IF(H76="Closed","",TODAY()-B76))</x:f>
      </x:c>
      <x:c r="L76" s="15"/>
      <x:c r="M76" s="15"/>
    </x:row>
    <x:row r="77" ht="20" customHeight="1">
      <x:c r="A77" s="15"/>
      <x:c r="B77" s="28"/>
      <x:c r="C77" s="15"/>
      <x:c r="D77" s="15"/>
      <x:c r="E77" s="15"/>
      <x:c r="F77" s="15"/>
      <x:c r="G77" s="15"/>
      <x:c r="H77" s="15"/>
      <x:c r="I77" s="15"/>
      <x:c r="J77" s="28"/>
      <x:c r="K77" s="222" t="str">
        <x:f>IF(COUNTA(B77:J77)=0,"",IF(H77="Closed","",TODAY()-B77))</x:f>
      </x:c>
      <x:c r="L77" s="15"/>
      <x:c r="M77" s="15"/>
    </x:row>
    <x:row r="78" ht="20" customHeight="1">
      <x:c r="A78" s="15"/>
      <x:c r="B78" s="28"/>
      <x:c r="C78" s="15"/>
      <x:c r="D78" s="15"/>
      <x:c r="E78" s="15"/>
      <x:c r="F78" s="15"/>
      <x:c r="G78" s="15"/>
      <x:c r="H78" s="15"/>
      <x:c r="I78" s="15"/>
      <x:c r="J78" s="28"/>
      <x:c r="K78" s="222" t="str">
        <x:f>IF(COUNTA(B78:J78)=0,"",IF(H78="Closed","",TODAY()-B78))</x:f>
      </x:c>
      <x:c r="L78" s="15"/>
      <x:c r="M78" s="15"/>
    </x:row>
    <x:row r="79" ht="20" customHeight="1">
      <x:c r="A79" s="15"/>
      <x:c r="B79" s="28"/>
      <x:c r="C79" s="15"/>
      <x:c r="D79" s="15"/>
      <x:c r="E79" s="15"/>
      <x:c r="F79" s="15"/>
      <x:c r="G79" s="15"/>
      <x:c r="H79" s="15"/>
      <x:c r="I79" s="15"/>
      <x:c r="J79" s="28"/>
      <x:c r="K79" s="222" t="str">
        <x:f>IF(COUNTA(B79:J79)=0,"",IF(H79="Closed","",TODAY()-B79))</x:f>
      </x:c>
      <x:c r="L79" s="15"/>
      <x:c r="M79" s="15"/>
    </x:row>
    <x:row r="80" ht="20" customHeight="1">
      <x:c r="A80" s="15"/>
      <x:c r="B80" s="28"/>
      <x:c r="C80" s="15"/>
      <x:c r="D80" s="15"/>
      <x:c r="E80" s="15"/>
      <x:c r="F80" s="15"/>
      <x:c r="G80" s="15"/>
      <x:c r="H80" s="15"/>
      <x:c r="I80" s="15"/>
      <x:c r="J80" s="28"/>
      <x:c r="K80" s="222" t="str">
        <x:f>IF(COUNTA(B80:J80)=0,"",IF(H80="Closed","",TODAY()-B80))</x:f>
      </x:c>
      <x:c r="L80" s="15"/>
      <x:c r="M80" s="15"/>
    </x:row>
    <x:row r="81" ht="20" customHeight="1">
      <x:c r="A81" s="15"/>
      <x:c r="B81" s="28"/>
      <x:c r="C81" s="15"/>
      <x:c r="D81" s="15"/>
      <x:c r="E81" s="15"/>
      <x:c r="F81" s="15"/>
      <x:c r="G81" s="15"/>
      <x:c r="H81" s="15"/>
      <x:c r="I81" s="15"/>
      <x:c r="J81" s="28"/>
      <x:c r="K81" s="222" t="str">
        <x:f>IF(COUNTA(B81:J81)=0,"",IF(H81="Closed","",TODAY()-B81))</x:f>
      </x:c>
      <x:c r="L81" s="15"/>
      <x:c r="M81" s="15"/>
    </x:row>
    <x:row r="82" ht="20" customHeight="1">
      <x:c r="A82" s="15"/>
      <x:c r="B82" s="28"/>
      <x:c r="C82" s="15"/>
      <x:c r="D82" s="15"/>
      <x:c r="E82" s="15"/>
      <x:c r="F82" s="15"/>
      <x:c r="G82" s="15"/>
      <x:c r="H82" s="15"/>
      <x:c r="I82" s="15"/>
      <x:c r="J82" s="28"/>
      <x:c r="K82" s="222" t="str">
        <x:f>IF(COUNTA(B82:J82)=0,"",IF(H82="Closed","",TODAY()-B82))</x:f>
      </x:c>
      <x:c r="L82" s="15"/>
      <x:c r="M82" s="15"/>
    </x:row>
    <x:row r="83" ht="20" customHeight="1">
      <x:c r="A83" s="15"/>
      <x:c r="B83" s="28"/>
      <x:c r="C83" s="15"/>
      <x:c r="D83" s="15"/>
      <x:c r="E83" s="15"/>
      <x:c r="F83" s="15"/>
      <x:c r="G83" s="15"/>
      <x:c r="H83" s="15"/>
      <x:c r="I83" s="15"/>
      <x:c r="J83" s="28"/>
      <x:c r="K83" s="222" t="str">
        <x:f>IF(COUNTA(B83:J83)=0,"",IF(H83="Closed","",TODAY()-B83))</x:f>
      </x:c>
      <x:c r="L83" s="15"/>
      <x:c r="M83" s="15"/>
    </x:row>
    <x:row r="84" ht="20" customHeight="1">
      <x:c r="A84" s="15"/>
      <x:c r="B84" s="28"/>
      <x:c r="C84" s="15"/>
      <x:c r="D84" s="15"/>
      <x:c r="E84" s="15"/>
      <x:c r="F84" s="15"/>
      <x:c r="G84" s="15"/>
      <x:c r="H84" s="15"/>
      <x:c r="I84" s="15"/>
      <x:c r="J84" s="28"/>
      <x:c r="K84" s="222" t="str">
        <x:f>IF(COUNTA(B84:J84)=0,"",IF(H84="Closed","",TODAY()-B84))</x:f>
      </x:c>
      <x:c r="L84" s="15"/>
      <x:c r="M84" s="15"/>
    </x:row>
    <x:row r="85" ht="20" customHeight="1">
      <x:c r="A85" s="15"/>
      <x:c r="B85" s="28"/>
      <x:c r="C85" s="15"/>
      <x:c r="D85" s="15"/>
      <x:c r="E85" s="15"/>
      <x:c r="F85" s="15"/>
      <x:c r="G85" s="15"/>
      <x:c r="H85" s="15"/>
      <x:c r="I85" s="15"/>
      <x:c r="J85" s="28"/>
      <x:c r="K85" s="222" t="str">
        <x:f>IF(COUNTA(B85:J85)=0,"",IF(H85="Closed","",TODAY()-B85))</x:f>
      </x:c>
      <x:c r="L85" s="15"/>
      <x:c r="M85" s="15"/>
    </x:row>
    <x:row r="86" ht="20" customHeight="1">
      <x:c r="A86" s="15"/>
      <x:c r="B86" s="28"/>
      <x:c r="C86" s="15"/>
      <x:c r="D86" s="15"/>
      <x:c r="E86" s="15"/>
      <x:c r="F86" s="15"/>
      <x:c r="G86" s="15"/>
      <x:c r="H86" s="15"/>
      <x:c r="I86" s="15"/>
      <x:c r="J86" s="28"/>
      <x:c r="K86" s="222" t="str">
        <x:f>IF(COUNTA(B86:J86)=0,"",IF(H86="Closed","",TODAY()-B86))</x:f>
      </x:c>
      <x:c r="L86" s="15"/>
      <x:c r="M86" s="15"/>
    </x:row>
    <x:row r="87" ht="20" customHeight="1">
      <x:c r="A87" s="15"/>
      <x:c r="B87" s="28"/>
      <x:c r="C87" s="15"/>
      <x:c r="D87" s="15"/>
      <x:c r="E87" s="15"/>
      <x:c r="F87" s="15"/>
      <x:c r="G87" s="15"/>
      <x:c r="H87" s="15"/>
      <x:c r="I87" s="15"/>
      <x:c r="J87" s="28"/>
      <x:c r="K87" s="222" t="str">
        <x:f>IF(COUNTA(B87:J87)=0,"",IF(H87="Closed","",TODAY()-B87))</x:f>
      </x:c>
      <x:c r="L87" s="15"/>
      <x:c r="M87" s="15"/>
    </x:row>
    <x:row r="88" ht="20" customHeight="1">
      <x:c r="A88" s="15"/>
      <x:c r="B88" s="28"/>
      <x:c r="C88" s="15"/>
      <x:c r="D88" s="15"/>
      <x:c r="E88" s="15"/>
      <x:c r="F88" s="15"/>
      <x:c r="G88" s="15"/>
      <x:c r="H88" s="15"/>
      <x:c r="I88" s="15"/>
      <x:c r="J88" s="28"/>
      <x:c r="K88" s="222" t="str">
        <x:f>IF(COUNTA(B88:J88)=0,"",IF(H88="Closed","",TODAY()-B88))</x:f>
      </x:c>
      <x:c r="L88" s="15"/>
      <x:c r="M88" s="15"/>
    </x:row>
    <x:row r="89" ht="20" customHeight="1">
      <x:c r="A89" s="15"/>
      <x:c r="B89" s="28"/>
      <x:c r="C89" s="15"/>
      <x:c r="D89" s="15"/>
      <x:c r="E89" s="15"/>
      <x:c r="F89" s="15"/>
      <x:c r="G89" s="15"/>
      <x:c r="H89" s="15"/>
      <x:c r="I89" s="15"/>
      <x:c r="J89" s="28"/>
      <x:c r="K89" s="222" t="str">
        <x:f>IF(COUNTA(B89:J89)=0,"",IF(H89="Closed","",TODAY()-B89))</x:f>
      </x:c>
      <x:c r="L89" s="15"/>
      <x:c r="M89" s="15"/>
    </x:row>
    <x:row r="90" ht="20" customHeight="1">
      <x:c r="A90" s="15"/>
      <x:c r="B90" s="28"/>
      <x:c r="C90" s="15"/>
      <x:c r="D90" s="15"/>
      <x:c r="E90" s="15"/>
      <x:c r="F90" s="15"/>
      <x:c r="G90" s="15"/>
      <x:c r="H90" s="15"/>
      <x:c r="I90" s="15"/>
      <x:c r="J90" s="28"/>
      <x:c r="K90" s="222" t="str">
        <x:f>IF(COUNTA(B90:J90)=0,"",IF(H90="Closed","",TODAY()-B90))</x:f>
      </x:c>
      <x:c r="L90" s="15"/>
      <x:c r="M90" s="15"/>
    </x:row>
    <x:row r="91" ht="20" customHeight="1">
      <x:c r="A91" s="15"/>
      <x:c r="B91" s="28"/>
      <x:c r="C91" s="15"/>
      <x:c r="D91" s="15"/>
      <x:c r="E91" s="15"/>
      <x:c r="F91" s="15"/>
      <x:c r="G91" s="15"/>
      <x:c r="H91" s="15"/>
      <x:c r="I91" s="15"/>
      <x:c r="J91" s="28"/>
      <x:c r="K91" s="222" t="str">
        <x:f>IF(COUNTA(B91:J91)=0,"",IF(H91="Closed","",TODAY()-B91))</x:f>
      </x:c>
      <x:c r="L91" s="15"/>
      <x:c r="M91" s="15"/>
    </x:row>
    <x:row r="92" ht="20" customHeight="1">
      <x:c r="A92" s="15"/>
      <x:c r="B92" s="28"/>
      <x:c r="C92" s="15"/>
      <x:c r="D92" s="15"/>
      <x:c r="E92" s="15"/>
      <x:c r="F92" s="15"/>
      <x:c r="G92" s="15"/>
      <x:c r="H92" s="15"/>
      <x:c r="I92" s="15"/>
      <x:c r="J92" s="28"/>
      <x:c r="K92" s="222" t="str">
        <x:f>IF(COUNTA(B92:J92)=0,"",IF(H92="Closed","",TODAY()-B92))</x:f>
      </x:c>
      <x:c r="L92" s="15"/>
      <x:c r="M92" s="15"/>
    </x:row>
    <x:row r="93" ht="20" customHeight="1">
      <x:c r="A93" s="15"/>
      <x:c r="B93" s="28"/>
      <x:c r="C93" s="15"/>
      <x:c r="D93" s="15"/>
      <x:c r="E93" s="15"/>
      <x:c r="F93" s="15"/>
      <x:c r="G93" s="15"/>
      <x:c r="H93" s="15"/>
      <x:c r="I93" s="15"/>
      <x:c r="J93" s="28"/>
      <x:c r="K93" s="222" t="str">
        <x:f>IF(COUNTA(B93:J93)=0,"",IF(H93="Closed","",TODAY()-B93))</x:f>
      </x:c>
      <x:c r="L93" s="15"/>
      <x:c r="M93" s="15"/>
    </x:row>
    <x:row r="94" ht="20" customHeight="1">
      <x:c r="A94" s="15"/>
      <x:c r="B94" s="28"/>
      <x:c r="C94" s="15"/>
      <x:c r="D94" s="15"/>
      <x:c r="E94" s="15"/>
      <x:c r="F94" s="15"/>
      <x:c r="G94" s="15"/>
      <x:c r="H94" s="15"/>
      <x:c r="I94" s="15"/>
      <x:c r="J94" s="28"/>
      <x:c r="K94" s="222" t="str">
        <x:f>IF(COUNTA(B94:J94)=0,"",IF(H94="Closed","",TODAY()-B94))</x:f>
      </x:c>
      <x:c r="L94" s="15"/>
      <x:c r="M94" s="15"/>
    </x:row>
    <x:row r="95" ht="20" customHeight="1">
      <x:c r="A95" s="15"/>
      <x:c r="B95" s="28"/>
      <x:c r="C95" s="15"/>
      <x:c r="D95" s="15"/>
      <x:c r="E95" s="15"/>
      <x:c r="F95" s="15"/>
      <x:c r="G95" s="15"/>
      <x:c r="H95" s="15"/>
      <x:c r="I95" s="15"/>
      <x:c r="J95" s="28"/>
      <x:c r="K95" s="222" t="str">
        <x:f>IF(COUNTA(B95:J95)=0,"",IF(H95="Closed","",TODAY()-B95))</x:f>
      </x:c>
      <x:c r="L95" s="15"/>
      <x:c r="M95" s="15"/>
    </x:row>
    <x:row r="96" ht="20" customHeight="1">
      <x:c r="A96" s="15"/>
      <x:c r="B96" s="28"/>
      <x:c r="C96" s="15"/>
      <x:c r="D96" s="15"/>
      <x:c r="E96" s="15"/>
      <x:c r="F96" s="15"/>
      <x:c r="G96" s="15"/>
      <x:c r="H96" s="15"/>
      <x:c r="I96" s="15"/>
      <x:c r="J96" s="28"/>
      <x:c r="K96" s="222" t="str">
        <x:f>IF(COUNTA(B96:J96)=0,"",IF(H96="Closed","",TODAY()-B96))</x:f>
      </x:c>
      <x:c r="L96" s="15"/>
      <x:c r="M96" s="15"/>
    </x:row>
    <x:row r="97" ht="20" customHeight="1">
      <x:c r="A97" s="15"/>
      <x:c r="B97" s="28"/>
      <x:c r="C97" s="15"/>
      <x:c r="D97" s="15"/>
      <x:c r="E97" s="15"/>
      <x:c r="F97" s="15"/>
      <x:c r="G97" s="15"/>
      <x:c r="H97" s="15"/>
      <x:c r="I97" s="15"/>
      <x:c r="J97" s="28"/>
      <x:c r="K97" s="222" t="str">
        <x:f>IF(COUNTA(B97:J97)=0,"",IF(H97="Closed","",TODAY()-B97))</x:f>
      </x:c>
      <x:c r="L97" s="15"/>
      <x:c r="M97" s="15"/>
    </x:row>
    <x:row r="98" ht="20" customHeight="1">
      <x:c r="A98" s="15"/>
      <x:c r="B98" s="28"/>
      <x:c r="C98" s="15"/>
      <x:c r="D98" s="15"/>
      <x:c r="E98" s="15"/>
      <x:c r="F98" s="15"/>
      <x:c r="G98" s="15"/>
      <x:c r="H98" s="15"/>
      <x:c r="I98" s="15"/>
      <x:c r="J98" s="28"/>
      <x:c r="K98" s="222" t="str">
        <x:f>IF(COUNTA(B98:J98)=0,"",IF(H98="Closed","",TODAY()-B98))</x:f>
      </x:c>
      <x:c r="L98" s="15"/>
      <x:c r="M98" s="15"/>
    </x:row>
    <x:row r="99" ht="20" customHeight="1">
      <x:c r="A99" s="15"/>
      <x:c r="B99" s="28"/>
      <x:c r="C99" s="15"/>
      <x:c r="D99" s="15"/>
      <x:c r="E99" s="15"/>
      <x:c r="F99" s="15"/>
      <x:c r="G99" s="15"/>
      <x:c r="H99" s="15"/>
      <x:c r="I99" s="15"/>
      <x:c r="J99" s="28"/>
      <x:c r="K99" s="222" t="str">
        <x:f>IF(COUNTA(B99:J99)=0,"",IF(H99="Closed","",TODAY()-B99))</x:f>
      </x:c>
      <x:c r="L99" s="15"/>
      <x:c r="M99" s="15"/>
    </x:row>
    <x:row r="100" ht="20" customHeight="1">
      <x:c r="A100" s="15"/>
      <x:c r="B100" s="28"/>
      <x:c r="C100" s="15"/>
      <x:c r="D100" s="15"/>
      <x:c r="E100" s="15"/>
      <x:c r="F100" s="15"/>
      <x:c r="G100" s="15"/>
      <x:c r="H100" s="15"/>
      <x:c r="I100" s="15"/>
      <x:c r="J100" s="28"/>
      <x:c r="K100" s="222" t="str">
        <x:f>IF(COUNTA(B100:J100)=0,"",IF(H100="Closed","",TODAY()-B100))</x:f>
      </x:c>
      <x:c r="L100" s="15"/>
      <x:c r="M100" s="15"/>
    </x:row>
    <x:row r="101" ht="20" customHeight="1">
      <x:c r="A101" s="15"/>
      <x:c r="B101" s="28"/>
      <x:c r="C101" s="15"/>
      <x:c r="D101" s="15"/>
      <x:c r="E101" s="15"/>
      <x:c r="F101" s="15"/>
      <x:c r="G101" s="15"/>
      <x:c r="H101" s="15"/>
      <x:c r="I101" s="15"/>
      <x:c r="J101" s="28"/>
      <x:c r="K101" s="222" t="str">
        <x:f>IF(COUNTA(B101:J101)=0,"",IF(H101="Closed","",TODAY()-B101))</x:f>
      </x:c>
      <x:c r="L101" s="15"/>
      <x:c r="M101" s="15"/>
    </x:row>
    <x:row r="102" ht="20" customHeight="1">
      <x:c r="A102" s="15"/>
      <x:c r="B102" s="28"/>
      <x:c r="C102" s="15"/>
      <x:c r="D102" s="15"/>
      <x:c r="E102" s="15"/>
      <x:c r="F102" s="15"/>
      <x:c r="G102" s="15"/>
      <x:c r="H102" s="15"/>
      <x:c r="I102" s="15"/>
      <x:c r="J102" s="28"/>
      <x:c r="K102" s="222" t="str">
        <x:f>IF(COUNTA(B102:J102)=0,"",IF(H102="Closed","",TODAY()-B102))</x:f>
      </x:c>
      <x:c r="L102" s="15"/>
      <x:c r="M102" s="15"/>
    </x:row>
    <x:row r="103" ht="20" customHeight="1">
      <x:c r="A103" s="15"/>
      <x:c r="B103" s="28"/>
      <x:c r="C103" s="15"/>
      <x:c r="D103" s="15"/>
      <x:c r="E103" s="15"/>
      <x:c r="F103" s="15"/>
      <x:c r="G103" s="15"/>
      <x:c r="H103" s="15"/>
      <x:c r="I103" s="15"/>
      <x:c r="J103" s="28"/>
      <x:c r="K103" s="222" t="str">
        <x:f>IF(COUNTA(B103:J103)=0,"",IF(H103="Closed","",TODAY()-B103))</x:f>
      </x:c>
      <x:c r="L103" s="15"/>
      <x:c r="M103" s="15"/>
    </x:row>
    <x:row r="104" ht="20" customHeight="1">
      <x:c r="A104" s="15"/>
      <x:c r="B104" s="28"/>
      <x:c r="C104" s="15"/>
      <x:c r="D104" s="15"/>
      <x:c r="E104" s="15"/>
      <x:c r="F104" s="15"/>
      <x:c r="G104" s="15"/>
      <x:c r="H104" s="15"/>
      <x:c r="I104" s="15"/>
      <x:c r="J104" s="28"/>
      <x:c r="K104" s="222" t="str">
        <x:f>IF(COUNTA(B104:J104)=0,"",IF(H104="Closed","",TODAY()-B104))</x:f>
      </x:c>
      <x:c r="L104" s="15"/>
      <x:c r="M104" s="15"/>
    </x:row>
    <x:row r="105" ht="20" customHeight="1">
      <x:c r="A105" s="15"/>
      <x:c r="B105" s="28"/>
      <x:c r="C105" s="15"/>
      <x:c r="D105" s="15"/>
      <x:c r="E105" s="15"/>
      <x:c r="F105" s="15"/>
      <x:c r="G105" s="15"/>
      <x:c r="H105" s="15"/>
      <x:c r="I105" s="15"/>
      <x:c r="J105" s="28"/>
      <x:c r="K105" s="222" t="str">
        <x:f>IF(COUNTA(B105:J105)=0,"",IF(H105="Closed","",TODAY()-B105))</x:f>
      </x:c>
      <x:c r="L105" s="15"/>
      <x:c r="M105" s="15"/>
    </x:row>
    <x:row r="106" ht="20" customHeight="1">
      <x:c r="A106" s="15"/>
      <x:c r="B106" s="28"/>
      <x:c r="C106" s="15"/>
      <x:c r="D106" s="15"/>
      <x:c r="E106" s="15"/>
      <x:c r="F106" s="15"/>
      <x:c r="G106" s="15"/>
      <x:c r="H106" s="15"/>
      <x:c r="I106" s="15"/>
      <x:c r="J106" s="28"/>
      <x:c r="K106" s="222" t="str">
        <x:f>IF(COUNTA(B106:J106)=0,"",IF(H106="Closed","",TODAY()-B106))</x:f>
      </x:c>
      <x:c r="L106" s="15"/>
      <x:c r="M106" s="15"/>
    </x:row>
    <x:row r="107" ht="20" customHeight="1">
      <x:c r="A107" s="15"/>
      <x:c r="B107" s="28"/>
      <x:c r="C107" s="15"/>
      <x:c r="D107" s="15"/>
      <x:c r="E107" s="15"/>
      <x:c r="F107" s="15"/>
      <x:c r="G107" s="15"/>
      <x:c r="H107" s="15"/>
      <x:c r="I107" s="15"/>
      <x:c r="J107" s="28"/>
      <x:c r="K107" s="222" t="str">
        <x:f>IF(COUNTA(B107:J107)=0,"",IF(H107="Closed","",TODAY()-B107))</x:f>
      </x:c>
      <x:c r="L107" s="15"/>
      <x:c r="M107" s="15"/>
    </x:row>
    <x:row r="108" ht="20" customHeight="1">
      <x:c r="A108" s="15"/>
      <x:c r="B108" s="28"/>
      <x:c r="C108" s="15"/>
      <x:c r="D108" s="15"/>
      <x:c r="E108" s="15"/>
      <x:c r="F108" s="15"/>
      <x:c r="G108" s="15"/>
      <x:c r="H108" s="15"/>
      <x:c r="I108" s="15"/>
      <x:c r="J108" s="28"/>
      <x:c r="K108" s="222" t="str">
        <x:f>IF(COUNTA(B108:J108)=0,"",IF(H108="Closed","",TODAY()-B108))</x:f>
      </x:c>
      <x:c r="L108" s="15"/>
      <x:c r="M108" s="15"/>
    </x:row>
    <x:row r="109" ht="20" customHeight="1">
      <x:c r="A109" s="15"/>
      <x:c r="B109" s="28"/>
      <x:c r="C109" s="15"/>
      <x:c r="D109" s="15"/>
      <x:c r="E109" s="15"/>
      <x:c r="F109" s="15"/>
      <x:c r="G109" s="15"/>
      <x:c r="H109" s="15"/>
      <x:c r="I109" s="15"/>
      <x:c r="J109" s="28"/>
      <x:c r="K109" s="222" t="str">
        <x:f>IF(COUNTA(B109:J109)=0,"",IF(H109="Closed","",TODAY()-B109))</x:f>
      </x:c>
      <x:c r="L109" s="15"/>
      <x:c r="M109" s="15"/>
    </x:row>
    <x:row r="110" ht="20" customHeight="1">
      <x:c r="A110" s="15"/>
      <x:c r="B110" s="28"/>
      <x:c r="C110" s="15"/>
      <x:c r="D110" s="15"/>
      <x:c r="E110" s="15"/>
      <x:c r="F110" s="15"/>
      <x:c r="G110" s="15"/>
      <x:c r="H110" s="15"/>
      <x:c r="I110" s="15"/>
      <x:c r="J110" s="28"/>
      <x:c r="K110" s="222" t="str">
        <x:f>IF(COUNTA(B110:J110)=0,"",IF(H110="Closed","",TODAY()-B110))</x:f>
      </x:c>
      <x:c r="L110" s="15"/>
      <x:c r="M110" s="15"/>
    </x:row>
    <x:row r="111" ht="20" customHeight="1">
      <x:c r="A111" s="15"/>
      <x:c r="B111" s="28"/>
      <x:c r="C111" s="15"/>
      <x:c r="D111" s="15"/>
      <x:c r="E111" s="15"/>
      <x:c r="F111" s="15"/>
      <x:c r="G111" s="15"/>
      <x:c r="H111" s="15"/>
      <x:c r="I111" s="15"/>
      <x:c r="J111" s="28"/>
      <x:c r="K111" s="222" t="str">
        <x:f>IF(COUNTA(B111:J111)=0,"",IF(H111="Closed","",TODAY()-B111))</x:f>
      </x:c>
      <x:c r="L111" s="15"/>
      <x:c r="M111" s="15"/>
    </x:row>
    <x:row r="112" ht="20" customHeight="1">
      <x:c r="A112" s="15"/>
      <x:c r="B112" s="28"/>
      <x:c r="C112" s="15"/>
      <x:c r="D112" s="15"/>
      <x:c r="E112" s="15"/>
      <x:c r="F112" s="15"/>
      <x:c r="G112" s="15"/>
      <x:c r="H112" s="15"/>
      <x:c r="I112" s="15"/>
      <x:c r="J112" s="28"/>
      <x:c r="K112" s="222" t="str">
        <x:f>IF(COUNTA(B112:J112)=0,"",IF(H112="Closed","",TODAY()-B112))</x:f>
      </x:c>
      <x:c r="L112" s="15"/>
      <x:c r="M112" s="15"/>
    </x:row>
    <x:row r="113" ht="20" customHeight="1">
      <x:c r="A113" s="15"/>
      <x:c r="B113" s="28"/>
      <x:c r="C113" s="15"/>
      <x:c r="D113" s="15"/>
      <x:c r="E113" s="15"/>
      <x:c r="F113" s="15"/>
      <x:c r="G113" s="15"/>
      <x:c r="H113" s="15"/>
      <x:c r="I113" s="15"/>
      <x:c r="J113" s="28"/>
      <x:c r="K113" s="222" t="str">
        <x:f>IF(COUNTA(B113:J113)=0,"",IF(H113="Closed","",TODAY()-B113))</x:f>
      </x:c>
      <x:c r="L113" s="15"/>
      <x:c r="M113" s="15"/>
    </x:row>
    <x:row r="114" ht="20" customHeight="1">
      <x:c r="A114" s="15"/>
      <x:c r="B114" s="28"/>
      <x:c r="C114" s="15"/>
      <x:c r="D114" s="15"/>
      <x:c r="E114" s="15"/>
      <x:c r="F114" s="15"/>
      <x:c r="G114" s="15"/>
      <x:c r="H114" s="15"/>
      <x:c r="I114" s="15"/>
      <x:c r="J114" s="28"/>
      <x:c r="K114" s="222" t="str">
        <x:f>IF(COUNTA(B114:J114)=0,"",IF(H114="Closed","",TODAY()-B114))</x:f>
      </x:c>
      <x:c r="L114" s="15"/>
      <x:c r="M114" s="15"/>
    </x:row>
    <x:row r="115" ht="20" customHeight="1">
      <x:c r="A115" s="15"/>
      <x:c r="B115" s="28"/>
      <x:c r="C115" s="15"/>
      <x:c r="D115" s="15"/>
      <x:c r="E115" s="15"/>
      <x:c r="F115" s="15"/>
      <x:c r="G115" s="15"/>
      <x:c r="H115" s="15"/>
      <x:c r="I115" s="15"/>
      <x:c r="J115" s="28"/>
      <x:c r="K115" s="222" t="str">
        <x:f>IF(COUNTA(B115:J115)=0,"",IF(H115="Closed","",TODAY()-B115))</x:f>
      </x:c>
      <x:c r="L115" s="15"/>
      <x:c r="M115" s="15"/>
    </x:row>
    <x:row r="116" ht="20" customHeight="1">
      <x:c r="A116" s="15"/>
      <x:c r="B116" s="28"/>
      <x:c r="C116" s="15"/>
      <x:c r="D116" s="15"/>
      <x:c r="E116" s="15"/>
      <x:c r="F116" s="15"/>
      <x:c r="G116" s="15"/>
      <x:c r="H116" s="15"/>
      <x:c r="I116" s="15"/>
      <x:c r="J116" s="28"/>
      <x:c r="K116" s="222" t="str">
        <x:f>IF(COUNTA(B116:J116)=0,"",IF(H116="Closed","",TODAY()-B116))</x:f>
      </x:c>
      <x:c r="L116" s="15"/>
      <x:c r="M116" s="15"/>
    </x:row>
    <x:row r="117" ht="20" customHeight="1">
      <x:c r="A117" s="15"/>
      <x:c r="B117" s="28"/>
      <x:c r="C117" s="15"/>
      <x:c r="D117" s="15"/>
      <x:c r="E117" s="15"/>
      <x:c r="F117" s="15"/>
      <x:c r="G117" s="15"/>
      <x:c r="H117" s="15"/>
      <x:c r="I117" s="15"/>
      <x:c r="J117" s="28"/>
      <x:c r="K117" s="222" t="str">
        <x:f>IF(COUNTA(B117:J117)=0,"",IF(H117="Closed","",TODAY()-B117))</x:f>
      </x:c>
      <x:c r="L117" s="15"/>
      <x:c r="M117" s="15"/>
    </x:row>
    <x:row r="118" ht="20" customHeight="1">
      <x:c r="A118" s="15"/>
      <x:c r="B118" s="28"/>
      <x:c r="C118" s="15"/>
      <x:c r="D118" s="15"/>
      <x:c r="E118" s="15"/>
      <x:c r="F118" s="15"/>
      <x:c r="G118" s="15"/>
      <x:c r="H118" s="15"/>
      <x:c r="I118" s="15"/>
      <x:c r="J118" s="28"/>
      <x:c r="K118" s="222" t="str">
        <x:f>IF(COUNTA(B118:J118)=0,"",IF(H118="Closed","",TODAY()-B118))</x:f>
      </x:c>
      <x:c r="L118" s="15"/>
      <x:c r="M118" s="15"/>
    </x:row>
    <x:row r="119" ht="20" customHeight="1">
      <x:c r="A119" s="15"/>
      <x:c r="B119" s="28"/>
      <x:c r="C119" s="15"/>
      <x:c r="D119" s="15"/>
      <x:c r="E119" s="15"/>
      <x:c r="F119" s="15"/>
      <x:c r="G119" s="15"/>
      <x:c r="H119" s="15"/>
      <x:c r="I119" s="15"/>
      <x:c r="J119" s="28"/>
      <x:c r="K119" s="222" t="str">
        <x:f>IF(COUNTA(B119:J119)=0,"",IF(H119="Closed","",TODAY()-B119))</x:f>
      </x:c>
      <x:c r="L119" s="15"/>
      <x:c r="M119" s="15"/>
    </x:row>
    <x:row r="120" ht="20" customHeight="1">
      <x:c r="A120" s="15"/>
      <x:c r="B120" s="28"/>
      <x:c r="C120" s="15"/>
      <x:c r="D120" s="15"/>
      <x:c r="E120" s="15"/>
      <x:c r="F120" s="15"/>
      <x:c r="G120" s="15"/>
      <x:c r="H120" s="15"/>
      <x:c r="I120" s="15"/>
      <x:c r="J120" s="28"/>
      <x:c r="K120" s="222" t="str">
        <x:f>IF(COUNTA(B120:J120)=0,"",IF(H120="Closed","",TODAY()-B120))</x:f>
      </x:c>
      <x:c r="L120" s="15"/>
      <x:c r="M120" s="15"/>
    </x:row>
    <x:row r="121" ht="20" customHeight="1">
      <x:c r="A121" s="15"/>
      <x:c r="B121" s="28"/>
      <x:c r="C121" s="15"/>
      <x:c r="D121" s="15"/>
      <x:c r="E121" s="15"/>
      <x:c r="F121" s="15"/>
      <x:c r="G121" s="15"/>
      <x:c r="H121" s="15"/>
      <x:c r="I121" s="15"/>
      <x:c r="J121" s="28"/>
      <x:c r="K121" s="222" t="str">
        <x:f>IF(COUNTA(B121:J121)=0,"",IF(H121="Closed","",TODAY()-B121))</x:f>
      </x:c>
      <x:c r="L121" s="15"/>
      <x:c r="M121" s="15"/>
    </x:row>
    <x:row r="122" ht="20" customHeight="1">
      <x:c r="A122" s="15"/>
      <x:c r="B122" s="28"/>
      <x:c r="C122" s="15"/>
      <x:c r="D122" s="15"/>
      <x:c r="E122" s="15"/>
      <x:c r="F122" s="15"/>
      <x:c r="G122" s="15"/>
      <x:c r="H122" s="15"/>
      <x:c r="I122" s="15"/>
      <x:c r="J122" s="28"/>
      <x:c r="K122" s="222" t="str">
        <x:f>IF(COUNTA(B122:J122)=0,"",IF(H122="Closed","",TODAY()-B122))</x:f>
      </x:c>
      <x:c r="L122" s="15"/>
      <x:c r="M122" s="15"/>
    </x:row>
    <x:row r="123" ht="20" customHeight="1">
      <x:c r="A123" s="15"/>
      <x:c r="B123" s="28"/>
      <x:c r="C123" s="15"/>
      <x:c r="D123" s="15"/>
      <x:c r="E123" s="15"/>
      <x:c r="F123" s="15"/>
      <x:c r="G123" s="15"/>
      <x:c r="H123" s="15"/>
      <x:c r="I123" s="15"/>
      <x:c r="J123" s="28"/>
      <x:c r="K123" s="222" t="str">
        <x:f>IF(COUNTA(B123:J123)=0,"",IF(H123="Closed","",TODAY()-B123))</x:f>
      </x:c>
      <x:c r="L123" s="15"/>
      <x:c r="M123" s="15"/>
    </x:row>
    <x:row r="124" ht="20" customHeight="1">
      <x:c r="A124" s="15"/>
      <x:c r="B124" s="28"/>
      <x:c r="C124" s="15"/>
      <x:c r="D124" s="15"/>
      <x:c r="E124" s="15"/>
      <x:c r="F124" s="15"/>
      <x:c r="G124" s="15"/>
      <x:c r="H124" s="15"/>
      <x:c r="I124" s="15"/>
      <x:c r="J124" s="28"/>
      <x:c r="K124" s="222" t="str">
        <x:f>IF(COUNTA(B124:J124)=0,"",IF(H124="Closed","",TODAY()-B124))</x:f>
      </x:c>
      <x:c r="L124" s="15"/>
      <x:c r="M124" s="15"/>
    </x:row>
    <x:row r="125" ht="20" customHeight="1">
      <x:c r="A125" s="15"/>
      <x:c r="B125" s="28"/>
      <x:c r="C125" s="15"/>
      <x:c r="D125" s="15"/>
      <x:c r="E125" s="15"/>
      <x:c r="F125" s="15"/>
      <x:c r="G125" s="15"/>
      <x:c r="H125" s="15"/>
      <x:c r="I125" s="15"/>
      <x:c r="J125" s="28"/>
      <x:c r="K125" s="222" t="str">
        <x:f>IF(COUNTA(B125:J125)=0,"",IF(H125="Closed","",TODAY()-B125))</x:f>
      </x:c>
      <x:c r="L125" s="15"/>
      <x:c r="M125" s="15"/>
    </x:row>
    <x:row r="126" ht="20" customHeight="1">
      <x:c r="A126" s="15"/>
      <x:c r="B126" s="28"/>
      <x:c r="C126" s="15"/>
      <x:c r="D126" s="15"/>
      <x:c r="E126" s="15"/>
      <x:c r="F126" s="15"/>
      <x:c r="G126" s="15"/>
      <x:c r="H126" s="15"/>
      <x:c r="I126" s="15"/>
      <x:c r="J126" s="28"/>
      <x:c r="K126" s="222" t="str">
        <x:f>IF(COUNTA(B126:J126)=0,"",IF(H126="Closed","",TODAY()-B126))</x:f>
      </x:c>
      <x:c r="L126" s="15"/>
      <x:c r="M126" s="15"/>
    </x:row>
    <x:row r="127" ht="20" customHeight="1">
      <x:c r="A127" s="15"/>
      <x:c r="B127" s="28"/>
      <x:c r="C127" s="15"/>
      <x:c r="D127" s="15"/>
      <x:c r="E127" s="15"/>
      <x:c r="F127" s="15"/>
      <x:c r="G127" s="15"/>
      <x:c r="H127" s="15"/>
      <x:c r="I127" s="15"/>
      <x:c r="J127" s="28"/>
      <x:c r="K127" s="222" t="str">
        <x:f>IF(COUNTA(B127:J127)=0,"",IF(H127="Closed","",TODAY()-B127))</x:f>
      </x:c>
      <x:c r="L127" s="15"/>
      <x:c r="M127" s="15"/>
    </x:row>
    <x:row r="128" ht="20" customHeight="1">
      <x:c r="A128" s="15"/>
      <x:c r="B128" s="28"/>
      <x:c r="C128" s="15"/>
      <x:c r="D128" s="15"/>
      <x:c r="E128" s="15"/>
      <x:c r="F128" s="15"/>
      <x:c r="G128" s="15"/>
      <x:c r="H128" s="15"/>
      <x:c r="I128" s="15"/>
      <x:c r="J128" s="28"/>
      <x:c r="K128" s="222" t="str">
        <x:f>IF(COUNTA(B128:J128)=0,"",IF(H128="Closed","",TODAY()-B128))</x:f>
      </x:c>
      <x:c r="L128" s="15"/>
      <x:c r="M128" s="15"/>
    </x:row>
    <x:row r="129" ht="20" customHeight="1">
      <x:c r="A129" s="15"/>
      <x:c r="B129" s="28"/>
      <x:c r="C129" s="15"/>
      <x:c r="D129" s="15"/>
      <x:c r="E129" s="15"/>
      <x:c r="F129" s="15"/>
      <x:c r="G129" s="15"/>
      <x:c r="H129" s="15"/>
      <x:c r="I129" s="15"/>
      <x:c r="J129" s="28"/>
      <x:c r="K129" s="222" t="str">
        <x:f>IF(COUNTA(B129:J129)=0,"",IF(H129="Closed","",TODAY()-B129))</x:f>
      </x:c>
      <x:c r="L129" s="15"/>
      <x:c r="M129" s="15"/>
    </x:row>
    <x:row r="130" ht="20" customHeight="1">
      <x:c r="A130" s="15"/>
      <x:c r="B130" s="28"/>
      <x:c r="C130" s="15"/>
      <x:c r="D130" s="15"/>
      <x:c r="E130" s="15"/>
      <x:c r="F130" s="15"/>
      <x:c r="G130" s="15"/>
      <x:c r="H130" s="15"/>
      <x:c r="I130" s="15"/>
      <x:c r="J130" s="28"/>
      <x:c r="K130" s="222" t="str">
        <x:f>IF(COUNTA(B130:J130)=0,"",IF(H130="Closed","",TODAY()-B130))</x:f>
      </x:c>
      <x:c r="L130" s="15"/>
      <x:c r="M130" s="15"/>
    </x:row>
    <x:row r="131" ht="20" customHeight="1">
      <x:c r="A131" s="15"/>
      <x:c r="B131" s="28"/>
      <x:c r="C131" s="15"/>
      <x:c r="D131" s="15"/>
      <x:c r="E131" s="15"/>
      <x:c r="F131" s="15"/>
      <x:c r="G131" s="15"/>
      <x:c r="H131" s="15"/>
      <x:c r="I131" s="15"/>
      <x:c r="J131" s="28"/>
      <x:c r="K131" s="222" t="str">
        <x:f>IF(COUNTA(B131:J131)=0,"",IF(H131="Closed","",TODAY()-B131))</x:f>
      </x:c>
      <x:c r="L131" s="15"/>
      <x:c r="M131" s="15"/>
    </x:row>
    <x:row r="132" ht="20" customHeight="1">
      <x:c r="A132" s="15"/>
      <x:c r="B132" s="28"/>
      <x:c r="C132" s="15"/>
      <x:c r="D132" s="15"/>
      <x:c r="E132" s="15"/>
      <x:c r="F132" s="15"/>
      <x:c r="G132" s="15"/>
      <x:c r="H132" s="15"/>
      <x:c r="I132" s="15"/>
      <x:c r="J132" s="28"/>
      <x:c r="K132" s="222" t="str">
        <x:f>IF(COUNTA(B132:J132)=0,"",IF(H132="Closed","",TODAY()-B132))</x:f>
      </x:c>
      <x:c r="L132" s="15"/>
      <x:c r="M132" s="15"/>
    </x:row>
    <x:row r="133" ht="20" customHeight="1">
      <x:c r="A133" s="15"/>
      <x:c r="B133" s="28"/>
      <x:c r="C133" s="15"/>
      <x:c r="D133" s="15"/>
      <x:c r="E133" s="15"/>
      <x:c r="F133" s="15"/>
      <x:c r="G133" s="15"/>
      <x:c r="H133" s="15"/>
      <x:c r="I133" s="15"/>
      <x:c r="J133" s="28"/>
      <x:c r="K133" s="222" t="str">
        <x:f>IF(COUNTA(B133:J133)=0,"",IF(H133="Closed","",TODAY()-B133))</x:f>
      </x:c>
      <x:c r="L133" s="15"/>
      <x:c r="M133" s="15"/>
    </x:row>
    <x:row r="134" ht="20" customHeight="1">
      <x:c r="A134" s="15"/>
      <x:c r="B134" s="28"/>
      <x:c r="C134" s="15"/>
      <x:c r="D134" s="15"/>
      <x:c r="E134" s="15"/>
      <x:c r="F134" s="15"/>
      <x:c r="G134" s="15"/>
      <x:c r="H134" s="15"/>
      <x:c r="I134" s="15"/>
      <x:c r="J134" s="28"/>
      <x:c r="K134" s="222" t="str">
        <x:f>IF(COUNTA(B134:J134)=0,"",IF(H134="Closed","",TODAY()-B134))</x:f>
      </x:c>
      <x:c r="L134" s="15"/>
      <x:c r="M134" s="15"/>
    </x:row>
    <x:row r="135" ht="20" customHeight="1">
      <x:c r="A135" s="15"/>
      <x:c r="B135" s="28"/>
      <x:c r="C135" s="15"/>
      <x:c r="D135" s="15"/>
      <x:c r="E135" s="15"/>
      <x:c r="F135" s="15"/>
      <x:c r="G135" s="15"/>
      <x:c r="H135" s="15"/>
      <x:c r="I135" s="15"/>
      <x:c r="J135" s="28"/>
      <x:c r="K135" s="222" t="str">
        <x:f>IF(COUNTA(B135:J135)=0,"",IF(H135="Closed","",TODAY()-B135))</x:f>
      </x:c>
      <x:c r="L135" s="15"/>
      <x:c r="M135" s="15"/>
    </x:row>
    <x:row r="136" ht="20" customHeight="1">
      <x:c r="A136" s="15"/>
      <x:c r="B136" s="28"/>
      <x:c r="C136" s="15"/>
      <x:c r="D136" s="15"/>
      <x:c r="E136" s="15"/>
      <x:c r="F136" s="15"/>
      <x:c r="G136" s="15"/>
      <x:c r="H136" s="15"/>
      <x:c r="I136" s="15"/>
      <x:c r="J136" s="28"/>
      <x:c r="K136" s="222" t="str">
        <x:f>IF(COUNTA(B136:J136)=0,"",IF(H136="Closed","",TODAY()-B136))</x:f>
      </x:c>
      <x:c r="L136" s="15"/>
      <x:c r="M136" s="15"/>
    </x:row>
    <x:row r="137" ht="20" customHeight="1">
      <x:c r="A137" s="15"/>
      <x:c r="B137" s="28"/>
      <x:c r="C137" s="15"/>
      <x:c r="D137" s="15"/>
      <x:c r="E137" s="15"/>
      <x:c r="F137" s="15"/>
      <x:c r="G137" s="15"/>
      <x:c r="H137" s="15"/>
      <x:c r="I137" s="15"/>
      <x:c r="J137" s="28"/>
      <x:c r="K137" s="222" t="str">
        <x:f>IF(COUNTA(B137:J137)=0,"",IF(H137="Closed","",TODAY()-B137))</x:f>
      </x:c>
      <x:c r="L137" s="15"/>
      <x:c r="M137" s="15"/>
    </x:row>
    <x:row r="138" ht="20" customHeight="1">
      <x:c r="A138" s="15"/>
      <x:c r="B138" s="28"/>
      <x:c r="C138" s="15"/>
      <x:c r="D138" s="15"/>
      <x:c r="E138" s="15"/>
      <x:c r="F138" s="15"/>
      <x:c r="G138" s="15"/>
      <x:c r="H138" s="15"/>
      <x:c r="I138" s="15"/>
      <x:c r="J138" s="28"/>
      <x:c r="K138" s="222" t="str">
        <x:f>IF(COUNTA(B138:J138)=0,"",IF(H138="Closed","",TODAY()-B138))</x:f>
      </x:c>
      <x:c r="L138" s="15"/>
      <x:c r="M138" s="15"/>
    </x:row>
    <x:row r="139" ht="20" customHeight="1">
      <x:c r="A139" s="15"/>
      <x:c r="B139" s="28"/>
      <x:c r="C139" s="15"/>
      <x:c r="D139" s="15"/>
      <x:c r="E139" s="15"/>
      <x:c r="F139" s="15"/>
      <x:c r="G139" s="15"/>
      <x:c r="H139" s="15"/>
      <x:c r="I139" s="15"/>
      <x:c r="J139" s="28"/>
      <x:c r="K139" s="222" t="str">
        <x:f>IF(COUNTA(B139:J139)=0,"",IF(H139="Closed","",TODAY()-B139))</x:f>
      </x:c>
      <x:c r="L139" s="15"/>
      <x:c r="M139" s="15"/>
    </x:row>
    <x:row r="140" ht="20" customHeight="1">
      <x:c r="A140" s="15"/>
      <x:c r="B140" s="28"/>
      <x:c r="C140" s="15"/>
      <x:c r="D140" s="15"/>
      <x:c r="E140" s="15"/>
      <x:c r="F140" s="15"/>
      <x:c r="G140" s="15"/>
      <x:c r="H140" s="15"/>
      <x:c r="I140" s="15"/>
      <x:c r="J140" s="28"/>
      <x:c r="K140" s="222" t="str">
        <x:f>IF(COUNTA(B140:J140)=0,"",IF(H140="Closed","",TODAY()-B140))</x:f>
      </x:c>
      <x:c r="L140" s="15"/>
      <x:c r="M140" s="15"/>
    </x:row>
    <x:row r="141" ht="20" customHeight="1">
      <x:c r="A141" s="15"/>
      <x:c r="B141" s="28"/>
      <x:c r="C141" s="15"/>
      <x:c r="D141" s="15"/>
      <x:c r="E141" s="15"/>
      <x:c r="F141" s="15"/>
      <x:c r="G141" s="15"/>
      <x:c r="H141" s="15"/>
      <x:c r="I141" s="15"/>
      <x:c r="J141" s="28"/>
      <x:c r="K141" s="222" t="str">
        <x:f>IF(COUNTA(B141:J141)=0,"",IF(H141="Closed","",TODAY()-B141))</x:f>
      </x:c>
      <x:c r="L141" s="15"/>
      <x:c r="M141" s="15"/>
    </x:row>
    <x:row r="142" ht="20" customHeight="1">
      <x:c r="A142" s="15"/>
      <x:c r="B142" s="28"/>
      <x:c r="C142" s="15"/>
      <x:c r="D142" s="15"/>
      <x:c r="E142" s="15"/>
      <x:c r="F142" s="15"/>
      <x:c r="G142" s="15"/>
      <x:c r="H142" s="15"/>
      <x:c r="I142" s="15"/>
      <x:c r="J142" s="28"/>
      <x:c r="K142" s="222" t="str">
        <x:f>IF(COUNTA(B142:J142)=0,"",IF(H142="Closed","",TODAY()-B142))</x:f>
      </x:c>
      <x:c r="L142" s="15"/>
      <x:c r="M142" s="15"/>
    </x:row>
    <x:row r="143" ht="20" customHeight="1">
      <x:c r="A143" s="15"/>
      <x:c r="B143" s="28"/>
      <x:c r="C143" s="15"/>
      <x:c r="D143" s="15"/>
      <x:c r="E143" s="15"/>
      <x:c r="F143" s="15"/>
      <x:c r="G143" s="15"/>
      <x:c r="H143" s="15"/>
      <x:c r="I143" s="15"/>
      <x:c r="J143" s="28"/>
      <x:c r="K143" s="222" t="str">
        <x:f>IF(COUNTA(B143:J143)=0,"",IF(H143="Closed","",TODAY()-B143))</x:f>
      </x:c>
      <x:c r="L143" s="15"/>
      <x:c r="M143" s="15"/>
    </x:row>
    <x:row r="144" ht="20" customHeight="1">
      <x:c r="A144" s="15"/>
      <x:c r="B144" s="28"/>
      <x:c r="C144" s="15"/>
      <x:c r="D144" s="15"/>
      <x:c r="E144" s="15"/>
      <x:c r="F144" s="15"/>
      <x:c r="G144" s="15"/>
      <x:c r="H144" s="15"/>
      <x:c r="I144" s="15"/>
      <x:c r="J144" s="28"/>
      <x:c r="K144" s="222" t="str">
        <x:f>IF(COUNTA(B144:J144)=0,"",IF(H144="Closed","",TODAY()-B144))</x:f>
      </x:c>
      <x:c r="L144" s="15"/>
      <x:c r="M144" s="15"/>
    </x:row>
    <x:row r="145" ht="20" customHeight="1">
      <x:c r="A145" s="15"/>
      <x:c r="B145" s="28"/>
      <x:c r="C145" s="15"/>
      <x:c r="D145" s="15"/>
      <x:c r="E145" s="15"/>
      <x:c r="F145" s="15"/>
      <x:c r="G145" s="15"/>
      <x:c r="H145" s="15"/>
      <x:c r="I145" s="15"/>
      <x:c r="J145" s="28"/>
      <x:c r="K145" s="222" t="str">
        <x:f>IF(COUNTA(B145:J145)=0,"",IF(H145="Closed","",TODAY()-B145))</x:f>
      </x:c>
      <x:c r="L145" s="15"/>
      <x:c r="M145" s="15"/>
    </x:row>
    <x:row r="146" ht="20" customHeight="1">
      <x:c r="A146" s="15"/>
      <x:c r="B146" s="28"/>
      <x:c r="C146" s="15"/>
      <x:c r="D146" s="15"/>
      <x:c r="E146" s="15"/>
      <x:c r="F146" s="15"/>
      <x:c r="G146" s="15"/>
      <x:c r="H146" s="15"/>
      <x:c r="I146" s="15"/>
      <x:c r="J146" s="28"/>
      <x:c r="K146" s="222" t="str">
        <x:f>IF(COUNTA(B146:J146)=0,"",IF(H146="Closed","",TODAY()-B146))</x:f>
      </x:c>
      <x:c r="L146" s="15"/>
      <x:c r="M146" s="15"/>
    </x:row>
    <x:row r="147" ht="20" customHeight="1">
      <x:c r="A147" s="15"/>
      <x:c r="B147" s="28"/>
      <x:c r="C147" s="15"/>
      <x:c r="D147" s="15"/>
      <x:c r="E147" s="15"/>
      <x:c r="F147" s="15"/>
      <x:c r="G147" s="15"/>
      <x:c r="H147" s="15"/>
      <x:c r="I147" s="15"/>
      <x:c r="J147" s="28"/>
      <x:c r="K147" s="222" t="str">
        <x:f>IF(COUNTA(B147:J147)=0,"",IF(H147="Closed","",TODAY()-B147))</x:f>
      </x:c>
      <x:c r="L147" s="15"/>
      <x:c r="M147" s="15"/>
    </x:row>
    <x:row r="148" ht="20" customHeight="1">
      <x:c r="A148" s="15"/>
      <x:c r="B148" s="28"/>
      <x:c r="C148" s="15"/>
      <x:c r="D148" s="15"/>
      <x:c r="E148" s="15"/>
      <x:c r="F148" s="15"/>
      <x:c r="G148" s="15"/>
      <x:c r="H148" s="15"/>
      <x:c r="I148" s="15"/>
      <x:c r="J148" s="28"/>
      <x:c r="K148" s="222" t="str">
        <x:f>IF(COUNTA(B148:J148)=0,"",IF(H148="Closed","",TODAY()-B148))</x:f>
      </x:c>
      <x:c r="L148" s="15"/>
      <x:c r="M148" s="15"/>
    </x:row>
    <x:row r="149" ht="20" customHeight="1">
      <x:c r="A149" s="15"/>
      <x:c r="B149" s="28"/>
      <x:c r="C149" s="15"/>
      <x:c r="D149" s="15"/>
      <x:c r="E149" s="15"/>
      <x:c r="F149" s="15"/>
      <x:c r="G149" s="15"/>
      <x:c r="H149" s="15"/>
      <x:c r="I149" s="15"/>
      <x:c r="J149" s="28"/>
      <x:c r="K149" s="222" t="str">
        <x:f>IF(COUNTA(B149:J149)=0,"",IF(H149="Closed","",TODAY()-B149))</x:f>
      </x:c>
      <x:c r="L149" s="15"/>
      <x:c r="M149" s="15"/>
    </x:row>
    <x:row r="150" ht="20" customHeight="1">
      <x:c r="A150" s="15"/>
      <x:c r="B150" s="28"/>
      <x:c r="C150" s="15"/>
      <x:c r="D150" s="15"/>
      <x:c r="E150" s="15"/>
      <x:c r="F150" s="15"/>
      <x:c r="G150" s="15"/>
      <x:c r="H150" s="15"/>
      <x:c r="I150" s="15"/>
      <x:c r="J150" s="28"/>
      <x:c r="K150" s="222" t="str">
        <x:f>IF(COUNTA(B150:J150)=0,"",IF(H150="Closed","",TODAY()-B150))</x:f>
      </x:c>
      <x:c r="L150" s="15"/>
      <x:c r="M150" s="15"/>
    </x:row>
    <x:row r="151" ht="20" customHeight="1">
      <x:c r="A151" s="15"/>
      <x:c r="B151" s="28"/>
      <x:c r="C151" s="15"/>
      <x:c r="D151" s="15"/>
      <x:c r="E151" s="15"/>
      <x:c r="F151" s="15"/>
      <x:c r="G151" s="15"/>
      <x:c r="H151" s="15"/>
      <x:c r="I151" s="15"/>
      <x:c r="J151" s="28"/>
      <x:c r="K151" s="222" t="str">
        <x:f>IF(COUNTA(B151:J151)=0,"",IF(H151="Closed","",TODAY()-B151))</x:f>
      </x:c>
      <x:c r="L151" s="15"/>
      <x:c r="M151" s="15"/>
    </x:row>
    <x:row r="152" ht="20" customHeight="1">
      <x:c r="A152" s="15"/>
      <x:c r="B152" s="28"/>
      <x:c r="C152" s="15"/>
      <x:c r="D152" s="15"/>
      <x:c r="E152" s="15"/>
      <x:c r="F152" s="15"/>
      <x:c r="G152" s="15"/>
      <x:c r="H152" s="15"/>
      <x:c r="I152" s="15"/>
      <x:c r="J152" s="28"/>
      <x:c r="K152" s="222" t="str">
        <x:f>IF(COUNTA(B152:J152)=0,"",IF(H152="Closed","",TODAY()-B152))</x:f>
      </x:c>
      <x:c r="L152" s="15"/>
      <x:c r="M152" s="15"/>
    </x:row>
    <x:row r="153" ht="20" customHeight="1">
      <x:c r="A153" s="15"/>
      <x:c r="B153" s="28"/>
      <x:c r="C153" s="15"/>
      <x:c r="D153" s="15"/>
      <x:c r="E153" s="15"/>
      <x:c r="F153" s="15"/>
      <x:c r="G153" s="15"/>
      <x:c r="H153" s="15"/>
      <x:c r="I153" s="15"/>
      <x:c r="J153" s="28"/>
      <x:c r="K153" s="222" t="str">
        <x:f>IF(COUNTA(B153:J153)=0,"",IF(H153="Closed","",TODAY()-B153))</x:f>
      </x:c>
      <x:c r="L153" s="15"/>
      <x:c r="M153" s="15"/>
    </x:row>
    <x:row r="154" ht="20" customHeight="1">
      <x:c r="A154" s="15"/>
      <x:c r="B154" s="28"/>
      <x:c r="C154" s="15"/>
      <x:c r="D154" s="15"/>
      <x:c r="E154" s="15"/>
      <x:c r="F154" s="15"/>
      <x:c r="G154" s="15"/>
      <x:c r="H154" s="15"/>
      <x:c r="I154" s="15"/>
      <x:c r="J154" s="28"/>
      <x:c r="K154" s="222" t="str">
        <x:f>IF(COUNTA(B154:J154)=0,"",IF(H154="Closed","",TODAY()-B154))</x:f>
      </x:c>
      <x:c r="L154" s="15"/>
      <x:c r="M154" s="15"/>
    </x:row>
    <x:row r="155" ht="20" customHeight="1">
      <x:c r="A155" s="15"/>
      <x:c r="B155" s="28"/>
      <x:c r="C155" s="15"/>
      <x:c r="D155" s="15"/>
      <x:c r="E155" s="15"/>
      <x:c r="F155" s="15"/>
      <x:c r="G155" s="15"/>
      <x:c r="H155" s="15"/>
      <x:c r="I155" s="15"/>
      <x:c r="J155" s="28"/>
      <x:c r="K155" s="222" t="str">
        <x:f>IF(COUNTA(B155:J155)=0,"",IF(H155="Closed","",TODAY()-B155))</x:f>
      </x:c>
      <x:c r="L155" s="15"/>
      <x:c r="M155" s="15"/>
    </x:row>
    <x:row r="156" ht="20" customHeight="1">
      <x:c r="A156" s="15"/>
      <x:c r="B156" s="28"/>
      <x:c r="C156" s="15"/>
      <x:c r="D156" s="15"/>
      <x:c r="E156" s="15"/>
      <x:c r="F156" s="15"/>
      <x:c r="G156" s="15"/>
      <x:c r="H156" s="15"/>
      <x:c r="I156" s="15"/>
      <x:c r="J156" s="28"/>
      <x:c r="K156" s="222" t="str">
        <x:f>IF(COUNTA(B156:J156)=0,"",IF(H156="Closed","",TODAY()-B156))</x:f>
      </x:c>
      <x:c r="L156" s="15"/>
      <x:c r="M156" s="15"/>
    </x:row>
    <x:row r="157" ht="20" customHeight="1">
      <x:c r="A157" s="15"/>
      <x:c r="B157" s="28"/>
      <x:c r="C157" s="15"/>
      <x:c r="D157" s="15"/>
      <x:c r="E157" s="15"/>
      <x:c r="F157" s="15"/>
      <x:c r="G157" s="15"/>
      <x:c r="H157" s="15"/>
      <x:c r="I157" s="15"/>
      <x:c r="J157" s="28"/>
      <x:c r="K157" s="222" t="str">
        <x:f>IF(COUNTA(B157:J157)=0,"",IF(H157="Closed","",TODAY()-B157))</x:f>
      </x:c>
      <x:c r="L157" s="15"/>
      <x:c r="M157" s="15"/>
    </x:row>
    <x:row r="158" ht="20" customHeight="1">
      <x:c r="A158" s="15"/>
      <x:c r="B158" s="28"/>
      <x:c r="C158" s="15"/>
      <x:c r="D158" s="15"/>
      <x:c r="E158" s="15"/>
      <x:c r="F158" s="15"/>
      <x:c r="G158" s="15"/>
      <x:c r="H158" s="15"/>
      <x:c r="I158" s="15"/>
      <x:c r="J158" s="28"/>
      <x:c r="K158" s="222" t="str">
        <x:f>IF(COUNTA(B158:J158)=0,"",IF(H158="Closed","",TODAY()-B158))</x:f>
      </x:c>
      <x:c r="L158" s="15"/>
      <x:c r="M158" s="15"/>
    </x:row>
    <x:row r="159" ht="20" customHeight="1">
      <x:c r="A159" s="15"/>
      <x:c r="B159" s="28"/>
      <x:c r="C159" s="15"/>
      <x:c r="D159" s="15"/>
      <x:c r="E159" s="15"/>
      <x:c r="F159" s="15"/>
      <x:c r="G159" s="15"/>
      <x:c r="H159" s="15"/>
      <x:c r="I159" s="15"/>
      <x:c r="J159" s="28"/>
      <x:c r="K159" s="222" t="str">
        <x:f>IF(COUNTA(B159:J159)=0,"",IF(H159="Closed","",TODAY()-B159))</x:f>
      </x:c>
      <x:c r="L159" s="15"/>
      <x:c r="M159" s="15"/>
    </x:row>
    <x:row r="160" ht="20" customHeight="1">
      <x:c r="A160" s="15"/>
      <x:c r="B160" s="28"/>
      <x:c r="C160" s="15"/>
      <x:c r="D160" s="15"/>
      <x:c r="E160" s="15"/>
      <x:c r="F160" s="15"/>
      <x:c r="G160" s="15"/>
      <x:c r="H160" s="15"/>
      <x:c r="I160" s="15"/>
      <x:c r="J160" s="28"/>
      <x:c r="K160" s="222" t="str">
        <x:f>IF(COUNTA(B160:J160)=0,"",IF(H160="Closed","",TODAY()-B160))</x:f>
      </x:c>
      <x:c r="L160" s="15"/>
      <x:c r="M160" s="15"/>
    </x:row>
    <x:row r="161" ht="20" customHeight="1">
      <x:c r="A161" s="15"/>
      <x:c r="B161" s="28"/>
      <x:c r="C161" s="15"/>
      <x:c r="D161" s="15"/>
      <x:c r="E161" s="15"/>
      <x:c r="F161" s="15"/>
      <x:c r="G161" s="15"/>
      <x:c r="H161" s="15"/>
      <x:c r="I161" s="15"/>
      <x:c r="J161" s="28"/>
      <x:c r="K161" s="222" t="str">
        <x:f>IF(COUNTA(B161:J161)=0,"",IF(H161="Closed","",TODAY()-B161))</x:f>
      </x:c>
      <x:c r="L161" s="15"/>
      <x:c r="M161" s="15"/>
    </x:row>
    <x:row r="162" ht="20" customHeight="1">
      <x:c r="A162" s="15"/>
      <x:c r="B162" s="28"/>
      <x:c r="C162" s="15"/>
      <x:c r="D162" s="15"/>
      <x:c r="E162" s="15"/>
      <x:c r="F162" s="15"/>
      <x:c r="G162" s="15"/>
      <x:c r="H162" s="15"/>
      <x:c r="I162" s="15"/>
      <x:c r="J162" s="28"/>
      <x:c r="K162" s="222" t="str">
        <x:f>IF(COUNTA(B162:J162)=0,"",IF(H162="Closed","",TODAY()-B162))</x:f>
      </x:c>
      <x:c r="L162" s="15"/>
      <x:c r="M162" s="15"/>
    </x:row>
    <x:row r="163" ht="20" customHeight="1">
      <x:c r="A163" s="15"/>
      <x:c r="B163" s="28"/>
      <x:c r="C163" s="15"/>
      <x:c r="D163" s="15"/>
      <x:c r="E163" s="15"/>
      <x:c r="F163" s="15"/>
      <x:c r="G163" s="15"/>
      <x:c r="H163" s="15"/>
      <x:c r="I163" s="15"/>
      <x:c r="J163" s="28"/>
      <x:c r="K163" s="222" t="str">
        <x:f>IF(COUNTA(B163:J163)=0,"",IF(H163="Closed","",TODAY()-B163))</x:f>
      </x:c>
      <x:c r="L163" s="15"/>
      <x:c r="M163" s="15"/>
    </x:row>
    <x:row r="164" ht="20" customHeight="1">
      <x:c r="A164" s="15"/>
      <x:c r="B164" s="28"/>
      <x:c r="C164" s="15"/>
      <x:c r="D164" s="15"/>
      <x:c r="E164" s="15"/>
      <x:c r="F164" s="15"/>
      <x:c r="G164" s="15"/>
      <x:c r="H164" s="15"/>
      <x:c r="I164" s="15"/>
      <x:c r="J164" s="28"/>
      <x:c r="K164" s="222" t="str">
        <x:f>IF(COUNTA(B164:J164)=0,"",IF(H164="Closed","",TODAY()-B164))</x:f>
      </x:c>
      <x:c r="L164" s="15"/>
      <x:c r="M164" s="15"/>
    </x:row>
    <x:row r="165" ht="20" customHeight="1">
      <x:c r="A165" s="15"/>
      <x:c r="B165" s="28"/>
      <x:c r="C165" s="15"/>
      <x:c r="D165" s="15"/>
      <x:c r="E165" s="15"/>
      <x:c r="F165" s="15"/>
      <x:c r="G165" s="15"/>
      <x:c r="H165" s="15"/>
      <x:c r="I165" s="15"/>
      <x:c r="J165" s="28"/>
      <x:c r="K165" s="222" t="str">
        <x:f>IF(COUNTA(B165:J165)=0,"",IF(H165="Closed","",TODAY()-B165))</x:f>
      </x:c>
      <x:c r="L165" s="15"/>
      <x:c r="M165" s="15"/>
    </x:row>
    <x:row r="166" ht="20" customHeight="1">
      <x:c r="A166" s="15"/>
      <x:c r="B166" s="28"/>
      <x:c r="C166" s="15"/>
      <x:c r="D166" s="15"/>
      <x:c r="E166" s="15"/>
      <x:c r="F166" s="15"/>
      <x:c r="G166" s="15"/>
      <x:c r="H166" s="15"/>
      <x:c r="I166" s="15"/>
      <x:c r="J166" s="28"/>
      <x:c r="K166" s="222" t="str">
        <x:f>IF(COUNTA(B166:J166)=0,"",IF(H166="Closed","",TODAY()-B166))</x:f>
      </x:c>
      <x:c r="L166" s="15"/>
      <x:c r="M166" s="15"/>
    </x:row>
    <x:row r="167" ht="20" customHeight="1">
      <x:c r="A167" s="15"/>
      <x:c r="B167" s="28"/>
      <x:c r="C167" s="15"/>
      <x:c r="D167" s="15"/>
      <x:c r="E167" s="15"/>
      <x:c r="F167" s="15"/>
      <x:c r="G167" s="15"/>
      <x:c r="H167" s="15"/>
      <x:c r="I167" s="15"/>
      <x:c r="J167" s="28"/>
      <x:c r="K167" s="222" t="str">
        <x:f>IF(COUNTA(B167:J167)=0,"",IF(H167="Closed","",TODAY()-B167))</x:f>
      </x:c>
      <x:c r="L167" s="15"/>
      <x:c r="M167" s="15"/>
    </x:row>
    <x:row r="168" ht="20" customHeight="1">
      <x:c r="A168" s="15"/>
      <x:c r="B168" s="28"/>
      <x:c r="C168" s="15"/>
      <x:c r="D168" s="15"/>
      <x:c r="E168" s="15"/>
      <x:c r="F168" s="15"/>
      <x:c r="G168" s="15"/>
      <x:c r="H168" s="15"/>
      <x:c r="I168" s="15"/>
      <x:c r="J168" s="28"/>
      <x:c r="K168" s="222" t="str">
        <x:f>IF(COUNTA(B168:J168)=0,"",IF(H168="Closed","",TODAY()-B168))</x:f>
      </x:c>
      <x:c r="L168" s="15"/>
      <x:c r="M168" s="15"/>
    </x:row>
    <x:row r="169" ht="20" customHeight="1">
      <x:c r="A169" s="15"/>
      <x:c r="B169" s="28"/>
      <x:c r="C169" s="15"/>
      <x:c r="D169" s="15"/>
      <x:c r="E169" s="15"/>
      <x:c r="F169" s="15"/>
      <x:c r="G169" s="15"/>
      <x:c r="H169" s="15"/>
      <x:c r="I169" s="15"/>
      <x:c r="J169" s="28"/>
      <x:c r="K169" s="222" t="str">
        <x:f>IF(COUNTA(B169:J169)=0,"",IF(H169="Closed","",TODAY()-B169))</x:f>
      </x:c>
      <x:c r="L169" s="15"/>
      <x:c r="M169" s="15"/>
    </x:row>
    <x:row r="170" ht="20" customHeight="1">
      <x:c r="A170" s="15"/>
      <x:c r="B170" s="28"/>
      <x:c r="C170" s="15"/>
      <x:c r="D170" s="15"/>
      <x:c r="E170" s="15"/>
      <x:c r="F170" s="15"/>
      <x:c r="G170" s="15"/>
      <x:c r="H170" s="15"/>
      <x:c r="I170" s="15"/>
      <x:c r="J170" s="28"/>
      <x:c r="K170" s="222" t="str">
        <x:f>IF(COUNTA(B170:J170)=0,"",IF(H170="Closed","",TODAY()-B170))</x:f>
      </x:c>
      <x:c r="L170" s="15"/>
      <x:c r="M170" s="15"/>
    </x:row>
    <x:row r="171" ht="20" customHeight="1">
      <x:c r="A171" s="15"/>
      <x:c r="B171" s="28"/>
      <x:c r="C171" s="15"/>
      <x:c r="D171" s="15"/>
      <x:c r="E171" s="15"/>
      <x:c r="F171" s="15"/>
      <x:c r="G171" s="15"/>
      <x:c r="H171" s="15"/>
      <x:c r="I171" s="15"/>
      <x:c r="J171" s="28"/>
      <x:c r="K171" s="222" t="str">
        <x:f>IF(COUNTA(B171:J171)=0,"",IF(H171="Closed","",TODAY()-B171))</x:f>
      </x:c>
      <x:c r="L171" s="15"/>
      <x:c r="M171" s="15"/>
    </x:row>
    <x:row r="172" ht="20" customHeight="1">
      <x:c r="A172" s="15"/>
      <x:c r="B172" s="28"/>
      <x:c r="C172" s="15"/>
      <x:c r="D172" s="15"/>
      <x:c r="E172" s="15"/>
      <x:c r="F172" s="15"/>
      <x:c r="G172" s="15"/>
      <x:c r="H172" s="15"/>
      <x:c r="I172" s="15"/>
      <x:c r="J172" s="28"/>
      <x:c r="K172" s="222" t="str">
        <x:f>IF(COUNTA(B172:J172)=0,"",IF(H172="Closed","",TODAY()-B172))</x:f>
      </x:c>
      <x:c r="L172" s="15"/>
      <x:c r="M172" s="15"/>
    </x:row>
    <x:row r="173" ht="20" customHeight="1">
      <x:c r="A173" s="15"/>
      <x:c r="B173" s="28"/>
      <x:c r="C173" s="15"/>
      <x:c r="D173" s="15"/>
      <x:c r="E173" s="15"/>
      <x:c r="F173" s="15"/>
      <x:c r="G173" s="15"/>
      <x:c r="H173" s="15"/>
      <x:c r="I173" s="15"/>
      <x:c r="J173" s="28"/>
      <x:c r="K173" s="222" t="str">
        <x:f>IF(COUNTA(B173:J173)=0,"",IF(H173="Closed","",TODAY()-B173))</x:f>
      </x:c>
      <x:c r="L173" s="15"/>
      <x:c r="M173" s="15"/>
    </x:row>
    <x:row r="174" ht="20" customHeight="1">
      <x:c r="A174" s="15"/>
      <x:c r="B174" s="28"/>
      <x:c r="C174" s="15"/>
      <x:c r="D174" s="15"/>
      <x:c r="E174" s="15"/>
      <x:c r="F174" s="15"/>
      <x:c r="G174" s="15"/>
      <x:c r="H174" s="15"/>
      <x:c r="I174" s="15"/>
      <x:c r="J174" s="28"/>
      <x:c r="K174" s="222" t="str">
        <x:f>IF(COUNTA(B174:J174)=0,"",IF(H174="Closed","",TODAY()-B174))</x:f>
      </x:c>
      <x:c r="L174" s="15"/>
      <x:c r="M174" s="15"/>
    </x:row>
    <x:row r="175" ht="20" customHeight="1">
      <x:c r="A175" s="15"/>
      <x:c r="B175" s="28"/>
      <x:c r="C175" s="15"/>
      <x:c r="D175" s="15"/>
      <x:c r="E175" s="15"/>
      <x:c r="F175" s="15"/>
      <x:c r="G175" s="15"/>
      <x:c r="H175" s="15"/>
      <x:c r="I175" s="15"/>
      <x:c r="J175" s="28"/>
      <x:c r="K175" s="222" t="str">
        <x:f>IF(COUNTA(B175:J175)=0,"",IF(H175="Closed","",TODAY()-B175))</x:f>
      </x:c>
      <x:c r="L175" s="15"/>
      <x:c r="M175" s="15"/>
    </x:row>
    <x:row r="176" ht="20" customHeight="1">
      <x:c r="A176" s="15"/>
      <x:c r="B176" s="28"/>
      <x:c r="C176" s="15"/>
      <x:c r="D176" s="15"/>
      <x:c r="E176" s="15"/>
      <x:c r="F176" s="15"/>
      <x:c r="G176" s="15"/>
      <x:c r="H176" s="15"/>
      <x:c r="I176" s="15"/>
      <x:c r="J176" s="28"/>
      <x:c r="K176" s="222" t="str">
        <x:f>IF(COUNTA(B176:J176)=0,"",IF(H176="Closed","",TODAY()-B176))</x:f>
      </x:c>
      <x:c r="L176" s="15"/>
      <x:c r="M176" s="15"/>
    </x:row>
    <x:row r="177" ht="20" customHeight="1">
      <x:c r="A177" s="15"/>
      <x:c r="B177" s="28"/>
      <x:c r="C177" s="15"/>
      <x:c r="D177" s="15"/>
      <x:c r="E177" s="15"/>
      <x:c r="F177" s="15"/>
      <x:c r="G177" s="15"/>
      <x:c r="H177" s="15"/>
      <x:c r="I177" s="15"/>
      <x:c r="J177" s="28"/>
      <x:c r="K177" s="222" t="str">
        <x:f>IF(COUNTA(B177:J177)=0,"",IF(H177="Closed","",TODAY()-B177))</x:f>
      </x:c>
      <x:c r="L177" s="15"/>
      <x:c r="M177" s="15"/>
    </x:row>
    <x:row r="178" ht="20" customHeight="1">
      <x:c r="A178" s="15"/>
      <x:c r="B178" s="28"/>
      <x:c r="C178" s="15"/>
      <x:c r="D178" s="15"/>
      <x:c r="E178" s="15"/>
      <x:c r="F178" s="15"/>
      <x:c r="G178" s="15"/>
      <x:c r="H178" s="15"/>
      <x:c r="I178" s="15"/>
      <x:c r="J178" s="28"/>
      <x:c r="K178" s="222" t="str">
        <x:f>IF(COUNTA(B178:J178)=0,"",IF(H178="Closed","",TODAY()-B178))</x:f>
      </x:c>
      <x:c r="L178" s="15"/>
      <x:c r="M178" s="15"/>
    </x:row>
    <x:row r="179" ht="20" customHeight="1">
      <x:c r="A179" s="15"/>
      <x:c r="B179" s="28"/>
      <x:c r="C179" s="15"/>
      <x:c r="D179" s="15"/>
      <x:c r="E179" s="15"/>
      <x:c r="F179" s="15"/>
      <x:c r="G179" s="15"/>
      <x:c r="H179" s="15"/>
      <x:c r="I179" s="15"/>
      <x:c r="J179" s="28"/>
      <x:c r="K179" s="222" t="str">
        <x:f>IF(COUNTA(B179:J179)=0,"",IF(H179="Closed","",TODAY()-B179))</x:f>
      </x:c>
      <x:c r="L179" s="15"/>
      <x:c r="M179" s="15"/>
    </x:row>
    <x:row r="180" ht="20" customHeight="1">
      <x:c r="A180" s="15"/>
      <x:c r="B180" s="28"/>
      <x:c r="C180" s="15"/>
      <x:c r="D180" s="15"/>
      <x:c r="E180" s="15"/>
      <x:c r="F180" s="15"/>
      <x:c r="G180" s="15"/>
      <x:c r="H180" s="15"/>
      <x:c r="I180" s="15"/>
      <x:c r="J180" s="28"/>
      <x:c r="K180" s="222" t="str">
        <x:f>IF(COUNTA(B180:J180)=0,"",IF(H180="Closed","",TODAY()-B180))</x:f>
      </x:c>
      <x:c r="L180" s="15"/>
      <x:c r="M180" s="15"/>
    </x:row>
    <x:row r="181" ht="20" customHeight="1">
      <x:c r="A181" s="15"/>
      <x:c r="B181" s="28"/>
      <x:c r="C181" s="15"/>
      <x:c r="D181" s="15"/>
      <x:c r="E181" s="15"/>
      <x:c r="F181" s="15"/>
      <x:c r="G181" s="15"/>
      <x:c r="H181" s="15"/>
      <x:c r="I181" s="15"/>
      <x:c r="J181" s="28"/>
      <x:c r="K181" s="222" t="str">
        <x:f>IF(COUNTA(B181:J181)=0,"",IF(H181="Closed","",TODAY()-B181))</x:f>
      </x:c>
      <x:c r="L181" s="15"/>
      <x:c r="M181" s="15"/>
    </x:row>
    <x:row r="182" ht="20" customHeight="1">
      <x:c r="A182" s="15"/>
      <x:c r="B182" s="28"/>
      <x:c r="C182" s="15"/>
      <x:c r="D182" s="15"/>
      <x:c r="E182" s="15"/>
      <x:c r="F182" s="15"/>
      <x:c r="G182" s="15"/>
      <x:c r="H182" s="15"/>
      <x:c r="I182" s="15"/>
      <x:c r="J182" s="28"/>
      <x:c r="K182" s="222" t="str">
        <x:f>IF(COUNTA(B182:J182)=0,"",IF(H182="Closed","",TODAY()-B182))</x:f>
      </x:c>
      <x:c r="L182" s="15"/>
      <x:c r="M182" s="15"/>
    </x:row>
    <x:row r="183" ht="20" customHeight="1">
      <x:c r="A183" s="15"/>
      <x:c r="B183" s="28"/>
      <x:c r="C183" s="15"/>
      <x:c r="D183" s="15"/>
      <x:c r="E183" s="15"/>
      <x:c r="F183" s="15"/>
      <x:c r="G183" s="15"/>
      <x:c r="H183" s="15"/>
      <x:c r="I183" s="15"/>
      <x:c r="J183" s="28"/>
      <x:c r="K183" s="222" t="str">
        <x:f>IF(COUNTA(B183:J183)=0,"",IF(H183="Closed","",TODAY()-B183))</x:f>
      </x:c>
      <x:c r="L183" s="15"/>
      <x:c r="M183" s="15"/>
    </x:row>
    <x:row r="184" ht="20" customHeight="1">
      <x:c r="A184" s="15"/>
      <x:c r="B184" s="28"/>
      <x:c r="C184" s="15"/>
      <x:c r="D184" s="15"/>
      <x:c r="E184" s="15"/>
      <x:c r="F184" s="15"/>
      <x:c r="G184" s="15"/>
      <x:c r="H184" s="15"/>
      <x:c r="I184" s="15"/>
      <x:c r="J184" s="28"/>
      <x:c r="K184" s="222" t="str">
        <x:f>IF(COUNTA(B184:J184)=0,"",IF(H184="Closed","",TODAY()-B184))</x:f>
      </x:c>
      <x:c r="L184" s="15"/>
      <x:c r="M184" s="15"/>
    </x:row>
    <x:row r="185" ht="20" customHeight="1">
      <x:c r="A185" s="15"/>
      <x:c r="B185" s="28"/>
      <x:c r="C185" s="15"/>
      <x:c r="D185" s="15"/>
      <x:c r="E185" s="15"/>
      <x:c r="F185" s="15"/>
      <x:c r="G185" s="15"/>
      <x:c r="H185" s="15"/>
      <x:c r="I185" s="15"/>
      <x:c r="J185" s="28"/>
      <x:c r="K185" s="222" t="str">
        <x:f>IF(COUNTA(B185:J185)=0,"",IF(H185="Closed","",TODAY()-B185))</x:f>
      </x:c>
      <x:c r="L185" s="15"/>
      <x:c r="M185" s="15"/>
    </x:row>
    <x:row r="186" ht="20" customHeight="1">
      <x:c r="A186" s="15"/>
      <x:c r="B186" s="28"/>
      <x:c r="C186" s="15"/>
      <x:c r="D186" s="15"/>
      <x:c r="E186" s="15"/>
      <x:c r="F186" s="15"/>
      <x:c r="G186" s="15"/>
      <x:c r="H186" s="15"/>
      <x:c r="I186" s="15"/>
      <x:c r="J186" s="28"/>
      <x:c r="K186" s="222" t="str">
        <x:f>IF(COUNTA(B186:J186)=0,"",IF(H186="Closed","",TODAY()-B186))</x:f>
      </x:c>
      <x:c r="L186" s="15"/>
      <x:c r="M186" s="15"/>
    </x:row>
    <x:row r="187" ht="20" customHeight="1">
      <x:c r="A187" s="15"/>
      <x:c r="B187" s="28"/>
      <x:c r="C187" s="15"/>
      <x:c r="D187" s="15"/>
      <x:c r="E187" s="15"/>
      <x:c r="F187" s="15"/>
      <x:c r="G187" s="15"/>
      <x:c r="H187" s="15"/>
      <x:c r="I187" s="15"/>
      <x:c r="J187" s="28"/>
      <x:c r="K187" s="222" t="str">
        <x:f>IF(COUNTA(B187:J187)=0,"",IF(H187="Closed","",TODAY()-B187))</x:f>
      </x:c>
      <x:c r="L187" s="15"/>
      <x:c r="M187" s="15"/>
    </x:row>
    <x:row r="188" ht="20" customHeight="1">
      <x:c r="A188" s="15"/>
      <x:c r="B188" s="28"/>
      <x:c r="C188" s="15"/>
      <x:c r="D188" s="15"/>
      <x:c r="E188" s="15"/>
      <x:c r="F188" s="15"/>
      <x:c r="G188" s="15"/>
      <x:c r="H188" s="15"/>
      <x:c r="I188" s="15"/>
      <x:c r="J188" s="28"/>
      <x:c r="K188" s="222" t="str">
        <x:f>IF(COUNTA(B188:J188)=0,"",IF(H188="Closed","",TODAY()-B188))</x:f>
      </x:c>
      <x:c r="L188" s="15"/>
      <x:c r="M188" s="15"/>
    </x:row>
    <x:row r="189" ht="20" customHeight="1">
      <x:c r="A189" s="15"/>
      <x:c r="B189" s="28"/>
      <x:c r="C189" s="15"/>
      <x:c r="D189" s="15"/>
      <x:c r="E189" s="15"/>
      <x:c r="F189" s="15"/>
      <x:c r="G189" s="15"/>
      <x:c r="H189" s="15"/>
      <x:c r="I189" s="15"/>
      <x:c r="J189" s="28"/>
      <x:c r="K189" s="222" t="str">
        <x:f>IF(COUNTA(B189:J189)=0,"",IF(H189="Closed","",TODAY()-B189))</x:f>
      </x:c>
      <x:c r="L189" s="15"/>
      <x:c r="M189" s="15"/>
    </x:row>
    <x:row r="190" ht="20" customHeight="1">
      <x:c r="A190" s="15"/>
      <x:c r="B190" s="28"/>
      <x:c r="C190" s="15"/>
      <x:c r="D190" s="15"/>
      <x:c r="E190" s="15"/>
      <x:c r="F190" s="15"/>
      <x:c r="G190" s="15"/>
      <x:c r="H190" s="15"/>
      <x:c r="I190" s="15"/>
      <x:c r="J190" s="28"/>
      <x:c r="K190" s="222" t="str">
        <x:f>IF(COUNTA(B190:J190)=0,"",IF(H190="Closed","",TODAY()-B190))</x:f>
      </x:c>
      <x:c r="L190" s="15"/>
      <x:c r="M190" s="15"/>
    </x:row>
    <x:row r="191" ht="20" customHeight="1">
      <x:c r="A191" s="15"/>
      <x:c r="B191" s="28"/>
      <x:c r="C191" s="15"/>
      <x:c r="D191" s="15"/>
      <x:c r="E191" s="15"/>
      <x:c r="F191" s="15"/>
      <x:c r="G191" s="15"/>
      <x:c r="H191" s="15"/>
      <x:c r="I191" s="15"/>
      <x:c r="J191" s="28"/>
      <x:c r="K191" s="222" t="str">
        <x:f>IF(COUNTA(B191:J191)=0,"",IF(H191="Closed","",TODAY()-B191))</x:f>
      </x:c>
      <x:c r="L191" s="15"/>
      <x:c r="M191" s="15"/>
    </x:row>
    <x:row r="192" ht="20" customHeight="1">
      <x:c r="A192" s="15"/>
      <x:c r="B192" s="28"/>
      <x:c r="C192" s="15"/>
      <x:c r="D192" s="15"/>
      <x:c r="E192" s="15"/>
      <x:c r="F192" s="15"/>
      <x:c r="G192" s="15"/>
      <x:c r="H192" s="15"/>
      <x:c r="I192" s="15"/>
      <x:c r="J192" s="28"/>
      <x:c r="K192" s="222" t="str">
        <x:f>IF(COUNTA(B192:J192)=0,"",IF(H192="Closed","",TODAY()-B192))</x:f>
      </x:c>
      <x:c r="L192" s="15"/>
      <x:c r="M192" s="15"/>
    </x:row>
    <x:row r="193" ht="20" customHeight="1">
      <x:c r="A193" s="15"/>
      <x:c r="B193" s="28"/>
      <x:c r="C193" s="15"/>
      <x:c r="D193" s="15"/>
      <x:c r="E193" s="15"/>
      <x:c r="F193" s="15"/>
      <x:c r="G193" s="15"/>
      <x:c r="H193" s="15"/>
      <x:c r="I193" s="15"/>
      <x:c r="J193" s="28"/>
      <x:c r="K193" s="222" t="str">
        <x:f>IF(COUNTA(B193:J193)=0,"",IF(H193="Closed","",TODAY()-B193))</x:f>
      </x:c>
      <x:c r="L193" s="15"/>
      <x:c r="M193" s="15"/>
    </x:row>
    <x:row r="194" ht="20" customHeight="1">
      <x:c r="A194" s="15"/>
      <x:c r="B194" s="28"/>
      <x:c r="C194" s="15"/>
      <x:c r="D194" s="15"/>
      <x:c r="E194" s="15"/>
      <x:c r="F194" s="15"/>
      <x:c r="G194" s="15"/>
      <x:c r="H194" s="15"/>
      <x:c r="I194" s="15"/>
      <x:c r="J194" s="28"/>
      <x:c r="K194" s="222" t="str">
        <x:f>IF(COUNTA(B194:J194)=0,"",IF(H194="Closed","",TODAY()-B194))</x:f>
      </x:c>
      <x:c r="L194" s="15"/>
      <x:c r="M194" s="15"/>
    </x:row>
    <x:row r="195" ht="20" customHeight="1">
      <x:c r="A195" s="15"/>
      <x:c r="B195" s="28"/>
      <x:c r="C195" s="15"/>
      <x:c r="D195" s="15"/>
      <x:c r="E195" s="15"/>
      <x:c r="F195" s="15"/>
      <x:c r="G195" s="15"/>
      <x:c r="H195" s="15"/>
      <x:c r="I195" s="15"/>
      <x:c r="J195" s="28"/>
      <x:c r="K195" s="222" t="str">
        <x:f>IF(COUNTA(B195:J195)=0,"",IF(H195="Closed","",TODAY()-B195))</x:f>
      </x:c>
      <x:c r="L195" s="15"/>
      <x:c r="M195" s="15"/>
    </x:row>
    <x:row r="196" ht="20" customHeight="1">
      <x:c r="A196" s="15"/>
      <x:c r="B196" s="28"/>
      <x:c r="C196" s="15"/>
      <x:c r="D196" s="15"/>
      <x:c r="E196" s="15"/>
      <x:c r="F196" s="15"/>
      <x:c r="G196" s="15"/>
      <x:c r="H196" s="15"/>
      <x:c r="I196" s="15"/>
      <x:c r="J196" s="28"/>
      <x:c r="K196" s="222" t="str">
        <x:f>IF(COUNTA(B196:J196)=0,"",IF(H196="Closed","",TODAY()-B196))</x:f>
      </x:c>
      <x:c r="L196" s="15"/>
      <x:c r="M196" s="15"/>
    </x:row>
    <x:row r="197" ht="20" customHeight="1">
      <x:c r="A197" s="15"/>
      <x:c r="B197" s="28"/>
      <x:c r="C197" s="15"/>
      <x:c r="D197" s="15"/>
      <x:c r="E197" s="15"/>
      <x:c r="F197" s="15"/>
      <x:c r="G197" s="15"/>
      <x:c r="H197" s="15"/>
      <x:c r="I197" s="15"/>
      <x:c r="J197" s="28"/>
      <x:c r="K197" s="222" t="str">
        <x:f>IF(COUNTA(B197:J197)=0,"",IF(H197="Closed","",TODAY()-B197))</x:f>
      </x:c>
      <x:c r="L197" s="15"/>
      <x:c r="M197" s="15"/>
    </x:row>
    <x:row r="198" ht="20" customHeight="1">
      <x:c r="A198" s="15"/>
      <x:c r="B198" s="28"/>
      <x:c r="C198" s="15"/>
      <x:c r="D198" s="15"/>
      <x:c r="E198" s="15"/>
      <x:c r="F198" s="15"/>
      <x:c r="G198" s="15"/>
      <x:c r="H198" s="15"/>
      <x:c r="I198" s="15"/>
      <x:c r="J198" s="28"/>
      <x:c r="K198" s="222" t="str">
        <x:f>IF(COUNTA(B198:J198)=0,"",IF(H198="Closed","",TODAY()-B198))</x:f>
      </x:c>
      <x:c r="L198" s="15"/>
      <x:c r="M198" s="15"/>
    </x:row>
    <x:row r="199" ht="20" customHeight="1">
      <x:c r="A199" s="15"/>
      <x:c r="B199" s="28"/>
      <x:c r="C199" s="15"/>
      <x:c r="D199" s="15"/>
      <x:c r="E199" s="15"/>
      <x:c r="F199" s="15"/>
      <x:c r="G199" s="15"/>
      <x:c r="H199" s="15"/>
      <x:c r="I199" s="15"/>
      <x:c r="J199" s="28"/>
      <x:c r="K199" s="222" t="str">
        <x:f>IF(COUNTA(B199:J199)=0,"",IF(H199="Closed","",TODAY()-B199))</x:f>
      </x:c>
      <x:c r="L199" s="15"/>
      <x:c r="M199" s="15"/>
    </x:row>
    <x:row r="200" ht="20" customHeight="1">
      <x:c r="A200" s="15"/>
      <x:c r="B200" s="28"/>
      <x:c r="C200" s="15"/>
      <x:c r="D200" s="15"/>
      <x:c r="E200" s="15"/>
      <x:c r="F200" s="15"/>
      <x:c r="G200" s="15"/>
      <x:c r="H200" s="15"/>
      <x:c r="I200" s="15"/>
      <x:c r="J200" s="28"/>
      <x:c r="K200" s="222" t="str">
        <x:f>IF(COUNTA(B200:J200)=0,"",IF(H200="Closed","",TODAY()-B200))</x:f>
      </x:c>
      <x:c r="L200" s="15"/>
      <x:c r="M200" s="15"/>
    </x:row>
    <x:row r="201" ht="20" customHeight="1">
      <x:c r="A201" s="15"/>
      <x:c r="B201" s="28"/>
      <x:c r="C201" s="15"/>
      <x:c r="D201" s="15"/>
      <x:c r="E201" s="15"/>
      <x:c r="F201" s="15"/>
      <x:c r="G201" s="15"/>
      <x:c r="H201" s="15"/>
      <x:c r="I201" s="15"/>
      <x:c r="J201" s="28"/>
      <x:c r="K201" s="222" t="str">
        <x:f>IF(COUNTA(B201:J201)=0,"",IF(H201="Closed","",TODAY()-B201))</x:f>
      </x:c>
      <x:c r="L201" s="15"/>
      <x:c r="M201" s="15"/>
    </x:row>
    <x:row r="202" ht="20" customHeight="1">
      <x:c r="A202" s="15"/>
      <x:c r="B202" s="28"/>
      <x:c r="C202" s="15"/>
      <x:c r="D202" s="15"/>
      <x:c r="E202" s="15"/>
      <x:c r="F202" s="15"/>
      <x:c r="G202" s="15"/>
      <x:c r="H202" s="15"/>
      <x:c r="I202" s="15"/>
      <x:c r="J202" s="28"/>
      <x:c r="K202" s="222" t="str">
        <x:f>IF(COUNTA(B202:J202)=0,"",IF(H202="Closed","",TODAY()-B202))</x:f>
      </x:c>
      <x:c r="L202" s="15"/>
      <x:c r="M202" s="15"/>
    </x:row>
    <x:row r="203" ht="20" customHeight="1">
      <x:c r="A203" s="15"/>
      <x:c r="B203" s="28"/>
      <x:c r="C203" s="15"/>
      <x:c r="D203" s="15"/>
      <x:c r="E203" s="15"/>
      <x:c r="F203" s="15"/>
      <x:c r="G203" s="15"/>
      <x:c r="H203" s="15"/>
      <x:c r="I203" s="15"/>
      <x:c r="J203" s="28"/>
      <x:c r="K203" s="222" t="str">
        <x:f>IF(COUNTA(B203:J203)=0,"",IF(H203="Closed","",TODAY()-B203))</x:f>
      </x:c>
      <x:c r="L203" s="15"/>
      <x:c r="M203" s="15"/>
    </x:row>
    <x:row r="204" ht="20" customHeight="1">
      <x:c r="A204" s="15"/>
      <x:c r="B204" s="28"/>
      <x:c r="C204" s="15"/>
      <x:c r="D204" s="15"/>
      <x:c r="E204" s="15"/>
      <x:c r="F204" s="15"/>
      <x:c r="G204" s="15"/>
      <x:c r="H204" s="15"/>
      <x:c r="I204" s="15"/>
      <x:c r="J204" s="28"/>
      <x:c r="K204" s="222" t="str">
        <x:f>IF(COUNTA(B204:J204)=0,"",IF(H204="Closed","",TODAY()-B204))</x:f>
      </x:c>
      <x:c r="L204" s="15"/>
      <x:c r="M204" s="15"/>
    </x:row>
    <x:row r="205" ht="20" customHeight="1">
      <x:c r="A205" s="15"/>
      <x:c r="B205" s="28"/>
      <x:c r="C205" s="15"/>
      <x:c r="D205" s="15"/>
      <x:c r="E205" s="15"/>
      <x:c r="F205" s="15"/>
      <x:c r="G205" s="15"/>
      <x:c r="H205" s="15"/>
      <x:c r="I205" s="15"/>
      <x:c r="J205" s="28"/>
      <x:c r="K205" s="222" t="str">
        <x:f>IF(COUNTA(B205:J205)=0,"",IF(H205="Closed","",TODAY()-B205))</x:f>
      </x:c>
      <x:c r="L205" s="15"/>
      <x:c r="M205" s="15"/>
    </x:row>
    <x:row r="206" ht="20" customHeight="1">
      <x:c r="A206" s="15"/>
      <x:c r="B206" s="28"/>
      <x:c r="C206" s="15"/>
      <x:c r="D206" s="15"/>
      <x:c r="E206" s="15"/>
      <x:c r="F206" s="15"/>
      <x:c r="G206" s="15"/>
      <x:c r="H206" s="15"/>
      <x:c r="I206" s="15"/>
      <x:c r="J206" s="28"/>
      <x:c r="K206" s="222" t="str">
        <x:f>IF(COUNTA(B206:J206)=0,"",IF(H206="Closed","",TODAY()-B206))</x:f>
      </x:c>
      <x:c r="L206" s="15"/>
      <x:c r="M206" s="15"/>
    </x:row>
    <x:row r="207" ht="20" customHeight="1">
      <x:c r="A207" s="15"/>
      <x:c r="B207" s="28"/>
      <x:c r="C207" s="15"/>
      <x:c r="D207" s="15"/>
      <x:c r="E207" s="15"/>
      <x:c r="F207" s="15"/>
      <x:c r="G207" s="15"/>
      <x:c r="H207" s="15"/>
      <x:c r="I207" s="15"/>
      <x:c r="J207" s="28"/>
      <x:c r="K207" s="222" t="str">
        <x:f>IF(COUNTA(B207:J207)=0,"",IF(H207="Closed","",TODAY()-B207))</x:f>
      </x:c>
      <x:c r="L207" s="15"/>
      <x:c r="M207" s="15"/>
    </x:row>
    <x:row r="208" ht="20" customHeight="1">
      <x:c r="A208" s="15"/>
      <x:c r="B208" s="28"/>
      <x:c r="C208" s="15"/>
      <x:c r="D208" s="15"/>
      <x:c r="E208" s="15"/>
      <x:c r="F208" s="15"/>
      <x:c r="G208" s="15"/>
      <x:c r="H208" s="15"/>
      <x:c r="I208" s="15"/>
      <x:c r="J208" s="28"/>
      <x:c r="K208" s="222" t="str">
        <x:f>IF(COUNTA(B208:J208)=0,"",IF(H208="Closed","",TODAY()-B208))</x:f>
      </x:c>
      <x:c r="L208" s="15"/>
      <x:c r="M208" s="15"/>
    </x:row>
    <x:row r="209" ht="20" customHeight="1">
      <x:c r="A209" s="15"/>
      <x:c r="B209" s="28"/>
      <x:c r="C209" s="15"/>
      <x:c r="D209" s="15"/>
      <x:c r="E209" s="15"/>
      <x:c r="F209" s="15"/>
      <x:c r="G209" s="15"/>
      <x:c r="H209" s="15"/>
      <x:c r="I209" s="15"/>
      <x:c r="J209" s="28"/>
      <x:c r="K209" s="222" t="str">
        <x:f>IF(COUNTA(B209:J209)=0,"",IF(H209="Closed","",TODAY()-B209))</x:f>
      </x:c>
      <x:c r="L209" s="15"/>
      <x:c r="M209" s="15"/>
    </x:row>
    <x:row r="210" ht="20" customHeight="1">
      <x:c r="A210" s="15"/>
      <x:c r="B210" s="28"/>
      <x:c r="C210" s="15"/>
      <x:c r="D210" s="15"/>
      <x:c r="E210" s="15"/>
      <x:c r="F210" s="15"/>
      <x:c r="G210" s="15"/>
      <x:c r="H210" s="15"/>
      <x:c r="I210" s="15"/>
      <x:c r="J210" s="28"/>
      <x:c r="K210" s="222" t="str">
        <x:f>IF(COUNTA(B210:J210)=0,"",IF(H210="Closed","",TODAY()-B210))</x:f>
      </x:c>
      <x:c r="L210" s="15"/>
      <x:c r="M210" s="15"/>
    </x:row>
    <x:row r="211" ht="20" customHeight="1">
      <x:c r="A211" s="15"/>
      <x:c r="B211" s="28"/>
      <x:c r="C211" s="15"/>
      <x:c r="D211" s="15"/>
      <x:c r="E211" s="15"/>
      <x:c r="F211" s="15"/>
      <x:c r="G211" s="15"/>
      <x:c r="H211" s="15"/>
      <x:c r="I211" s="15"/>
      <x:c r="J211" s="28"/>
      <x:c r="K211" s="222" t="str">
        <x:f>IF(COUNTA(B211:J211)=0,"",IF(H211="Closed","",TODAY()-B211))</x:f>
      </x:c>
      <x:c r="L211" s="15"/>
      <x:c r="M211" s="15"/>
    </x:row>
    <x:row r="212" ht="20" customHeight="1">
      <x:c r="A212" s="15"/>
      <x:c r="B212" s="28"/>
      <x:c r="C212" s="15"/>
      <x:c r="D212" s="15"/>
      <x:c r="E212" s="15"/>
      <x:c r="F212" s="15"/>
      <x:c r="G212" s="15"/>
      <x:c r="H212" s="15"/>
      <x:c r="I212" s="15"/>
      <x:c r="J212" s="28"/>
      <x:c r="K212" s="222" t="str">
        <x:f>IF(COUNTA(B212:J212)=0,"",IF(H212="Closed","",TODAY()-B212))</x:f>
      </x:c>
      <x:c r="L212" s="15"/>
      <x:c r="M212" s="15"/>
    </x:row>
    <x:row r="213" ht="20" customHeight="1">
      <x:c r="A213" s="15"/>
      <x:c r="B213" s="28"/>
      <x:c r="C213" s="15"/>
      <x:c r="D213" s="15"/>
      <x:c r="E213" s="15"/>
      <x:c r="F213" s="15"/>
      <x:c r="G213" s="15"/>
      <x:c r="H213" s="15"/>
      <x:c r="I213" s="15"/>
      <x:c r="J213" s="28"/>
      <x:c r="K213" s="222" t="str">
        <x:f>IF(COUNTA(B213:J213)=0,"",IF(H213="Closed","",TODAY()-B213))</x:f>
      </x:c>
      <x:c r="L213" s="15"/>
      <x:c r="M213" s="15"/>
    </x:row>
    <x:row r="214" ht="20" customHeight="1">
      <x:c r="A214" s="15"/>
      <x:c r="B214" s="28"/>
      <x:c r="C214" s="15"/>
      <x:c r="D214" s="15"/>
      <x:c r="E214" s="15"/>
      <x:c r="F214" s="15"/>
      <x:c r="G214" s="15"/>
      <x:c r="H214" s="15"/>
      <x:c r="I214" s="15"/>
      <x:c r="J214" s="28"/>
      <x:c r="K214" s="222" t="str">
        <x:f>IF(COUNTA(B214:J214)=0,"",IF(H214="Closed","",TODAY()-B214))</x:f>
      </x:c>
      <x:c r="L214" s="15"/>
      <x:c r="M214" s="15"/>
    </x:row>
    <x:row r="215" ht="20" customHeight="1">
      <x:c r="A215" s="15"/>
      <x:c r="B215" s="28"/>
      <x:c r="C215" s="15"/>
      <x:c r="D215" s="15"/>
      <x:c r="E215" s="15"/>
      <x:c r="F215" s="15"/>
      <x:c r="G215" s="15"/>
      <x:c r="H215" s="15"/>
      <x:c r="I215" s="15"/>
      <x:c r="J215" s="28"/>
      <x:c r="K215" s="222" t="str">
        <x:f>IF(COUNTA(B215:J215)=0,"",IF(H215="Closed","",TODAY()-B215))</x:f>
      </x:c>
      <x:c r="L215" s="15"/>
      <x:c r="M215" s="15"/>
    </x:row>
    <x:row r="216" ht="20" customHeight="1">
      <x:c r="A216" s="15"/>
      <x:c r="B216" s="28"/>
      <x:c r="C216" s="15"/>
      <x:c r="D216" s="15"/>
      <x:c r="E216" s="15"/>
      <x:c r="F216" s="15"/>
      <x:c r="G216" s="15"/>
      <x:c r="H216" s="15"/>
      <x:c r="I216" s="15"/>
      <x:c r="J216" s="28"/>
      <x:c r="K216" s="222" t="str">
        <x:f>IF(COUNTA(B216:J216)=0,"",IF(H216="Closed","",TODAY()-B216))</x:f>
      </x:c>
      <x:c r="L216" s="15"/>
      <x:c r="M216" s="15"/>
    </x:row>
    <x:row r="217" ht="20" customHeight="1">
      <x:c r="A217" s="15"/>
      <x:c r="B217" s="28"/>
      <x:c r="C217" s="15"/>
      <x:c r="D217" s="15"/>
      <x:c r="E217" s="15"/>
      <x:c r="F217" s="15"/>
      <x:c r="G217" s="15"/>
      <x:c r="H217" s="15"/>
      <x:c r="I217" s="15"/>
      <x:c r="J217" s="28"/>
      <x:c r="K217" s="222" t="str">
        <x:f>IF(COUNTA(B217:J217)=0,"",IF(H217="Closed","",TODAY()-B217))</x:f>
      </x:c>
      <x:c r="L217" s="15"/>
      <x:c r="M217" s="15"/>
    </x:row>
    <x:row r="218" ht="20" customHeight="1">
      <x:c r="A218" s="15"/>
      <x:c r="B218" s="28"/>
      <x:c r="C218" s="15"/>
      <x:c r="D218" s="15"/>
      <x:c r="E218" s="15"/>
      <x:c r="F218" s="15"/>
      <x:c r="G218" s="15"/>
      <x:c r="H218" s="15"/>
      <x:c r="I218" s="15"/>
      <x:c r="J218" s="28"/>
      <x:c r="K218" s="222" t="str">
        <x:f>IF(COUNTA(B218:J218)=0,"",IF(H218="Closed","",TODAY()-B218))</x:f>
      </x:c>
      <x:c r="L218" s="15"/>
      <x:c r="M218" s="15"/>
    </x:row>
    <x:row r="219" ht="20" customHeight="1">
      <x:c r="A219" s="15"/>
      <x:c r="B219" s="28"/>
      <x:c r="C219" s="15"/>
      <x:c r="D219" s="15"/>
      <x:c r="E219" s="15"/>
      <x:c r="F219" s="15"/>
      <x:c r="G219" s="15"/>
      <x:c r="H219" s="15"/>
      <x:c r="I219" s="15"/>
      <x:c r="J219" s="28"/>
      <x:c r="K219" s="222" t="str">
        <x:f>IF(COUNTA(B219:J219)=0,"",IF(H219="Closed","",TODAY()-B219))</x:f>
      </x:c>
      <x:c r="L219" s="15"/>
      <x:c r="M219" s="15"/>
    </x:row>
    <x:row r="220" ht="20" customHeight="1">
      <x:c r="A220" s="15"/>
      <x:c r="B220" s="28"/>
      <x:c r="C220" s="15"/>
      <x:c r="D220" s="15"/>
      <x:c r="E220" s="15"/>
      <x:c r="F220" s="15"/>
      <x:c r="G220" s="15"/>
      <x:c r="H220" s="15"/>
      <x:c r="I220" s="15"/>
      <x:c r="J220" s="28"/>
      <x:c r="K220" s="222" t="str">
        <x:f>IF(COUNTA(B220:J220)=0,"",IF(H220="Closed","",TODAY()-B220))</x:f>
      </x:c>
      <x:c r="L220" s="15"/>
      <x:c r="M220" s="15"/>
    </x:row>
    <x:row r="221" ht="20" customHeight="1">
      <x:c r="A221" s="15"/>
      <x:c r="B221" s="28"/>
      <x:c r="C221" s="15"/>
      <x:c r="D221" s="15"/>
      <x:c r="E221" s="15"/>
      <x:c r="F221" s="15"/>
      <x:c r="G221" s="15"/>
      <x:c r="H221" s="15"/>
      <x:c r="I221" s="15"/>
      <x:c r="J221" s="28"/>
      <x:c r="K221" s="222" t="str">
        <x:f>IF(COUNTA(B221:J221)=0,"",IF(H221="Closed","",TODAY()-B221))</x:f>
      </x:c>
      <x:c r="L221" s="15"/>
      <x:c r="M221" s="15"/>
    </x:row>
    <x:row r="222" ht="20" customHeight="1">
      <x:c r="A222" s="15"/>
      <x:c r="B222" s="28"/>
      <x:c r="C222" s="15"/>
      <x:c r="D222" s="15"/>
      <x:c r="E222" s="15"/>
      <x:c r="F222" s="15"/>
      <x:c r="G222" s="15"/>
      <x:c r="H222" s="15"/>
      <x:c r="I222" s="15"/>
      <x:c r="J222" s="28"/>
      <x:c r="K222" s="222" t="str">
        <x:f>IF(COUNTA(B222:J222)=0,"",IF(H222="Closed","",TODAY()-B222))</x:f>
      </x:c>
      <x:c r="L222" s="15"/>
      <x:c r="M222" s="15"/>
    </x:row>
    <x:row r="223" ht="20" customHeight="1">
      <x:c r="A223" s="15"/>
      <x:c r="B223" s="28"/>
      <x:c r="C223" s="15"/>
      <x:c r="D223" s="15"/>
      <x:c r="E223" s="15"/>
      <x:c r="F223" s="15"/>
      <x:c r="G223" s="15"/>
      <x:c r="H223" s="15"/>
      <x:c r="I223" s="15"/>
      <x:c r="J223" s="28"/>
      <x:c r="K223" s="222" t="str">
        <x:f>IF(COUNTA(B223:J223)=0,"",IF(H223="Closed","",TODAY()-B223))</x:f>
      </x:c>
      <x:c r="L223" s="15"/>
      <x:c r="M223" s="15"/>
    </x:row>
    <x:row r="224" ht="20" customHeight="1">
      <x:c r="A224" s="15"/>
      <x:c r="B224" s="28"/>
      <x:c r="C224" s="15"/>
      <x:c r="D224" s="15"/>
      <x:c r="E224" s="15"/>
      <x:c r="F224" s="15"/>
      <x:c r="G224" s="15"/>
      <x:c r="H224" s="15"/>
      <x:c r="I224" s="15"/>
      <x:c r="J224" s="28"/>
      <x:c r="K224" s="222" t="str">
        <x:f>IF(COUNTA(B224:J224)=0,"",IF(H224="Closed","",TODAY()-B224))</x:f>
      </x:c>
      <x:c r="L224" s="15"/>
      <x:c r="M224" s="15"/>
    </x:row>
    <x:row r="225" ht="20" customHeight="1">
      <x:c r="A225" s="15"/>
      <x:c r="B225" s="28"/>
      <x:c r="C225" s="15"/>
      <x:c r="D225" s="15"/>
      <x:c r="E225" s="15"/>
      <x:c r="F225" s="15"/>
      <x:c r="G225" s="15"/>
      <x:c r="H225" s="15"/>
      <x:c r="I225" s="15"/>
      <x:c r="J225" s="28"/>
      <x:c r="K225" s="222" t="str">
        <x:f>IF(COUNTA(B225:J225)=0,"",IF(H225="Closed","",TODAY()-B225))</x:f>
      </x:c>
      <x:c r="L225" s="15"/>
      <x:c r="M225" s="15"/>
    </x:row>
    <x:row r="226" ht="20" customHeight="1">
      <x:c r="A226" s="15"/>
      <x:c r="B226" s="28"/>
      <x:c r="C226" s="15"/>
      <x:c r="D226" s="15"/>
      <x:c r="E226" s="15"/>
      <x:c r="F226" s="15"/>
      <x:c r="G226" s="15"/>
      <x:c r="H226" s="15"/>
      <x:c r="I226" s="15"/>
      <x:c r="J226" s="28"/>
      <x:c r="K226" s="222" t="str">
        <x:f>IF(COUNTA(B226:J226)=0,"",IF(H226="Closed","",TODAY()-B226))</x:f>
      </x:c>
      <x:c r="L226" s="15"/>
      <x:c r="M226" s="15"/>
    </x:row>
    <x:row r="227" ht="20" customHeight="1">
      <x:c r="A227" s="15"/>
      <x:c r="B227" s="28"/>
      <x:c r="C227" s="15"/>
      <x:c r="D227" s="15"/>
      <x:c r="E227" s="15"/>
      <x:c r="F227" s="15"/>
      <x:c r="G227" s="15"/>
      <x:c r="H227" s="15"/>
      <x:c r="I227" s="15"/>
      <x:c r="J227" s="28"/>
      <x:c r="K227" s="222" t="str">
        <x:f>IF(COUNTA(B227:J227)=0,"",IF(H227="Closed","",TODAY()-B227))</x:f>
      </x:c>
      <x:c r="L227" s="15"/>
      <x:c r="M227" s="15"/>
    </x:row>
    <x:row r="228" ht="20" customHeight="1">
      <x:c r="A228" s="15"/>
      <x:c r="B228" s="28"/>
      <x:c r="C228" s="15"/>
      <x:c r="D228" s="15"/>
      <x:c r="E228" s="15"/>
      <x:c r="F228" s="15"/>
      <x:c r="G228" s="15"/>
      <x:c r="H228" s="15"/>
      <x:c r="I228" s="15"/>
      <x:c r="J228" s="28"/>
      <x:c r="K228" s="222" t="str">
        <x:f>IF(COUNTA(B228:J228)=0,"",IF(H228="Closed","",TODAY()-B228))</x:f>
      </x:c>
      <x:c r="L228" s="15"/>
      <x:c r="M228" s="15"/>
    </x:row>
    <x:row r="229" ht="20" customHeight="1">
      <x:c r="A229" s="15"/>
      <x:c r="B229" s="28"/>
      <x:c r="C229" s="15"/>
      <x:c r="D229" s="15"/>
      <x:c r="E229" s="15"/>
      <x:c r="F229" s="15"/>
      <x:c r="G229" s="15"/>
      <x:c r="H229" s="15"/>
      <x:c r="I229" s="15"/>
      <x:c r="J229" s="28"/>
      <x:c r="K229" s="222" t="str">
        <x:f>IF(COUNTA(B229:J229)=0,"",IF(H229="Closed","",TODAY()-B229))</x:f>
      </x:c>
      <x:c r="L229" s="15"/>
      <x:c r="M229" s="15"/>
    </x:row>
    <x:row r="230" ht="20" customHeight="1">
      <x:c r="A230" s="15"/>
      <x:c r="B230" s="28"/>
      <x:c r="C230" s="15"/>
      <x:c r="D230" s="15"/>
      <x:c r="E230" s="15"/>
      <x:c r="F230" s="15"/>
      <x:c r="G230" s="15"/>
      <x:c r="H230" s="15"/>
      <x:c r="I230" s="15"/>
      <x:c r="J230" s="28"/>
      <x:c r="K230" s="222" t="str">
        <x:f>IF(COUNTA(B230:J230)=0,"",IF(H230="Closed","",TODAY()-B230))</x:f>
      </x:c>
      <x:c r="L230" s="15"/>
      <x:c r="M230" s="15"/>
    </x:row>
    <x:row r="231" ht="20" customHeight="1">
      <x:c r="A231" s="15"/>
      <x:c r="B231" s="28"/>
      <x:c r="C231" s="15"/>
      <x:c r="D231" s="15"/>
      <x:c r="E231" s="15"/>
      <x:c r="F231" s="15"/>
      <x:c r="G231" s="15"/>
      <x:c r="H231" s="15"/>
      <x:c r="I231" s="15"/>
      <x:c r="J231" s="28"/>
      <x:c r="K231" s="222" t="str">
        <x:f>IF(COUNTA(B231:J231)=0,"",IF(H231="Closed","",TODAY()-B231))</x:f>
      </x:c>
      <x:c r="L231" s="15"/>
      <x:c r="M231" s="15"/>
    </x:row>
    <x:row r="232" ht="20" customHeight="1">
      <x:c r="A232" s="15"/>
      <x:c r="B232" s="28"/>
      <x:c r="C232" s="15"/>
      <x:c r="D232" s="15"/>
      <x:c r="E232" s="15"/>
      <x:c r="F232" s="15"/>
      <x:c r="G232" s="15"/>
      <x:c r="H232" s="15"/>
      <x:c r="I232" s="15"/>
      <x:c r="J232" s="28"/>
      <x:c r="K232" s="222" t="str">
        <x:f>IF(COUNTA(B232:J232)=0,"",IF(H232="Closed","",TODAY()-B232))</x:f>
      </x:c>
      <x:c r="L232" s="15"/>
      <x:c r="M232" s="15"/>
    </x:row>
    <x:row r="233" ht="20" customHeight="1">
      <x:c r="A233" s="15"/>
      <x:c r="B233" s="28"/>
      <x:c r="C233" s="15"/>
      <x:c r="D233" s="15"/>
      <x:c r="E233" s="15"/>
      <x:c r="F233" s="15"/>
      <x:c r="G233" s="15"/>
      <x:c r="H233" s="15"/>
      <x:c r="I233" s="15"/>
      <x:c r="J233" s="28"/>
      <x:c r="K233" s="222" t="str">
        <x:f>IF(COUNTA(B233:J233)=0,"",IF(H233="Closed","",TODAY()-B233))</x:f>
      </x:c>
      <x:c r="L233" s="15"/>
      <x:c r="M233" s="15"/>
    </x:row>
    <x:row r="234" ht="20" customHeight="1">
      <x:c r="A234" s="15"/>
      <x:c r="B234" s="28"/>
      <x:c r="C234" s="15"/>
      <x:c r="D234" s="15"/>
      <x:c r="E234" s="15"/>
      <x:c r="F234" s="15"/>
      <x:c r="G234" s="15"/>
      <x:c r="H234" s="15"/>
      <x:c r="I234" s="15"/>
      <x:c r="J234" s="28"/>
      <x:c r="K234" s="222" t="str">
        <x:f>IF(COUNTA(B234:J234)=0,"",IF(H234="Closed","",TODAY()-B234))</x:f>
      </x:c>
      <x:c r="L234" s="15"/>
      <x:c r="M234" s="15"/>
    </x:row>
    <x:row r="235" ht="20" customHeight="1">
      <x:c r="A235" s="15"/>
      <x:c r="B235" s="28"/>
      <x:c r="C235" s="15"/>
      <x:c r="D235" s="15"/>
      <x:c r="E235" s="15"/>
      <x:c r="F235" s="15"/>
      <x:c r="G235" s="15"/>
      <x:c r="H235" s="15"/>
      <x:c r="I235" s="15"/>
      <x:c r="J235" s="28"/>
      <x:c r="K235" s="222" t="str">
        <x:f>IF(COUNTA(B235:J235)=0,"",IF(H235="Closed","",TODAY()-B235))</x:f>
      </x:c>
      <x:c r="L235" s="15"/>
      <x:c r="M235" s="15"/>
    </x:row>
    <x:row r="236" ht="20" customHeight="1">
      <x:c r="A236" s="15"/>
      <x:c r="B236" s="28"/>
      <x:c r="C236" s="15"/>
      <x:c r="D236" s="15"/>
      <x:c r="E236" s="15"/>
      <x:c r="F236" s="15"/>
      <x:c r="G236" s="15"/>
      <x:c r="H236" s="15"/>
      <x:c r="I236" s="15"/>
      <x:c r="J236" s="28"/>
      <x:c r="K236" s="222" t="str">
        <x:f>IF(COUNTA(B236:J236)=0,"",IF(H236="Closed","",TODAY()-B236))</x:f>
      </x:c>
      <x:c r="L236" s="15"/>
      <x:c r="M236" s="15"/>
    </x:row>
    <x:row r="237" ht="20" customHeight="1">
      <x:c r="A237" s="15"/>
      <x:c r="B237" s="28"/>
      <x:c r="C237" s="15"/>
      <x:c r="D237" s="15"/>
      <x:c r="E237" s="15"/>
      <x:c r="F237" s="15"/>
      <x:c r="G237" s="15"/>
      <x:c r="H237" s="15"/>
      <x:c r="I237" s="15"/>
      <x:c r="J237" s="28"/>
      <x:c r="K237" s="222" t="str">
        <x:f>IF(COUNTA(B237:J237)=0,"",IF(H237="Closed","",TODAY()-B237))</x:f>
      </x:c>
      <x:c r="L237" s="15"/>
      <x:c r="M237" s="15"/>
    </x:row>
    <x:row r="238" ht="20" customHeight="1">
      <x:c r="A238" s="15"/>
      <x:c r="B238" s="28"/>
      <x:c r="C238" s="15"/>
      <x:c r="D238" s="15"/>
      <x:c r="E238" s="15"/>
      <x:c r="F238" s="15"/>
      <x:c r="G238" s="15"/>
      <x:c r="H238" s="15"/>
      <x:c r="I238" s="15"/>
      <x:c r="J238" s="28"/>
      <x:c r="K238" s="222" t="str">
        <x:f>IF(COUNTA(B238:J238)=0,"",IF(H238="Closed","",TODAY()-B238))</x:f>
      </x:c>
      <x:c r="L238" s="15"/>
      <x:c r="M238" s="15"/>
    </x:row>
    <x:row r="239" ht="20" customHeight="1">
      <x:c r="A239" s="15"/>
      <x:c r="B239" s="28"/>
      <x:c r="C239" s="15"/>
      <x:c r="D239" s="15"/>
      <x:c r="E239" s="15"/>
      <x:c r="F239" s="15"/>
      <x:c r="G239" s="15"/>
      <x:c r="H239" s="15"/>
      <x:c r="I239" s="15"/>
      <x:c r="J239" s="28"/>
      <x:c r="K239" s="222" t="str">
        <x:f>IF(COUNTA(B239:J239)=0,"",IF(H239="Closed","",TODAY()-B239))</x:f>
      </x:c>
      <x:c r="L239" s="15"/>
      <x:c r="M239" s="15"/>
    </x:row>
    <x:row r="240" ht="20" customHeight="1">
      <x:c r="A240" s="15"/>
      <x:c r="B240" s="28"/>
      <x:c r="C240" s="15"/>
      <x:c r="D240" s="15"/>
      <x:c r="E240" s="15"/>
      <x:c r="F240" s="15"/>
      <x:c r="G240" s="15"/>
      <x:c r="H240" s="15"/>
      <x:c r="I240" s="15"/>
      <x:c r="J240" s="28"/>
      <x:c r="K240" s="222" t="str">
        <x:f>IF(COUNTA(B240:J240)=0,"",IF(H240="Closed","",TODAY()-B240))</x:f>
      </x:c>
      <x:c r="L240" s="15"/>
      <x:c r="M240" s="15"/>
    </x:row>
    <x:row r="241" ht="20" customHeight="1">
      <x:c r="A241" s="15"/>
      <x:c r="B241" s="28"/>
      <x:c r="C241" s="15"/>
      <x:c r="D241" s="15"/>
      <x:c r="E241" s="15"/>
      <x:c r="F241" s="15"/>
      <x:c r="G241" s="15"/>
      <x:c r="H241" s="15"/>
      <x:c r="I241" s="15"/>
      <x:c r="J241" s="28"/>
      <x:c r="K241" s="222" t="str">
        <x:f>IF(COUNTA(B241:J241)=0,"",IF(H241="Closed","",TODAY()-B241))</x:f>
      </x:c>
      <x:c r="L241" s="15"/>
      <x:c r="M241" s="15"/>
    </x:row>
    <x:row r="242" ht="20" customHeight="1">
      <x:c r="A242" s="15"/>
      <x:c r="B242" s="28"/>
      <x:c r="C242" s="15"/>
      <x:c r="D242" s="15"/>
      <x:c r="E242" s="15"/>
      <x:c r="F242" s="15"/>
      <x:c r="G242" s="15"/>
      <x:c r="H242" s="15"/>
      <x:c r="I242" s="15"/>
      <x:c r="J242" s="28"/>
      <x:c r="K242" s="222" t="str">
        <x:f>IF(COUNTA(B242:J242)=0,"",IF(H242="Closed","",TODAY()-B242))</x:f>
      </x:c>
      <x:c r="L242" s="15"/>
      <x:c r="M242" s="15"/>
    </x:row>
    <x:row r="243" ht="20" customHeight="1">
      <x:c r="A243" s="15"/>
      <x:c r="B243" s="28"/>
      <x:c r="C243" s="15"/>
      <x:c r="D243" s="15"/>
      <x:c r="E243" s="15"/>
      <x:c r="F243" s="15"/>
      <x:c r="G243" s="15"/>
      <x:c r="H243" s="15"/>
      <x:c r="I243" s="15"/>
      <x:c r="J243" s="28"/>
      <x:c r="K243" s="222" t="str">
        <x:f>IF(COUNTA(B243:J243)=0,"",IF(H243="Closed","",TODAY()-B243))</x:f>
      </x:c>
      <x:c r="L243" s="15"/>
      <x:c r="M243" s="15"/>
    </x:row>
    <x:row r="244" ht="20" customHeight="1">
      <x:c r="A244" s="15"/>
      <x:c r="B244" s="28"/>
      <x:c r="C244" s="15"/>
      <x:c r="D244" s="15"/>
      <x:c r="E244" s="15"/>
      <x:c r="F244" s="15"/>
      <x:c r="G244" s="15"/>
      <x:c r="H244" s="15"/>
      <x:c r="I244" s="15"/>
      <x:c r="J244" s="28"/>
      <x:c r="K244" s="222" t="str">
        <x:f>IF(COUNTA(B244:J244)=0,"",IF(H244="Closed","",TODAY()-B244))</x:f>
      </x:c>
      <x:c r="L244" s="15"/>
      <x:c r="M244" s="15"/>
    </x:row>
    <x:row r="245" ht="20" customHeight="1">
      <x:c r="A245" s="15"/>
      <x:c r="B245" s="28"/>
      <x:c r="C245" s="15"/>
      <x:c r="D245" s="15"/>
      <x:c r="E245" s="15"/>
      <x:c r="F245" s="15"/>
      <x:c r="G245" s="15"/>
      <x:c r="H245" s="15"/>
      <x:c r="I245" s="15"/>
      <x:c r="J245" s="28"/>
      <x:c r="K245" s="222" t="str">
        <x:f>IF(COUNTA(B245:J245)=0,"",IF(H245="Closed","",TODAY()-B245))</x:f>
      </x:c>
      <x:c r="L245" s="15"/>
      <x:c r="M245" s="15"/>
    </x:row>
    <x:row r="246" ht="20" customHeight="1">
      <x:c r="A246" s="15"/>
      <x:c r="B246" s="28"/>
      <x:c r="C246" s="15"/>
      <x:c r="D246" s="15"/>
      <x:c r="E246" s="15"/>
      <x:c r="F246" s="15"/>
      <x:c r="G246" s="15"/>
      <x:c r="H246" s="15"/>
      <x:c r="I246" s="15"/>
      <x:c r="J246" s="28"/>
      <x:c r="K246" s="222" t="str">
        <x:f>IF(COUNTA(B246:J246)=0,"",IF(H246="Closed","",TODAY()-B246))</x:f>
      </x:c>
      <x:c r="L246" s="15"/>
      <x:c r="M246" s="15"/>
    </x:row>
    <x:row r="247" ht="20" customHeight="1">
      <x:c r="A247" s="15"/>
      <x:c r="B247" s="28"/>
      <x:c r="C247" s="15"/>
      <x:c r="D247" s="15"/>
      <x:c r="E247" s="15"/>
      <x:c r="F247" s="15"/>
      <x:c r="G247" s="15"/>
      <x:c r="H247" s="15"/>
      <x:c r="I247" s="15"/>
      <x:c r="J247" s="28"/>
      <x:c r="K247" s="222" t="str">
        <x:f>IF(COUNTA(B247:J247)=0,"",IF(H247="Closed","",TODAY()-B247))</x:f>
      </x:c>
      <x:c r="L247" s="15"/>
      <x:c r="M247" s="15"/>
    </x:row>
    <x:row r="248" ht="20" customHeight="1">
      <x:c r="A248" s="15"/>
      <x:c r="B248" s="28"/>
      <x:c r="C248" s="15"/>
      <x:c r="D248" s="15"/>
      <x:c r="E248" s="15"/>
      <x:c r="F248" s="15"/>
      <x:c r="G248" s="15"/>
      <x:c r="H248" s="15"/>
      <x:c r="I248" s="15"/>
      <x:c r="J248" s="28"/>
      <x:c r="K248" s="222" t="str">
        <x:f>IF(COUNTA(B248:J248)=0,"",IF(H248="Closed","",TODAY()-B248))</x:f>
      </x:c>
      <x:c r="L248" s="15"/>
      <x:c r="M248" s="15"/>
    </x:row>
    <x:row r="249" ht="20" customHeight="1">
      <x:c r="A249" s="15"/>
      <x:c r="B249" s="28"/>
      <x:c r="C249" s="15"/>
      <x:c r="D249" s="15"/>
      <x:c r="E249" s="15"/>
      <x:c r="F249" s="15"/>
      <x:c r="G249" s="15"/>
      <x:c r="H249" s="15"/>
      <x:c r="I249" s="15"/>
      <x:c r="J249" s="28"/>
      <x:c r="K249" s="222" t="str">
        <x:f>IF(COUNTA(B249:J249)=0,"",IF(H249="Closed","",TODAY()-B249))</x:f>
      </x:c>
      <x:c r="L249" s="15"/>
      <x:c r="M249" s="15"/>
    </x:row>
    <x:row r="250" ht="20" customHeight="1">
      <x:c r="A250" s="15"/>
      <x:c r="B250" s="28"/>
      <x:c r="C250" s="15"/>
      <x:c r="D250" s="15"/>
      <x:c r="E250" s="15"/>
      <x:c r="F250" s="15"/>
      <x:c r="G250" s="15"/>
      <x:c r="H250" s="15"/>
      <x:c r="I250" s="15"/>
      <x:c r="J250" s="28"/>
      <x:c r="K250" s="222" t="str">
        <x:f>IF(COUNTA(B250:J250)=0,"",IF(H250="Closed","",TODAY()-B250))</x:f>
      </x:c>
      <x:c r="L250" s="15"/>
      <x:c r="M250" s="15"/>
    </x:row>
    <x:row r="251" ht="20" customHeight="1">
      <x:c r="A251" s="15"/>
      <x:c r="B251" s="28"/>
      <x:c r="C251" s="15"/>
      <x:c r="D251" s="15"/>
      <x:c r="E251" s="15"/>
      <x:c r="F251" s="15"/>
      <x:c r="G251" s="15"/>
      <x:c r="H251" s="15"/>
      <x:c r="I251" s="15"/>
      <x:c r="J251" s="28"/>
      <x:c r="K251" s="222" t="str">
        <x:f>IF(COUNTA(B251:J251)=0,"",IF(H251="Closed","",TODAY()-B251))</x:f>
      </x:c>
      <x:c r="L251" s="15"/>
      <x:c r="M251" s="15"/>
    </x:row>
  </x:sheetData>
  <x:conditionalFormatting sqref="A2:M251">
    <x:cfRule type="expression" dxfId="9" priority="1">
      <x:formula>$H2&lt;&gt;"Closed"</x:formula>
    </x:cfRule>
  </x:conditionalFormatting>
  <x:conditionalFormatting sqref="G2:G251">
    <x:cfRule type="expression" dxfId="10" priority="2">
      <x:formula>G2="Critical"</x:formula>
    </x:cfRule>
  </x:conditionalFormatting>
  <x:dataValidations count="3">
    <x:dataValidation type="list" sqref="G2:G251">
      <x:formula1>"Low,Medium,High,Critical"</x:formula1>
    </x:dataValidation>
    <x:dataValidation type="list" sqref="H2:H251">
      <x:formula1>"Open,In Review,Field Correction Needed,Office Review,Closed"</x:formula1>
    </x:dataValidation>
    <x:dataValidation type="list" sqref="I2:I251">
      <x:formula1>"Office Admin,Boss,Foreman,PM,Field Crew,Billing"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cc34c9f67e47ef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18" hidden="0" customWidth="1"/>
    <x:col min="12" max="12" width="14" hidden="0" customWidth="1"/>
    <x:col min="13" max="13" width="18" hidden="0" customWidth="1"/>
    <x:col min="14" max="14" width="14" hidden="0" customWidth="1"/>
  </x:cols>
  <x:sheetData>
    <x:row r="1" ht="30" customHeight="1">
      <x:c r="A1" s="228" t="str">
        <x:v>WorkDate</x:v>
      </x:c>
      <x:c r="B1" s="228" t="str">
        <x:v>ProjectID</x:v>
      </x:c>
      <x:c r="C1" s="228" t="str">
        <x:v>Submissions</x:v>
      </x:c>
      <x:c r="D1" s="228" t="str">
        <x:v>ReadySubmissions</x:v>
      </x:c>
      <x:c r="E1" s="228" t="str">
        <x:v>OpenProofIssues</x:v>
      </x:c>
      <x:c r="F1" s="228" t="str">
        <x:v>ProductionQty</x:v>
      </x:c>
      <x:c r="G1" s="228" t="str">
        <x:v>LaborHours</x:v>
      </x:c>
      <x:c r="H1" s="228" t="str">
        <x:v>MaterialCost</x:v>
      </x:c>
      <x:c r="I1" s="228" t="str">
        <x:v>EquipmentHours</x:v>
      </x:c>
      <x:c r="J1" s="228" t="str">
        <x:v>EquipmentCost</x:v>
      </x:c>
      <x:c r="K1" s="228" t="str">
        <x:v>BillableRevenue</x:v>
      </x:c>
      <x:c r="L1" s="228" t="str">
        <x:v>LaborCost</x:v>
      </x:c>
      <x:c r="M1" s="228" t="str">
        <x:v>MarginEstimate</x:v>
      </x:c>
      <x:c r="N1" s="228" t="str">
        <x:v>ProofReadyRate</x:v>
      </x:c>
    </x:row>
    <x:row r="2" ht="20" customHeight="1">
      <x:c r="A2" s="28" t="n">
        <x:v>46202</x:v>
      </x:c>
      <x:c r="B2" s="15" t="str">
        <x:v>PRJ-1001</x:v>
      </x:c>
      <x:c r="C2" s="15" t="n">
        <x:f>IF(OR(A2="",B2=""),"",COUNTIFS('11_Intake_Daily'!$C:$C,A2,'11_Intake_Daily'!$D:$D,B2))</x:f>
        <x:v>0</x:v>
      </x:c>
      <x:c r="D2" s="15" t="n">
        <x:f>IF(OR(A2="",B2=""),"",COUNTIFS('11_Intake_Daily'!$C:$C,A2,'11_Intake_Daily'!$D:$D,B2,'11_Intake_Daily'!$AA:$AA,"Yes"))</x:f>
        <x:v>0</x:v>
      </x:c>
      <x:c r="E2" s="15" t="n">
        <x:f>IF(OR(A2="",B2=""),"",COUNTIFS('20_Proof_Queue'!$B:$B,A2,'20_Proof_Queue'!$C:$C,B2,'20_Proof_Queue'!$H:$H,"&lt;&gt;Closed"))</x:f>
        <x:v>0</x:v>
      </x:c>
      <x:c r="F2" s="138" t="n">
        <x:f>IF(OR(A2="",B2=""),"",SUMIFS('12_Production_Log'!$H:$H,'12_Production_Log'!$B:$B,A2,'12_Production_Log'!$C:$C,B2))</x:f>
        <x:v>0</x:v>
      </x:c>
      <x:c r="G2" s="136" t="n">
        <x:f>IF(OR(A2="",B2=""),"",SUMIFS('13_Labor_Time'!$J:$J,'13_Labor_Time'!$B:$B,A2,'13_Labor_Time'!$C:$C,B2))</x:f>
        <x:v>0</x:v>
      </x:c>
      <x:c r="H2" s="70" t="n">
        <x:f>IF(OR(A2="",B2=""),"",SUMIFS('14_Materials_Log'!$I:$I,'14_Materials_Log'!$B:$B,A2,'14_Materials_Log'!$C:$C,B2))</x:f>
        <x:v>0</x:v>
      </x:c>
      <x:c r="I2" s="136" t="n">
        <x:f>IF(OR(A2="",B2=""),"",SUMIFS('15_Equipment_Log'!$I:$I,'15_Equipment_Log'!$B:$B,A2,'15_Equipment_Log'!$C:$C,B2))</x:f>
        <x:v>0</x:v>
      </x:c>
      <x:c r="J2" s="70" t="n">
        <x:f>IF(OR(A2="",B2=""),"",SUMIFS('15_Equipment_Log'!$M:$M,'15_Equipment_Log'!$B:$B,A2,'15_Equipment_Log'!$C:$C,B2))</x:f>
        <x:v>0</x:v>
      </x:c>
      <x:c r="K2" s="70" t="n">
        <x:f>IF(OR(A2="",B2=""),"",SUMIFS('12_Production_Log'!$M:$M,'12_Production_Log'!$B:$B,A2,'12_Production_Log'!$C:$C,B2)+SUMIFS('14_Materials_Log'!$I:$I,'14_Materials_Log'!$B:$B,A2,'14_Materials_Log'!$C:$C,B2,'14_Materials_Log'!$J:$J,"Yes"))</x:f>
        <x:v>0</x:v>
      </x:c>
      <x:c r="L2" s="70" t="n">
        <x:f>IF(OR(A2="",B2=""),"",SUMIFS('13_Labor_Time'!$L:$L,'13_Labor_Time'!$B:$B,A2,'13_Labor_Time'!$C:$C,B2))</x:f>
        <x:v>0</x:v>
      </x:c>
      <x:c r="M2" s="70" t="str">
        <x:f>IF(OR(K2="",H2="",J2="",L2=""),"",K2-H2-J2-L2)</x:f>
      </x:c>
      <x:c r="N2" s="140" t="str">
        <x:f>IF(C2=0,"",D2/C2)</x:f>
      </x:c>
    </x:row>
    <x:row r="3" ht="20" customHeight="1">
      <x:c r="A3" s="28" t="n">
        <x:v>46202</x:v>
      </x:c>
      <x:c r="B3" s="15" t="str">
        <x:v>PRJ-1002</x:v>
      </x:c>
      <x:c r="C3" s="15" t="n">
        <x:f>IF(OR(A3="",B3=""),"",COUNTIFS('11_Intake_Daily'!$C:$C,A3,'11_Intake_Daily'!$D:$D,B3))</x:f>
        <x:v>0</x:v>
      </x:c>
      <x:c r="D3" s="15" t="n">
        <x:f>IF(OR(A3="",B3=""),"",COUNTIFS('11_Intake_Daily'!$C:$C,A3,'11_Intake_Daily'!$D:$D,B3,'11_Intake_Daily'!$AA:$AA,"Yes"))</x:f>
        <x:v>0</x:v>
      </x:c>
      <x:c r="E3" s="15" t="n">
        <x:f>IF(OR(A3="",B3=""),"",COUNTIFS('20_Proof_Queue'!$B:$B,A3,'20_Proof_Queue'!$C:$C,B3,'20_Proof_Queue'!$H:$H,"&lt;&gt;Closed"))</x:f>
        <x:v>0</x:v>
      </x:c>
      <x:c r="F3" s="138" t="n">
        <x:f>IF(OR(A3="",B3=""),"",SUMIFS('12_Production_Log'!$H:$H,'12_Production_Log'!$B:$B,A3,'12_Production_Log'!$C:$C,B3))</x:f>
        <x:v>0</x:v>
      </x:c>
      <x:c r="G3" s="136" t="n">
        <x:f>IF(OR(A3="",B3=""),"",SUMIFS('13_Labor_Time'!$J:$J,'13_Labor_Time'!$B:$B,A3,'13_Labor_Time'!$C:$C,B3))</x:f>
        <x:v>0</x:v>
      </x:c>
      <x:c r="H3" s="70" t="n">
        <x:f>IF(OR(A3="",B3=""),"",SUMIFS('14_Materials_Log'!$I:$I,'14_Materials_Log'!$B:$B,A3,'14_Materials_Log'!$C:$C,B3))</x:f>
        <x:v>0</x:v>
      </x:c>
      <x:c r="I3" s="136" t="n">
        <x:f>IF(OR(A3="",B3=""),"",SUMIFS('15_Equipment_Log'!$I:$I,'15_Equipment_Log'!$B:$B,A3,'15_Equipment_Log'!$C:$C,B3))</x:f>
        <x:v>0</x:v>
      </x:c>
      <x:c r="J3" s="70" t="n">
        <x:f>IF(OR(A3="",B3=""),"",SUMIFS('15_Equipment_Log'!$M:$M,'15_Equipment_Log'!$B:$B,A3,'15_Equipment_Log'!$C:$C,B3))</x:f>
        <x:v>0</x:v>
      </x:c>
      <x:c r="K3" s="70" t="n">
        <x:f>IF(OR(A3="",B3=""),"",SUMIFS('12_Production_Log'!$M:$M,'12_Production_Log'!$B:$B,A3,'12_Production_Log'!$C:$C,B3)+SUMIFS('14_Materials_Log'!$I:$I,'14_Materials_Log'!$B:$B,A3,'14_Materials_Log'!$C:$C,B3,'14_Materials_Log'!$J:$J,"Yes"))</x:f>
        <x:v>0</x:v>
      </x:c>
      <x:c r="L3" s="70" t="n">
        <x:f>IF(OR(A3="",B3=""),"",SUMIFS('13_Labor_Time'!$L:$L,'13_Labor_Time'!$B:$B,A3,'13_Labor_Time'!$C:$C,B3))</x:f>
        <x:v>0</x:v>
      </x:c>
      <x:c r="M3" s="70" t="str">
        <x:f>IF(OR(K3="",H3="",J3="",L3=""),"",K3-H3-J3-L3)</x:f>
      </x:c>
      <x:c r="N3" s="140" t="str">
        <x:f>IF(C3=0,"",D3/C3)</x:f>
      </x:c>
    </x:row>
    <x:row r="4" ht="20" customHeight="1">
      <x:c r="A4" s="28" t="n">
        <x:v>46202</x:v>
      </x:c>
      <x:c r="B4" s="15" t="str">
        <x:v>PRJ-1003</x:v>
      </x:c>
      <x:c r="C4" s="15" t="n">
        <x:f>IF(OR(A4="",B4=""),"",COUNTIFS('11_Intake_Daily'!$C:$C,A4,'11_Intake_Daily'!$D:$D,B4))</x:f>
        <x:v>0</x:v>
      </x:c>
      <x:c r="D4" s="15" t="n">
        <x:f>IF(OR(A4="",B4=""),"",COUNTIFS('11_Intake_Daily'!$C:$C,A4,'11_Intake_Daily'!$D:$D,B4,'11_Intake_Daily'!$AA:$AA,"Yes"))</x:f>
        <x:v>0</x:v>
      </x:c>
      <x:c r="E4" s="15" t="n">
        <x:f>IF(OR(A4="",B4=""),"",COUNTIFS('20_Proof_Queue'!$B:$B,A4,'20_Proof_Queue'!$C:$C,B4,'20_Proof_Queue'!$H:$H,"&lt;&gt;Closed"))</x:f>
        <x:v>0</x:v>
      </x:c>
      <x:c r="F4" s="138" t="n">
        <x:f>IF(OR(A4="",B4=""),"",SUMIFS('12_Production_Log'!$H:$H,'12_Production_Log'!$B:$B,A4,'12_Production_Log'!$C:$C,B4))</x:f>
        <x:v>0</x:v>
      </x:c>
      <x:c r="G4" s="136" t="n">
        <x:f>IF(OR(A4="",B4=""),"",SUMIFS('13_Labor_Time'!$J:$J,'13_Labor_Time'!$B:$B,A4,'13_Labor_Time'!$C:$C,B4))</x:f>
        <x:v>0</x:v>
      </x:c>
      <x:c r="H4" s="70" t="n">
        <x:f>IF(OR(A4="",B4=""),"",SUMIFS('14_Materials_Log'!$I:$I,'14_Materials_Log'!$B:$B,A4,'14_Materials_Log'!$C:$C,B4))</x:f>
        <x:v>0</x:v>
      </x:c>
      <x:c r="I4" s="136" t="n">
        <x:f>IF(OR(A4="",B4=""),"",SUMIFS('15_Equipment_Log'!$I:$I,'15_Equipment_Log'!$B:$B,A4,'15_Equipment_Log'!$C:$C,B4))</x:f>
        <x:v>0</x:v>
      </x:c>
      <x:c r="J4" s="70" t="n">
        <x:f>IF(OR(A4="",B4=""),"",SUMIFS('15_Equipment_Log'!$M:$M,'15_Equipment_Log'!$B:$B,A4,'15_Equipment_Log'!$C:$C,B4))</x:f>
        <x:v>0</x:v>
      </x:c>
      <x:c r="K4" s="70" t="n">
        <x:f>IF(OR(A4="",B4=""),"",SUMIFS('12_Production_Log'!$M:$M,'12_Production_Log'!$B:$B,A4,'12_Production_Log'!$C:$C,B4)+SUMIFS('14_Materials_Log'!$I:$I,'14_Materials_Log'!$B:$B,A4,'14_Materials_Log'!$C:$C,B4,'14_Materials_Log'!$J:$J,"Yes"))</x:f>
        <x:v>0</x:v>
      </x:c>
      <x:c r="L4" s="70" t="n">
        <x:f>IF(OR(A4="",B4=""),"",SUMIFS('13_Labor_Time'!$L:$L,'13_Labor_Time'!$B:$B,A4,'13_Labor_Time'!$C:$C,B4))</x:f>
        <x:v>0</x:v>
      </x:c>
      <x:c r="M4" s="70" t="str">
        <x:f>IF(OR(K4="",H4="",J4="",L4=""),"",K4-H4-J4-L4)</x:f>
      </x:c>
      <x:c r="N4" s="140" t="str">
        <x:f>IF(C4=0,"",D4/C4)</x:f>
      </x:c>
    </x:row>
    <x:row r="5" ht="20" customHeight="1">
      <x:c r="A5" s="28" t="n">
        <x:v>46203</x:v>
      </x:c>
      <x:c r="B5" s="15" t="str">
        <x:v>PRJ-1001</x:v>
      </x:c>
      <x:c r="C5" s="15" t="n">
        <x:f>IF(OR(A5="",B5=""),"",COUNTIFS('11_Intake_Daily'!$C:$C,A5,'11_Intake_Daily'!$D:$D,B5))</x:f>
        <x:v>0</x:v>
      </x:c>
      <x:c r="D5" s="15" t="n">
        <x:f>IF(OR(A5="",B5=""),"",COUNTIFS('11_Intake_Daily'!$C:$C,A5,'11_Intake_Daily'!$D:$D,B5,'11_Intake_Daily'!$AA:$AA,"Yes"))</x:f>
        <x:v>0</x:v>
      </x:c>
      <x:c r="E5" s="15" t="n">
        <x:f>IF(OR(A5="",B5=""),"",COUNTIFS('20_Proof_Queue'!$B:$B,A5,'20_Proof_Queue'!$C:$C,B5,'20_Proof_Queue'!$H:$H,"&lt;&gt;Closed"))</x:f>
        <x:v>0</x:v>
      </x:c>
      <x:c r="F5" s="138" t="n">
        <x:f>IF(OR(A5="",B5=""),"",SUMIFS('12_Production_Log'!$H:$H,'12_Production_Log'!$B:$B,A5,'12_Production_Log'!$C:$C,B5))</x:f>
        <x:v>0</x:v>
      </x:c>
      <x:c r="G5" s="136" t="n">
        <x:f>IF(OR(A5="",B5=""),"",SUMIFS('13_Labor_Time'!$J:$J,'13_Labor_Time'!$B:$B,A5,'13_Labor_Time'!$C:$C,B5))</x:f>
        <x:v>0</x:v>
      </x:c>
      <x:c r="H5" s="70" t="n">
        <x:f>IF(OR(A5="",B5=""),"",SUMIFS('14_Materials_Log'!$I:$I,'14_Materials_Log'!$B:$B,A5,'14_Materials_Log'!$C:$C,B5))</x:f>
        <x:v>0</x:v>
      </x:c>
      <x:c r="I5" s="136" t="n">
        <x:f>IF(OR(A5="",B5=""),"",SUMIFS('15_Equipment_Log'!$I:$I,'15_Equipment_Log'!$B:$B,A5,'15_Equipment_Log'!$C:$C,B5))</x:f>
        <x:v>0</x:v>
      </x:c>
      <x:c r="J5" s="70" t="n">
        <x:f>IF(OR(A5="",B5=""),"",SUMIFS('15_Equipment_Log'!$M:$M,'15_Equipment_Log'!$B:$B,A5,'15_Equipment_Log'!$C:$C,B5))</x:f>
        <x:v>0</x:v>
      </x:c>
      <x:c r="K5" s="70" t="n">
        <x:f>IF(OR(A5="",B5=""),"",SUMIFS('12_Production_Log'!$M:$M,'12_Production_Log'!$B:$B,A5,'12_Production_Log'!$C:$C,B5)+SUMIFS('14_Materials_Log'!$I:$I,'14_Materials_Log'!$B:$B,A5,'14_Materials_Log'!$C:$C,B5,'14_Materials_Log'!$J:$J,"Yes"))</x:f>
        <x:v>0</x:v>
      </x:c>
      <x:c r="L5" s="70" t="n">
        <x:f>IF(OR(A5="",B5=""),"",SUMIFS('13_Labor_Time'!$L:$L,'13_Labor_Time'!$B:$B,A5,'13_Labor_Time'!$C:$C,B5))</x:f>
        <x:v>0</x:v>
      </x:c>
      <x:c r="M5" s="70" t="str">
        <x:f>IF(OR(K5="",H5="",J5="",L5=""),"",K5-H5-J5-L5)</x:f>
      </x:c>
      <x:c r="N5" s="140" t="str">
        <x:f>IF(C5=0,"",D5/C5)</x:f>
      </x:c>
    </x:row>
    <x:row r="6" ht="20" customHeight="1">
      <x:c r="A6" s="28" t="n">
        <x:v>46203</x:v>
      </x:c>
      <x:c r="B6" s="15" t="str">
        <x:v>PRJ-1002</x:v>
      </x:c>
      <x:c r="C6" s="15" t="n">
        <x:f>IF(OR(A6="",B6=""),"",COUNTIFS('11_Intake_Daily'!$C:$C,A6,'11_Intake_Daily'!$D:$D,B6))</x:f>
        <x:v>0</x:v>
      </x:c>
      <x:c r="D6" s="15" t="n">
        <x:f>IF(OR(A6="",B6=""),"",COUNTIFS('11_Intake_Daily'!$C:$C,A6,'11_Intake_Daily'!$D:$D,B6,'11_Intake_Daily'!$AA:$AA,"Yes"))</x:f>
        <x:v>0</x:v>
      </x:c>
      <x:c r="E6" s="15" t="n">
        <x:f>IF(OR(A6="",B6=""),"",COUNTIFS('20_Proof_Queue'!$B:$B,A6,'20_Proof_Queue'!$C:$C,B6,'20_Proof_Queue'!$H:$H,"&lt;&gt;Closed"))</x:f>
        <x:v>0</x:v>
      </x:c>
      <x:c r="F6" s="138" t="n">
        <x:f>IF(OR(A6="",B6=""),"",SUMIFS('12_Production_Log'!$H:$H,'12_Production_Log'!$B:$B,A6,'12_Production_Log'!$C:$C,B6))</x:f>
        <x:v>0</x:v>
      </x:c>
      <x:c r="G6" s="136" t="n">
        <x:f>IF(OR(A6="",B6=""),"",SUMIFS('13_Labor_Time'!$J:$J,'13_Labor_Time'!$B:$B,A6,'13_Labor_Time'!$C:$C,B6))</x:f>
        <x:v>0</x:v>
      </x:c>
      <x:c r="H6" s="70" t="n">
        <x:f>IF(OR(A6="",B6=""),"",SUMIFS('14_Materials_Log'!$I:$I,'14_Materials_Log'!$B:$B,A6,'14_Materials_Log'!$C:$C,B6))</x:f>
        <x:v>0</x:v>
      </x:c>
      <x:c r="I6" s="136" t="n">
        <x:f>IF(OR(A6="",B6=""),"",SUMIFS('15_Equipment_Log'!$I:$I,'15_Equipment_Log'!$B:$B,A6,'15_Equipment_Log'!$C:$C,B6))</x:f>
        <x:v>0</x:v>
      </x:c>
      <x:c r="J6" s="70" t="n">
        <x:f>IF(OR(A6="",B6=""),"",SUMIFS('15_Equipment_Log'!$M:$M,'15_Equipment_Log'!$B:$B,A6,'15_Equipment_Log'!$C:$C,B6))</x:f>
        <x:v>0</x:v>
      </x:c>
      <x:c r="K6" s="70" t="n">
        <x:f>IF(OR(A6="",B6=""),"",SUMIFS('12_Production_Log'!$M:$M,'12_Production_Log'!$B:$B,A6,'12_Production_Log'!$C:$C,B6)+SUMIFS('14_Materials_Log'!$I:$I,'14_Materials_Log'!$B:$B,A6,'14_Materials_Log'!$C:$C,B6,'14_Materials_Log'!$J:$J,"Yes"))</x:f>
        <x:v>0</x:v>
      </x:c>
      <x:c r="L6" s="70" t="n">
        <x:f>IF(OR(A6="",B6=""),"",SUMIFS('13_Labor_Time'!$L:$L,'13_Labor_Time'!$B:$B,A6,'13_Labor_Time'!$C:$C,B6))</x:f>
        <x:v>0</x:v>
      </x:c>
      <x:c r="M6" s="70" t="str">
        <x:f>IF(OR(K6="",H6="",J6="",L6=""),"",K6-H6-J6-L6)</x:f>
      </x:c>
      <x:c r="N6" s="140" t="str">
        <x:f>IF(C6=0,"",D6/C6)</x:f>
      </x:c>
    </x:row>
    <x:row r="7" ht="20" customHeight="1">
      <x:c r="A7" s="28" t="n">
        <x:v>46203</x:v>
      </x:c>
      <x:c r="B7" s="15" t="str">
        <x:v>PRJ-1003</x:v>
      </x:c>
      <x:c r="C7" s="15" t="n">
        <x:f>IF(OR(A7="",B7=""),"",COUNTIFS('11_Intake_Daily'!$C:$C,A7,'11_Intake_Daily'!$D:$D,B7))</x:f>
        <x:v>0</x:v>
      </x:c>
      <x:c r="D7" s="15" t="n">
        <x:f>IF(OR(A7="",B7=""),"",COUNTIFS('11_Intake_Daily'!$C:$C,A7,'11_Intake_Daily'!$D:$D,B7,'11_Intake_Daily'!$AA:$AA,"Yes"))</x:f>
        <x:v>0</x:v>
      </x:c>
      <x:c r="E7" s="15" t="n">
        <x:f>IF(OR(A7="",B7=""),"",COUNTIFS('20_Proof_Queue'!$B:$B,A7,'20_Proof_Queue'!$C:$C,B7,'20_Proof_Queue'!$H:$H,"&lt;&gt;Closed"))</x:f>
        <x:v>0</x:v>
      </x:c>
      <x:c r="F7" s="138" t="n">
        <x:f>IF(OR(A7="",B7=""),"",SUMIFS('12_Production_Log'!$H:$H,'12_Production_Log'!$B:$B,A7,'12_Production_Log'!$C:$C,B7))</x:f>
        <x:v>0</x:v>
      </x:c>
      <x:c r="G7" s="136" t="n">
        <x:f>IF(OR(A7="",B7=""),"",SUMIFS('13_Labor_Time'!$J:$J,'13_Labor_Time'!$B:$B,A7,'13_Labor_Time'!$C:$C,B7))</x:f>
        <x:v>0</x:v>
      </x:c>
      <x:c r="H7" s="70" t="n">
        <x:f>IF(OR(A7="",B7=""),"",SUMIFS('14_Materials_Log'!$I:$I,'14_Materials_Log'!$B:$B,A7,'14_Materials_Log'!$C:$C,B7))</x:f>
        <x:v>0</x:v>
      </x:c>
      <x:c r="I7" s="136" t="n">
        <x:f>IF(OR(A7="",B7=""),"",SUMIFS('15_Equipment_Log'!$I:$I,'15_Equipment_Log'!$B:$B,A7,'15_Equipment_Log'!$C:$C,B7))</x:f>
        <x:v>0</x:v>
      </x:c>
      <x:c r="J7" s="70" t="n">
        <x:f>IF(OR(A7="",B7=""),"",SUMIFS('15_Equipment_Log'!$M:$M,'15_Equipment_Log'!$B:$B,A7,'15_Equipment_Log'!$C:$C,B7))</x:f>
        <x:v>0</x:v>
      </x:c>
      <x:c r="K7" s="70" t="n">
        <x:f>IF(OR(A7="",B7=""),"",SUMIFS('12_Production_Log'!$M:$M,'12_Production_Log'!$B:$B,A7,'12_Production_Log'!$C:$C,B7)+SUMIFS('14_Materials_Log'!$I:$I,'14_Materials_Log'!$B:$B,A7,'14_Materials_Log'!$C:$C,B7,'14_Materials_Log'!$J:$J,"Yes"))</x:f>
        <x:v>0</x:v>
      </x:c>
      <x:c r="L7" s="70" t="n">
        <x:f>IF(OR(A7="",B7=""),"",SUMIFS('13_Labor_Time'!$L:$L,'13_Labor_Time'!$B:$B,A7,'13_Labor_Time'!$C:$C,B7))</x:f>
        <x:v>0</x:v>
      </x:c>
      <x:c r="M7" s="70" t="str">
        <x:f>IF(OR(K7="",H7="",J7="",L7=""),"",K7-H7-J7-L7)</x:f>
      </x:c>
      <x:c r="N7" s="140" t="str">
        <x:f>IF(C7=0,"",D7/C7)</x:f>
      </x:c>
    </x:row>
    <x:row r="8" ht="20" customHeight="1">
      <x:c r="A8" s="28" t="n">
        <x:v>46204</x:v>
      </x:c>
      <x:c r="B8" s="15" t="str">
        <x:v>PRJ-1001</x:v>
      </x:c>
      <x:c r="C8" s="15" t="n">
        <x:f>IF(OR(A8="",B8=""),"",COUNTIFS('11_Intake_Daily'!$C:$C,A8,'11_Intake_Daily'!$D:$D,B8))</x:f>
        <x:v>2</x:v>
      </x:c>
      <x:c r="D8" s="15" t="n">
        <x:f>IF(OR(A8="",B8=""),"",COUNTIFS('11_Intake_Daily'!$C:$C,A8,'11_Intake_Daily'!$D:$D,B8,'11_Intake_Daily'!$AA:$AA,"Yes"))</x:f>
        <x:v>1</x:v>
      </x:c>
      <x:c r="E8" s="15" t="n">
        <x:f>IF(OR(A8="",B8=""),"",COUNTIFS('20_Proof_Queue'!$B:$B,A8,'20_Proof_Queue'!$C:$C,B8,'20_Proof_Queue'!$H:$H,"&lt;&gt;Closed"))</x:f>
        <x:v>2</x:v>
      </x:c>
      <x:c r="F8" s="138" t="n">
        <x:f>IF(OR(A8="",B8=""),"",SUMIFS('12_Production_Log'!$H:$H,'12_Production_Log'!$B:$B,A8,'12_Production_Log'!$C:$C,B8))</x:f>
        <x:v>1570</x:v>
      </x:c>
      <x:c r="G8" s="136" t="n">
        <x:f>IF(OR(A8="",B8=""),"",SUMIFS('13_Labor_Time'!$J:$J,'13_Labor_Time'!$B:$B,A8,'13_Labor_Time'!$C:$C,B8))</x:f>
        <x:v>26.5</x:v>
      </x:c>
      <x:c r="H8" s="70" t="n">
        <x:f>IF(OR(A8="",B8=""),"",SUMIFS('14_Materials_Log'!$I:$I,'14_Materials_Log'!$B:$B,A8,'14_Materials_Log'!$C:$C,B8))</x:f>
        <x:v>1635</x:v>
      </x:c>
      <x:c r="I8" s="136" t="n">
        <x:f>IF(OR(A8="",B8=""),"",SUMIFS('15_Equipment_Log'!$I:$I,'15_Equipment_Log'!$B:$B,A8,'15_Equipment_Log'!$C:$C,B8))</x:f>
        <x:v>53.5</x:v>
      </x:c>
      <x:c r="J8" s="70" t="n">
        <x:f>IF(OR(A8="",B8=""),"",SUMIFS('15_Equipment_Log'!$M:$M,'15_Equipment_Log'!$B:$B,A8,'15_Equipment_Log'!$C:$C,B8))</x:f>
        <x:v>1540.5</x:v>
      </x:c>
      <x:c r="K8" s="70" t="n">
        <x:f>IF(OR(A8="",B8=""),"",SUMIFS('12_Production_Log'!$M:$M,'12_Production_Log'!$B:$B,A8,'12_Production_Log'!$C:$C,B8)+SUMIFS('14_Materials_Log'!$I:$I,'14_Materials_Log'!$B:$B,A8,'14_Materials_Log'!$C:$C,B8,'14_Materials_Log'!$J:$J,"Yes"))</x:f>
        <x:v>19300</x:v>
      </x:c>
      <x:c r="L8" s="70" t="n">
        <x:f>IF(OR(A8="",B8=""),"",SUMIFS('13_Labor_Time'!$L:$L,'13_Labor_Time'!$B:$B,A8,'13_Labor_Time'!$C:$C,B8))</x:f>
        <x:v>936</x:v>
      </x:c>
      <x:c r="M8" s="70" t="n">
        <x:f>IF(OR(K8="",H8="",J8="",L8=""),"",K8-H8-J8-L8)</x:f>
        <x:v>15188.5</x:v>
      </x:c>
      <x:c r="N8" s="140" t="n">
        <x:f>IF(C8=0,"",D8/C8)</x:f>
        <x:v>0.5</x:v>
      </x:c>
    </x:row>
    <x:row r="9" ht="20" customHeight="1">
      <x:c r="A9" s="28" t="n">
        <x:v>46204</x:v>
      </x:c>
      <x:c r="B9" s="15" t="str">
        <x:v>PRJ-1002</x:v>
      </x:c>
      <x:c r="C9" s="15" t="n">
        <x:f>IF(OR(A9="",B9=""),"",COUNTIFS('11_Intake_Daily'!$C:$C,A9,'11_Intake_Daily'!$D:$D,B9))</x:f>
        <x:v>1</x:v>
      </x:c>
      <x:c r="D9" s="15" t="n">
        <x:f>IF(OR(A9="",B9=""),"",COUNTIFS('11_Intake_Daily'!$C:$C,A9,'11_Intake_Daily'!$D:$D,B9,'11_Intake_Daily'!$AA:$AA,"Yes"))</x:f>
        <x:v>0</x:v>
      </x:c>
      <x:c r="E9" s="15" t="n">
        <x:f>IF(OR(A9="",B9=""),"",COUNTIFS('20_Proof_Queue'!$B:$B,A9,'20_Proof_Queue'!$C:$C,B9,'20_Proof_Queue'!$H:$H,"&lt;&gt;Closed"))</x:f>
        <x:v>1</x:v>
      </x:c>
      <x:c r="F9" s="138" t="n">
        <x:f>IF(OR(A9="",B9=""),"",SUMIFS('12_Production_Log'!$H:$H,'12_Production_Log'!$B:$B,A9,'12_Production_Log'!$C:$C,B9))</x:f>
        <x:v>4</x:v>
      </x:c>
      <x:c r="G9" s="136" t="n">
        <x:f>IF(OR(A9="",B9=""),"",SUMIFS('13_Labor_Time'!$J:$J,'13_Labor_Time'!$B:$B,A9,'13_Labor_Time'!$C:$C,B9))</x:f>
        <x:v>7</x:v>
      </x:c>
      <x:c r="H9" s="70" t="n">
        <x:f>IF(OR(A9="",B9=""),"",SUMIFS('14_Materials_Log'!$I:$I,'14_Materials_Log'!$B:$B,A9,'14_Materials_Log'!$C:$C,B9))</x:f>
        <x:v>0</x:v>
      </x:c>
      <x:c r="I9" s="136" t="n">
        <x:f>IF(OR(A9="",B9=""),"",SUMIFS('15_Equipment_Log'!$I:$I,'15_Equipment_Log'!$B:$B,A9,'15_Equipment_Log'!$C:$C,B9))</x:f>
        <x:v>0</x:v>
      </x:c>
      <x:c r="J9" s="70" t="n">
        <x:f>IF(OR(A9="",B9=""),"",SUMIFS('15_Equipment_Log'!$M:$M,'15_Equipment_Log'!$B:$B,A9,'15_Equipment_Log'!$C:$C,B9))</x:f>
        <x:v>0</x:v>
      </x:c>
      <x:c r="K9" s="70" t="n">
        <x:f>IF(OR(A9="",B9=""),"",SUMIFS('12_Production_Log'!$M:$M,'12_Production_Log'!$B:$B,A9,'12_Production_Log'!$C:$C,B9)+SUMIFS('14_Materials_Log'!$I:$I,'14_Materials_Log'!$B:$B,A9,'14_Materials_Log'!$C:$C,B9,'14_Materials_Log'!$J:$J,"Yes"))</x:f>
        <x:v>740</x:v>
      </x:c>
      <x:c r="L9" s="70" t="n">
        <x:f>IF(OR(A9="",B9=""),"",SUMIFS('13_Labor_Time'!$L:$L,'13_Labor_Time'!$B:$B,A9,'13_Labor_Time'!$C:$C,B9))</x:f>
        <x:v>308</x:v>
      </x:c>
      <x:c r="M9" s="70" t="str">
        <x:f>IF(OR(K9="",H9="",J9="",L9=""),"",K9-H9-J9-L9)</x:f>
      </x:c>
      <x:c r="N9" s="140" t="n">
        <x:f>IF(C9=0,"",D9/C9)</x:f>
        <x:v>0</x:v>
      </x:c>
    </x:row>
    <x:row r="10" ht="20" customHeight="1">
      <x:c r="A10" s="28" t="n">
        <x:v>46204</x:v>
      </x:c>
      <x:c r="B10" s="15" t="str">
        <x:v>PRJ-1003</x:v>
      </x:c>
      <x:c r="C10" s="15" t="n">
        <x:f>IF(OR(A10="",B10=""),"",COUNTIFS('11_Intake_Daily'!$C:$C,A10,'11_Intake_Daily'!$D:$D,B10))</x:f>
        <x:v>0</x:v>
      </x:c>
      <x:c r="D10" s="15" t="n">
        <x:f>IF(OR(A10="",B10=""),"",COUNTIFS('11_Intake_Daily'!$C:$C,A10,'11_Intake_Daily'!$D:$D,B10,'11_Intake_Daily'!$AA:$AA,"Yes"))</x:f>
        <x:v>0</x:v>
      </x:c>
      <x:c r="E10" s="15" t="n">
        <x:f>IF(OR(A10="",B10=""),"",COUNTIFS('20_Proof_Queue'!$B:$B,A10,'20_Proof_Queue'!$C:$C,B10,'20_Proof_Queue'!$H:$H,"&lt;&gt;Closed"))</x:f>
        <x:v>0</x:v>
      </x:c>
      <x:c r="F10" s="138" t="n">
        <x:f>IF(OR(A10="",B10=""),"",SUMIFS('12_Production_Log'!$H:$H,'12_Production_Log'!$B:$B,A10,'12_Production_Log'!$C:$C,B10))</x:f>
        <x:v>0</x:v>
      </x:c>
      <x:c r="G10" s="136" t="n">
        <x:f>IF(OR(A10="",B10=""),"",SUMIFS('13_Labor_Time'!$J:$J,'13_Labor_Time'!$B:$B,A10,'13_Labor_Time'!$C:$C,B10))</x:f>
        <x:v>0</x:v>
      </x:c>
      <x:c r="H10" s="70" t="n">
        <x:f>IF(OR(A10="",B10=""),"",SUMIFS('14_Materials_Log'!$I:$I,'14_Materials_Log'!$B:$B,A10,'14_Materials_Log'!$C:$C,B10))</x:f>
        <x:v>0</x:v>
      </x:c>
      <x:c r="I10" s="136" t="n">
        <x:f>IF(OR(A10="",B10=""),"",SUMIFS('15_Equipment_Log'!$I:$I,'15_Equipment_Log'!$B:$B,A10,'15_Equipment_Log'!$C:$C,B10))</x:f>
        <x:v>0</x:v>
      </x:c>
      <x:c r="J10" s="70" t="n">
        <x:f>IF(OR(A10="",B10=""),"",SUMIFS('15_Equipment_Log'!$M:$M,'15_Equipment_Log'!$B:$B,A10,'15_Equipment_Log'!$C:$C,B10))</x:f>
        <x:v>0</x:v>
      </x:c>
      <x:c r="K10" s="70" t="n">
        <x:f>IF(OR(A10="",B10=""),"",SUMIFS('12_Production_Log'!$M:$M,'12_Production_Log'!$B:$B,A10,'12_Production_Log'!$C:$C,B10)+SUMIFS('14_Materials_Log'!$I:$I,'14_Materials_Log'!$B:$B,A10,'14_Materials_Log'!$C:$C,B10,'14_Materials_Log'!$J:$J,"Yes"))</x:f>
        <x:v>0</x:v>
      </x:c>
      <x:c r="L10" s="70" t="n">
        <x:f>IF(OR(A10="",B10=""),"",SUMIFS('13_Labor_Time'!$L:$L,'13_Labor_Time'!$B:$B,A10,'13_Labor_Time'!$C:$C,B10))</x:f>
        <x:v>0</x:v>
      </x:c>
      <x:c r="M10" s="70" t="str">
        <x:f>IF(OR(K10="",H10="",J10="",L10=""),"",K10-H10-J10-L10)</x:f>
      </x:c>
      <x:c r="N10" s="140" t="str">
        <x:f>IF(C10=0,"",D10/C10)</x:f>
      </x:c>
    </x:row>
    <x:row r="11" ht="20" customHeight="1">
      <x:c r="A11" s="28" t="n">
        <x:v>46205</x:v>
      </x:c>
      <x:c r="B11" s="15" t="str">
        <x:v>PRJ-1001</x:v>
      </x:c>
      <x:c r="C11" s="15" t="n">
        <x:f>IF(OR(A11="",B11=""),"",COUNTIFS('11_Intake_Daily'!$C:$C,A11,'11_Intake_Daily'!$D:$D,B11))</x:f>
        <x:v>1</x:v>
      </x:c>
      <x:c r="D11" s="15" t="n">
        <x:f>IF(OR(A11="",B11=""),"",COUNTIFS('11_Intake_Daily'!$C:$C,A11,'11_Intake_Daily'!$D:$D,B11,'11_Intake_Daily'!$AA:$AA,"Yes"))</x:f>
        <x:v>1</x:v>
      </x:c>
      <x:c r="E11" s="15" t="n">
        <x:f>IF(OR(A11="",B11=""),"",COUNTIFS('20_Proof_Queue'!$B:$B,A11,'20_Proof_Queue'!$C:$C,B11,'20_Proof_Queue'!$H:$H,"&lt;&gt;Closed"))</x:f>
        <x:v>0</x:v>
      </x:c>
      <x:c r="F11" s="138" t="n">
        <x:f>IF(OR(A11="",B11=""),"",SUMIFS('12_Production_Log'!$H:$H,'12_Production_Log'!$B:$B,A11,'12_Production_Log'!$C:$C,B11))</x:f>
        <x:v>1400</x:v>
      </x:c>
      <x:c r="G11" s="136" t="n">
        <x:f>IF(OR(A11="",B11=""),"",SUMIFS('13_Labor_Time'!$J:$J,'13_Labor_Time'!$B:$B,A11,'13_Labor_Time'!$C:$C,B11))</x:f>
        <x:v>18</x:v>
      </x:c>
      <x:c r="H11" s="70" t="n">
        <x:f>IF(OR(A11="",B11=""),"",SUMIFS('14_Materials_Log'!$I:$I,'14_Materials_Log'!$B:$B,A11,'14_Materials_Log'!$C:$C,B11))</x:f>
        <x:v>126</x:v>
      </x:c>
      <x:c r="I11" s="136" t="n">
        <x:f>IF(OR(A11="",B11=""),"",SUMIFS('15_Equipment_Log'!$I:$I,'15_Equipment_Log'!$B:$B,A11,'15_Equipment_Log'!$C:$C,B11))</x:f>
        <x:v>48</x:v>
      </x:c>
      <x:c r="J11" s="70" t="n">
        <x:f>IF(OR(A11="",B11=""),"",SUMIFS('15_Equipment_Log'!$M:$M,'15_Equipment_Log'!$B:$B,A11,'15_Equipment_Log'!$C:$C,B11))</x:f>
        <x:v>864</x:v>
      </x:c>
      <x:c r="K11" s="70" t="n">
        <x:f>IF(OR(A11="",B11=""),"",SUMIFS('12_Production_Log'!$M:$M,'12_Production_Log'!$B:$B,A11,'12_Production_Log'!$C:$C,B11)+SUMIFS('14_Materials_Log'!$I:$I,'14_Materials_Log'!$B:$B,A11,'14_Materials_Log'!$C:$C,B11,'14_Materials_Log'!$J:$J,"Yes"))</x:f>
        <x:v>12026</x:v>
      </x:c>
      <x:c r="L11" s="70" t="n">
        <x:f>IF(OR(A11="",B11=""),"",SUMIFS('13_Labor_Time'!$L:$L,'13_Labor_Time'!$B:$B,A11,'13_Labor_Time'!$C:$C,B11))</x:f>
        <x:v>630</x:v>
      </x:c>
      <x:c r="M11" s="70" t="n">
        <x:f>IF(OR(K11="",H11="",J11="",L11=""),"",K11-H11-J11-L11)</x:f>
        <x:v>10406</x:v>
      </x:c>
      <x:c r="N11" s="140" t="n">
        <x:f>IF(C11=0,"",D11/C11)</x:f>
        <x:v>1</x:v>
      </x:c>
    </x:row>
    <x:row r="12" ht="20" customHeight="1">
      <x:c r="A12" s="28" t="n">
        <x:v>46205</x:v>
      </x:c>
      <x:c r="B12" s="15" t="str">
        <x:v>PRJ-1002</x:v>
      </x:c>
      <x:c r="C12" s="15" t="n">
        <x:f>IF(OR(A12="",B12=""),"",COUNTIFS('11_Intake_Daily'!$C:$C,A12,'11_Intake_Daily'!$D:$D,B12))</x:f>
        <x:v>0</x:v>
      </x:c>
      <x:c r="D12" s="15" t="n">
        <x:f>IF(OR(A12="",B12=""),"",COUNTIFS('11_Intake_Daily'!$C:$C,A12,'11_Intake_Daily'!$D:$D,B12,'11_Intake_Daily'!$AA:$AA,"Yes"))</x:f>
        <x:v>0</x:v>
      </x:c>
      <x:c r="E12" s="15" t="n">
        <x:f>IF(OR(A12="",B12=""),"",COUNTIFS('20_Proof_Queue'!$B:$B,A12,'20_Proof_Queue'!$C:$C,B12,'20_Proof_Queue'!$H:$H,"&lt;&gt;Closed"))</x:f>
        <x:v>0</x:v>
      </x:c>
      <x:c r="F12" s="138" t="n">
        <x:f>IF(OR(A12="",B12=""),"",SUMIFS('12_Production_Log'!$H:$H,'12_Production_Log'!$B:$B,A12,'12_Production_Log'!$C:$C,B12))</x:f>
        <x:v>0</x:v>
      </x:c>
      <x:c r="G12" s="136" t="n">
        <x:f>IF(OR(A12="",B12=""),"",SUMIFS('13_Labor_Time'!$J:$J,'13_Labor_Time'!$B:$B,A12,'13_Labor_Time'!$C:$C,B12))</x:f>
        <x:v>0</x:v>
      </x:c>
      <x:c r="H12" s="70" t="n">
        <x:f>IF(OR(A12="",B12=""),"",SUMIFS('14_Materials_Log'!$I:$I,'14_Materials_Log'!$B:$B,A12,'14_Materials_Log'!$C:$C,B12))</x:f>
        <x:v>0</x:v>
      </x:c>
      <x:c r="I12" s="136" t="n">
        <x:f>IF(OR(A12="",B12=""),"",SUMIFS('15_Equipment_Log'!$I:$I,'15_Equipment_Log'!$B:$B,A12,'15_Equipment_Log'!$C:$C,B12))</x:f>
        <x:v>0</x:v>
      </x:c>
      <x:c r="J12" s="70" t="n">
        <x:f>IF(OR(A12="",B12=""),"",SUMIFS('15_Equipment_Log'!$M:$M,'15_Equipment_Log'!$B:$B,A12,'15_Equipment_Log'!$C:$C,B12))</x:f>
        <x:v>0</x:v>
      </x:c>
      <x:c r="K12" s="70" t="n">
        <x:f>IF(OR(A12="",B12=""),"",SUMIFS('12_Production_Log'!$M:$M,'12_Production_Log'!$B:$B,A12,'12_Production_Log'!$C:$C,B12)+SUMIFS('14_Materials_Log'!$I:$I,'14_Materials_Log'!$B:$B,A12,'14_Materials_Log'!$C:$C,B12,'14_Materials_Log'!$J:$J,"Yes"))</x:f>
        <x:v>0</x:v>
      </x:c>
      <x:c r="L12" s="70" t="n">
        <x:f>IF(OR(A12="",B12=""),"",SUMIFS('13_Labor_Time'!$L:$L,'13_Labor_Time'!$B:$B,A12,'13_Labor_Time'!$C:$C,B12))</x:f>
        <x:v>0</x:v>
      </x:c>
      <x:c r="M12" s="70" t="str">
        <x:f>IF(OR(K12="",H12="",J12="",L12=""),"",K12-H12-J12-L12)</x:f>
      </x:c>
      <x:c r="N12" s="140" t="str">
        <x:f>IF(C12=0,"",D12/C12)</x:f>
      </x:c>
    </x:row>
    <x:row r="13" ht="20" customHeight="1">
      <x:c r="A13" s="28" t="n">
        <x:v>46205</x:v>
      </x:c>
      <x:c r="B13" s="15" t="str">
        <x:v>PRJ-1003</x:v>
      </x:c>
      <x:c r="C13" s="15" t="n">
        <x:f>IF(OR(A13="",B13=""),"",COUNTIFS('11_Intake_Daily'!$C:$C,A13,'11_Intake_Daily'!$D:$D,B13))</x:f>
        <x:v>0</x:v>
      </x:c>
      <x:c r="D13" s="15" t="n">
        <x:f>IF(OR(A13="",B13=""),"",COUNTIFS('11_Intake_Daily'!$C:$C,A13,'11_Intake_Daily'!$D:$D,B13,'11_Intake_Daily'!$AA:$AA,"Yes"))</x:f>
        <x:v>0</x:v>
      </x:c>
      <x:c r="E13" s="15" t="n">
        <x:f>IF(OR(A13="",B13=""),"",COUNTIFS('20_Proof_Queue'!$B:$B,A13,'20_Proof_Queue'!$C:$C,B13,'20_Proof_Queue'!$H:$H,"&lt;&gt;Closed"))</x:f>
        <x:v>0</x:v>
      </x:c>
      <x:c r="F13" s="138" t="n">
        <x:f>IF(OR(A13="",B13=""),"",SUMIFS('12_Production_Log'!$H:$H,'12_Production_Log'!$B:$B,A13,'12_Production_Log'!$C:$C,B13))</x:f>
        <x:v>0</x:v>
      </x:c>
      <x:c r="G13" s="136" t="n">
        <x:f>IF(OR(A13="",B13=""),"",SUMIFS('13_Labor_Time'!$J:$J,'13_Labor_Time'!$B:$B,A13,'13_Labor_Time'!$C:$C,B13))</x:f>
        <x:v>0</x:v>
      </x:c>
      <x:c r="H13" s="70" t="n">
        <x:f>IF(OR(A13="",B13=""),"",SUMIFS('14_Materials_Log'!$I:$I,'14_Materials_Log'!$B:$B,A13,'14_Materials_Log'!$C:$C,B13))</x:f>
        <x:v>0</x:v>
      </x:c>
      <x:c r="I13" s="136" t="n">
        <x:f>IF(OR(A13="",B13=""),"",SUMIFS('15_Equipment_Log'!$I:$I,'15_Equipment_Log'!$B:$B,A13,'15_Equipment_Log'!$C:$C,B13))</x:f>
        <x:v>0</x:v>
      </x:c>
      <x:c r="J13" s="70" t="n">
        <x:f>IF(OR(A13="",B13=""),"",SUMIFS('15_Equipment_Log'!$M:$M,'15_Equipment_Log'!$B:$B,A13,'15_Equipment_Log'!$C:$C,B13))</x:f>
        <x:v>0</x:v>
      </x:c>
      <x:c r="K13" s="70" t="n">
        <x:f>IF(OR(A13="",B13=""),"",SUMIFS('12_Production_Log'!$M:$M,'12_Production_Log'!$B:$B,A13,'12_Production_Log'!$C:$C,B13)+SUMIFS('14_Materials_Log'!$I:$I,'14_Materials_Log'!$B:$B,A13,'14_Materials_Log'!$C:$C,B13,'14_Materials_Log'!$J:$J,"Yes"))</x:f>
        <x:v>0</x:v>
      </x:c>
      <x:c r="L13" s="70" t="n">
        <x:f>IF(OR(A13="",B13=""),"",SUMIFS('13_Labor_Time'!$L:$L,'13_Labor_Time'!$B:$B,A13,'13_Labor_Time'!$C:$C,B13))</x:f>
        <x:v>0</x:v>
      </x:c>
      <x:c r="M13" s="70" t="str">
        <x:f>IF(OR(K13="",H13="",J13="",L13=""),"",K13-H13-J13-L13)</x:f>
      </x:c>
      <x:c r="N13" s="140" t="str">
        <x:f>IF(C13=0,"",D13/C13)</x:f>
      </x:c>
    </x:row>
    <x:row r="14" ht="20" customHeight="1">
      <x:c r="A14" s="28" t="n">
        <x:v>46206</x:v>
      </x:c>
      <x:c r="B14" s="15" t="str">
        <x:v>PRJ-1001</x:v>
      </x:c>
      <x:c r="C14" s="15" t="n">
        <x:f>IF(OR(A14="",B14=""),"",COUNTIFS('11_Intake_Daily'!$C:$C,A14,'11_Intake_Daily'!$D:$D,B14))</x:f>
        <x:v>0</x:v>
      </x:c>
      <x:c r="D14" s="15" t="n">
        <x:f>IF(OR(A14="",B14=""),"",COUNTIFS('11_Intake_Daily'!$C:$C,A14,'11_Intake_Daily'!$D:$D,B14,'11_Intake_Daily'!$AA:$AA,"Yes"))</x:f>
        <x:v>0</x:v>
      </x:c>
      <x:c r="E14" s="15" t="n">
        <x:f>IF(OR(A14="",B14=""),"",COUNTIFS('20_Proof_Queue'!$B:$B,A14,'20_Proof_Queue'!$C:$C,B14,'20_Proof_Queue'!$H:$H,"&lt;&gt;Closed"))</x:f>
        <x:v>0</x:v>
      </x:c>
      <x:c r="F14" s="138" t="n">
        <x:f>IF(OR(A14="",B14=""),"",SUMIFS('12_Production_Log'!$H:$H,'12_Production_Log'!$B:$B,A14,'12_Production_Log'!$C:$C,B14))</x:f>
        <x:v>0</x:v>
      </x:c>
      <x:c r="G14" s="136" t="n">
        <x:f>IF(OR(A14="",B14=""),"",SUMIFS('13_Labor_Time'!$J:$J,'13_Labor_Time'!$B:$B,A14,'13_Labor_Time'!$C:$C,B14))</x:f>
        <x:v>0</x:v>
      </x:c>
      <x:c r="H14" s="70" t="n">
        <x:f>IF(OR(A14="",B14=""),"",SUMIFS('14_Materials_Log'!$I:$I,'14_Materials_Log'!$B:$B,A14,'14_Materials_Log'!$C:$C,B14))</x:f>
        <x:v>0</x:v>
      </x:c>
      <x:c r="I14" s="136" t="n">
        <x:f>IF(OR(A14="",B14=""),"",SUMIFS('15_Equipment_Log'!$I:$I,'15_Equipment_Log'!$B:$B,A14,'15_Equipment_Log'!$C:$C,B14))</x:f>
        <x:v>0</x:v>
      </x:c>
      <x:c r="J14" s="70" t="n">
        <x:f>IF(OR(A14="",B14=""),"",SUMIFS('15_Equipment_Log'!$M:$M,'15_Equipment_Log'!$B:$B,A14,'15_Equipment_Log'!$C:$C,B14))</x:f>
        <x:v>0</x:v>
      </x:c>
      <x:c r="K14" s="70" t="n">
        <x:f>IF(OR(A14="",B14=""),"",SUMIFS('12_Production_Log'!$M:$M,'12_Production_Log'!$B:$B,A14,'12_Production_Log'!$C:$C,B14)+SUMIFS('14_Materials_Log'!$I:$I,'14_Materials_Log'!$B:$B,A14,'14_Materials_Log'!$C:$C,B14,'14_Materials_Log'!$J:$J,"Yes"))</x:f>
        <x:v>0</x:v>
      </x:c>
      <x:c r="L14" s="70" t="n">
        <x:f>IF(OR(A14="",B14=""),"",SUMIFS('13_Labor_Time'!$L:$L,'13_Labor_Time'!$B:$B,A14,'13_Labor_Time'!$C:$C,B14))</x:f>
        <x:v>0</x:v>
      </x:c>
      <x:c r="M14" s="70" t="str">
        <x:f>IF(OR(K14="",H14="",J14="",L14=""),"",K14-H14-J14-L14)</x:f>
      </x:c>
      <x:c r="N14" s="140" t="str">
        <x:f>IF(C14=0,"",D14/C14)</x:f>
      </x:c>
    </x:row>
    <x:row r="15" ht="20" customHeight="1">
      <x:c r="A15" s="28" t="n">
        <x:v>46206</x:v>
      </x:c>
      <x:c r="B15" s="15" t="str">
        <x:v>PRJ-1002</x:v>
      </x:c>
      <x:c r="C15" s="15" t="n">
        <x:f>IF(OR(A15="",B15=""),"",COUNTIFS('11_Intake_Daily'!$C:$C,A15,'11_Intake_Daily'!$D:$D,B15))</x:f>
        <x:v>0</x:v>
      </x:c>
      <x:c r="D15" s="15" t="n">
        <x:f>IF(OR(A15="",B15=""),"",COUNTIFS('11_Intake_Daily'!$C:$C,A15,'11_Intake_Daily'!$D:$D,B15,'11_Intake_Daily'!$AA:$AA,"Yes"))</x:f>
        <x:v>0</x:v>
      </x:c>
      <x:c r="E15" s="15" t="n">
        <x:f>IF(OR(A15="",B15=""),"",COUNTIFS('20_Proof_Queue'!$B:$B,A15,'20_Proof_Queue'!$C:$C,B15,'20_Proof_Queue'!$H:$H,"&lt;&gt;Closed"))</x:f>
        <x:v>0</x:v>
      </x:c>
      <x:c r="F15" s="138" t="n">
        <x:f>IF(OR(A15="",B15=""),"",SUMIFS('12_Production_Log'!$H:$H,'12_Production_Log'!$B:$B,A15,'12_Production_Log'!$C:$C,B15))</x:f>
        <x:v>0</x:v>
      </x:c>
      <x:c r="G15" s="136" t="n">
        <x:f>IF(OR(A15="",B15=""),"",SUMIFS('13_Labor_Time'!$J:$J,'13_Labor_Time'!$B:$B,A15,'13_Labor_Time'!$C:$C,B15))</x:f>
        <x:v>0</x:v>
      </x:c>
      <x:c r="H15" s="70" t="n">
        <x:f>IF(OR(A15="",B15=""),"",SUMIFS('14_Materials_Log'!$I:$I,'14_Materials_Log'!$B:$B,A15,'14_Materials_Log'!$C:$C,B15))</x:f>
        <x:v>0</x:v>
      </x:c>
      <x:c r="I15" s="136" t="n">
        <x:f>IF(OR(A15="",B15=""),"",SUMIFS('15_Equipment_Log'!$I:$I,'15_Equipment_Log'!$B:$B,A15,'15_Equipment_Log'!$C:$C,B15))</x:f>
        <x:v>0</x:v>
      </x:c>
      <x:c r="J15" s="70" t="n">
        <x:f>IF(OR(A15="",B15=""),"",SUMIFS('15_Equipment_Log'!$M:$M,'15_Equipment_Log'!$B:$B,A15,'15_Equipment_Log'!$C:$C,B15))</x:f>
        <x:v>0</x:v>
      </x:c>
      <x:c r="K15" s="70" t="n">
        <x:f>IF(OR(A15="",B15=""),"",SUMIFS('12_Production_Log'!$M:$M,'12_Production_Log'!$B:$B,A15,'12_Production_Log'!$C:$C,B15)+SUMIFS('14_Materials_Log'!$I:$I,'14_Materials_Log'!$B:$B,A15,'14_Materials_Log'!$C:$C,B15,'14_Materials_Log'!$J:$J,"Yes"))</x:f>
        <x:v>0</x:v>
      </x:c>
      <x:c r="L15" s="70" t="n">
        <x:f>IF(OR(A15="",B15=""),"",SUMIFS('13_Labor_Time'!$L:$L,'13_Labor_Time'!$B:$B,A15,'13_Labor_Time'!$C:$C,B15))</x:f>
        <x:v>0</x:v>
      </x:c>
      <x:c r="M15" s="70" t="str">
        <x:f>IF(OR(K15="",H15="",J15="",L15=""),"",K15-H15-J15-L15)</x:f>
      </x:c>
      <x:c r="N15" s="140" t="str">
        <x:f>IF(C15=0,"",D15/C15)</x:f>
      </x:c>
    </x:row>
    <x:row r="16" ht="20" customHeight="1">
      <x:c r="A16" s="28" t="n">
        <x:v>46206</x:v>
      </x:c>
      <x:c r="B16" s="15" t="str">
        <x:v>PRJ-1003</x:v>
      </x:c>
      <x:c r="C16" s="15" t="n">
        <x:f>IF(OR(A16="",B16=""),"",COUNTIFS('11_Intake_Daily'!$C:$C,A16,'11_Intake_Daily'!$D:$D,B16))</x:f>
        <x:v>0</x:v>
      </x:c>
      <x:c r="D16" s="15" t="n">
        <x:f>IF(OR(A16="",B16=""),"",COUNTIFS('11_Intake_Daily'!$C:$C,A16,'11_Intake_Daily'!$D:$D,B16,'11_Intake_Daily'!$AA:$AA,"Yes"))</x:f>
        <x:v>0</x:v>
      </x:c>
      <x:c r="E16" s="15" t="n">
        <x:f>IF(OR(A16="",B16=""),"",COUNTIFS('20_Proof_Queue'!$B:$B,A16,'20_Proof_Queue'!$C:$C,B16,'20_Proof_Queue'!$H:$H,"&lt;&gt;Closed"))</x:f>
        <x:v>0</x:v>
      </x:c>
      <x:c r="F16" s="138" t="n">
        <x:f>IF(OR(A16="",B16=""),"",SUMIFS('12_Production_Log'!$H:$H,'12_Production_Log'!$B:$B,A16,'12_Production_Log'!$C:$C,B16))</x:f>
        <x:v>0</x:v>
      </x:c>
      <x:c r="G16" s="136" t="n">
        <x:f>IF(OR(A16="",B16=""),"",SUMIFS('13_Labor_Time'!$J:$J,'13_Labor_Time'!$B:$B,A16,'13_Labor_Time'!$C:$C,B16))</x:f>
        <x:v>0</x:v>
      </x:c>
      <x:c r="H16" s="70" t="n">
        <x:f>IF(OR(A16="",B16=""),"",SUMIFS('14_Materials_Log'!$I:$I,'14_Materials_Log'!$B:$B,A16,'14_Materials_Log'!$C:$C,B16))</x:f>
        <x:v>0</x:v>
      </x:c>
      <x:c r="I16" s="136" t="n">
        <x:f>IF(OR(A16="",B16=""),"",SUMIFS('15_Equipment_Log'!$I:$I,'15_Equipment_Log'!$B:$B,A16,'15_Equipment_Log'!$C:$C,B16))</x:f>
        <x:v>0</x:v>
      </x:c>
      <x:c r="J16" s="70" t="n">
        <x:f>IF(OR(A16="",B16=""),"",SUMIFS('15_Equipment_Log'!$M:$M,'15_Equipment_Log'!$B:$B,A16,'15_Equipment_Log'!$C:$C,B16))</x:f>
        <x:v>0</x:v>
      </x:c>
      <x:c r="K16" s="70" t="n">
        <x:f>IF(OR(A16="",B16=""),"",SUMIFS('12_Production_Log'!$M:$M,'12_Production_Log'!$B:$B,A16,'12_Production_Log'!$C:$C,B16)+SUMIFS('14_Materials_Log'!$I:$I,'14_Materials_Log'!$B:$B,A16,'14_Materials_Log'!$C:$C,B16,'14_Materials_Log'!$J:$J,"Yes"))</x:f>
        <x:v>0</x:v>
      </x:c>
      <x:c r="L16" s="70" t="n">
        <x:f>IF(OR(A16="",B16=""),"",SUMIFS('13_Labor_Time'!$L:$L,'13_Labor_Time'!$B:$B,A16,'13_Labor_Time'!$C:$C,B16))</x:f>
        <x:v>0</x:v>
      </x:c>
      <x:c r="M16" s="70" t="str">
        <x:f>IF(OR(K16="",H16="",J16="",L16=""),"",K16-H16-J16-L16)</x:f>
      </x:c>
      <x:c r="N16" s="140" t="str">
        <x:f>IF(C16=0,"",D16/C16)</x:f>
      </x:c>
    </x:row>
    <x:row r="17" ht="20" customHeight="1">
      <x:c r="A17" s="28" t="n">
        <x:v>46207</x:v>
      </x:c>
      <x:c r="B17" s="15" t="str">
        <x:v>PRJ-1001</x:v>
      </x:c>
      <x:c r="C17" s="15" t="n">
        <x:f>IF(OR(A17="",B17=""),"",COUNTIFS('11_Intake_Daily'!$C:$C,A17,'11_Intake_Daily'!$D:$D,B17))</x:f>
        <x:v>0</x:v>
      </x:c>
      <x:c r="D17" s="15" t="n">
        <x:f>IF(OR(A17="",B17=""),"",COUNTIFS('11_Intake_Daily'!$C:$C,A17,'11_Intake_Daily'!$D:$D,B17,'11_Intake_Daily'!$AA:$AA,"Yes"))</x:f>
        <x:v>0</x:v>
      </x:c>
      <x:c r="E17" s="15" t="n">
        <x:f>IF(OR(A17="",B17=""),"",COUNTIFS('20_Proof_Queue'!$B:$B,A17,'20_Proof_Queue'!$C:$C,B17,'20_Proof_Queue'!$H:$H,"&lt;&gt;Closed"))</x:f>
        <x:v>0</x:v>
      </x:c>
      <x:c r="F17" s="138" t="n">
        <x:f>IF(OR(A17="",B17=""),"",SUMIFS('12_Production_Log'!$H:$H,'12_Production_Log'!$B:$B,A17,'12_Production_Log'!$C:$C,B17))</x:f>
        <x:v>0</x:v>
      </x:c>
      <x:c r="G17" s="136" t="n">
        <x:f>IF(OR(A17="",B17=""),"",SUMIFS('13_Labor_Time'!$J:$J,'13_Labor_Time'!$B:$B,A17,'13_Labor_Time'!$C:$C,B17))</x:f>
        <x:v>0</x:v>
      </x:c>
      <x:c r="H17" s="70" t="n">
        <x:f>IF(OR(A17="",B17=""),"",SUMIFS('14_Materials_Log'!$I:$I,'14_Materials_Log'!$B:$B,A17,'14_Materials_Log'!$C:$C,B17))</x:f>
        <x:v>0</x:v>
      </x:c>
      <x:c r="I17" s="136" t="n">
        <x:f>IF(OR(A17="",B17=""),"",SUMIFS('15_Equipment_Log'!$I:$I,'15_Equipment_Log'!$B:$B,A17,'15_Equipment_Log'!$C:$C,B17))</x:f>
        <x:v>0</x:v>
      </x:c>
      <x:c r="J17" s="70" t="n">
        <x:f>IF(OR(A17="",B17=""),"",SUMIFS('15_Equipment_Log'!$M:$M,'15_Equipment_Log'!$B:$B,A17,'15_Equipment_Log'!$C:$C,B17))</x:f>
        <x:v>0</x:v>
      </x:c>
      <x:c r="K17" s="70" t="n">
        <x:f>IF(OR(A17="",B17=""),"",SUMIFS('12_Production_Log'!$M:$M,'12_Production_Log'!$B:$B,A17,'12_Production_Log'!$C:$C,B17)+SUMIFS('14_Materials_Log'!$I:$I,'14_Materials_Log'!$B:$B,A17,'14_Materials_Log'!$C:$C,B17,'14_Materials_Log'!$J:$J,"Yes"))</x:f>
        <x:v>0</x:v>
      </x:c>
      <x:c r="L17" s="70" t="n">
        <x:f>IF(OR(A17="",B17=""),"",SUMIFS('13_Labor_Time'!$L:$L,'13_Labor_Time'!$B:$B,A17,'13_Labor_Time'!$C:$C,B17))</x:f>
        <x:v>0</x:v>
      </x:c>
      <x:c r="M17" s="70" t="str">
        <x:f>IF(OR(K17="",H17="",J17="",L17=""),"",K17-H17-J17-L17)</x:f>
      </x:c>
      <x:c r="N17" s="140" t="str">
        <x:f>IF(C17=0,"",D17/C17)</x:f>
      </x:c>
    </x:row>
    <x:row r="18" ht="20" customHeight="1">
      <x:c r="A18" s="28" t="n">
        <x:v>46207</x:v>
      </x:c>
      <x:c r="B18" s="15" t="str">
        <x:v>PRJ-1002</x:v>
      </x:c>
      <x:c r="C18" s="15" t="n">
        <x:f>IF(OR(A18="",B18=""),"",COUNTIFS('11_Intake_Daily'!$C:$C,A18,'11_Intake_Daily'!$D:$D,B18))</x:f>
        <x:v>0</x:v>
      </x:c>
      <x:c r="D18" s="15" t="n">
        <x:f>IF(OR(A18="",B18=""),"",COUNTIFS('11_Intake_Daily'!$C:$C,A18,'11_Intake_Daily'!$D:$D,B18,'11_Intake_Daily'!$AA:$AA,"Yes"))</x:f>
        <x:v>0</x:v>
      </x:c>
      <x:c r="E18" s="15" t="n">
        <x:f>IF(OR(A18="",B18=""),"",COUNTIFS('20_Proof_Queue'!$B:$B,A18,'20_Proof_Queue'!$C:$C,B18,'20_Proof_Queue'!$H:$H,"&lt;&gt;Closed"))</x:f>
        <x:v>0</x:v>
      </x:c>
      <x:c r="F18" s="138" t="n">
        <x:f>IF(OR(A18="",B18=""),"",SUMIFS('12_Production_Log'!$H:$H,'12_Production_Log'!$B:$B,A18,'12_Production_Log'!$C:$C,B18))</x:f>
        <x:v>0</x:v>
      </x:c>
      <x:c r="G18" s="136" t="n">
        <x:f>IF(OR(A18="",B18=""),"",SUMIFS('13_Labor_Time'!$J:$J,'13_Labor_Time'!$B:$B,A18,'13_Labor_Time'!$C:$C,B18))</x:f>
        <x:v>0</x:v>
      </x:c>
      <x:c r="H18" s="70" t="n">
        <x:f>IF(OR(A18="",B18=""),"",SUMIFS('14_Materials_Log'!$I:$I,'14_Materials_Log'!$B:$B,A18,'14_Materials_Log'!$C:$C,B18))</x:f>
        <x:v>0</x:v>
      </x:c>
      <x:c r="I18" s="136" t="n">
        <x:f>IF(OR(A18="",B18=""),"",SUMIFS('15_Equipment_Log'!$I:$I,'15_Equipment_Log'!$B:$B,A18,'15_Equipment_Log'!$C:$C,B18))</x:f>
        <x:v>0</x:v>
      </x:c>
      <x:c r="J18" s="70" t="n">
        <x:f>IF(OR(A18="",B18=""),"",SUMIFS('15_Equipment_Log'!$M:$M,'15_Equipment_Log'!$B:$B,A18,'15_Equipment_Log'!$C:$C,B18))</x:f>
        <x:v>0</x:v>
      </x:c>
      <x:c r="K18" s="70" t="n">
        <x:f>IF(OR(A18="",B18=""),"",SUMIFS('12_Production_Log'!$M:$M,'12_Production_Log'!$B:$B,A18,'12_Production_Log'!$C:$C,B18)+SUMIFS('14_Materials_Log'!$I:$I,'14_Materials_Log'!$B:$B,A18,'14_Materials_Log'!$C:$C,B18,'14_Materials_Log'!$J:$J,"Yes"))</x:f>
        <x:v>0</x:v>
      </x:c>
      <x:c r="L18" s="70" t="n">
        <x:f>IF(OR(A18="",B18=""),"",SUMIFS('13_Labor_Time'!$L:$L,'13_Labor_Time'!$B:$B,A18,'13_Labor_Time'!$C:$C,B18))</x:f>
        <x:v>0</x:v>
      </x:c>
      <x:c r="M18" s="70" t="str">
        <x:f>IF(OR(K18="",H18="",J18="",L18=""),"",K18-H18-J18-L18)</x:f>
      </x:c>
      <x:c r="N18" s="140" t="str">
        <x:f>IF(C18=0,"",D18/C18)</x:f>
      </x:c>
    </x:row>
    <x:row r="19" ht="20" customHeight="1">
      <x:c r="A19" s="28" t="n">
        <x:v>46207</x:v>
      </x:c>
      <x:c r="B19" s="15" t="str">
        <x:v>PRJ-1003</x:v>
      </x:c>
      <x:c r="C19" s="15" t="n">
        <x:f>IF(OR(A19="",B19=""),"",COUNTIFS('11_Intake_Daily'!$C:$C,A19,'11_Intake_Daily'!$D:$D,B19))</x:f>
        <x:v>0</x:v>
      </x:c>
      <x:c r="D19" s="15" t="n">
        <x:f>IF(OR(A19="",B19=""),"",COUNTIFS('11_Intake_Daily'!$C:$C,A19,'11_Intake_Daily'!$D:$D,B19,'11_Intake_Daily'!$AA:$AA,"Yes"))</x:f>
        <x:v>0</x:v>
      </x:c>
      <x:c r="E19" s="15" t="n">
        <x:f>IF(OR(A19="",B19=""),"",COUNTIFS('20_Proof_Queue'!$B:$B,A19,'20_Proof_Queue'!$C:$C,B19,'20_Proof_Queue'!$H:$H,"&lt;&gt;Closed"))</x:f>
        <x:v>0</x:v>
      </x:c>
      <x:c r="F19" s="138" t="n">
        <x:f>IF(OR(A19="",B19=""),"",SUMIFS('12_Production_Log'!$H:$H,'12_Production_Log'!$B:$B,A19,'12_Production_Log'!$C:$C,B19))</x:f>
        <x:v>0</x:v>
      </x:c>
      <x:c r="G19" s="136" t="n">
        <x:f>IF(OR(A19="",B19=""),"",SUMIFS('13_Labor_Time'!$J:$J,'13_Labor_Time'!$B:$B,A19,'13_Labor_Time'!$C:$C,B19))</x:f>
        <x:v>0</x:v>
      </x:c>
      <x:c r="H19" s="70" t="n">
        <x:f>IF(OR(A19="",B19=""),"",SUMIFS('14_Materials_Log'!$I:$I,'14_Materials_Log'!$B:$B,A19,'14_Materials_Log'!$C:$C,B19))</x:f>
        <x:v>0</x:v>
      </x:c>
      <x:c r="I19" s="136" t="n">
        <x:f>IF(OR(A19="",B19=""),"",SUMIFS('15_Equipment_Log'!$I:$I,'15_Equipment_Log'!$B:$B,A19,'15_Equipment_Log'!$C:$C,B19))</x:f>
        <x:v>0</x:v>
      </x:c>
      <x:c r="J19" s="70" t="n">
        <x:f>IF(OR(A19="",B19=""),"",SUMIFS('15_Equipment_Log'!$M:$M,'15_Equipment_Log'!$B:$B,A19,'15_Equipment_Log'!$C:$C,B19))</x:f>
        <x:v>0</x:v>
      </x:c>
      <x:c r="K19" s="70" t="n">
        <x:f>IF(OR(A19="",B19=""),"",SUMIFS('12_Production_Log'!$M:$M,'12_Production_Log'!$B:$B,A19,'12_Production_Log'!$C:$C,B19)+SUMIFS('14_Materials_Log'!$I:$I,'14_Materials_Log'!$B:$B,A19,'14_Materials_Log'!$C:$C,B19,'14_Materials_Log'!$J:$J,"Yes"))</x:f>
        <x:v>0</x:v>
      </x:c>
      <x:c r="L19" s="70" t="n">
        <x:f>IF(OR(A19="",B19=""),"",SUMIFS('13_Labor_Time'!$L:$L,'13_Labor_Time'!$B:$B,A19,'13_Labor_Time'!$C:$C,B19))</x:f>
        <x:v>0</x:v>
      </x:c>
      <x:c r="M19" s="70" t="str">
        <x:f>IF(OR(K19="",H19="",J19="",L19=""),"",K19-H19-J19-L19)</x:f>
      </x:c>
      <x:c r="N19" s="140" t="str">
        <x:f>IF(C19=0,"",D19/C19)</x:f>
      </x:c>
    </x:row>
    <x:row r="20" ht="20" customHeight="1">
      <x:c r="A20" s="28" t="n">
        <x:v>46208</x:v>
      </x:c>
      <x:c r="B20" s="15" t="str">
        <x:v>PRJ-1001</x:v>
      </x:c>
      <x:c r="C20" s="15" t="n">
        <x:f>IF(OR(A20="",B20=""),"",COUNTIFS('11_Intake_Daily'!$C:$C,A20,'11_Intake_Daily'!$D:$D,B20))</x:f>
        <x:v>0</x:v>
      </x:c>
      <x:c r="D20" s="15" t="n">
        <x:f>IF(OR(A20="",B20=""),"",COUNTIFS('11_Intake_Daily'!$C:$C,A20,'11_Intake_Daily'!$D:$D,B20,'11_Intake_Daily'!$AA:$AA,"Yes"))</x:f>
        <x:v>0</x:v>
      </x:c>
      <x:c r="E20" s="15" t="n">
        <x:f>IF(OR(A20="",B20=""),"",COUNTIFS('20_Proof_Queue'!$B:$B,A20,'20_Proof_Queue'!$C:$C,B20,'20_Proof_Queue'!$H:$H,"&lt;&gt;Closed"))</x:f>
        <x:v>0</x:v>
      </x:c>
      <x:c r="F20" s="138" t="n">
        <x:f>IF(OR(A20="",B20=""),"",SUMIFS('12_Production_Log'!$H:$H,'12_Production_Log'!$B:$B,A20,'12_Production_Log'!$C:$C,B20))</x:f>
        <x:v>0</x:v>
      </x:c>
      <x:c r="G20" s="136" t="n">
        <x:f>IF(OR(A20="",B20=""),"",SUMIFS('13_Labor_Time'!$J:$J,'13_Labor_Time'!$B:$B,A20,'13_Labor_Time'!$C:$C,B20))</x:f>
        <x:v>0</x:v>
      </x:c>
      <x:c r="H20" s="70" t="n">
        <x:f>IF(OR(A20="",B20=""),"",SUMIFS('14_Materials_Log'!$I:$I,'14_Materials_Log'!$B:$B,A20,'14_Materials_Log'!$C:$C,B20))</x:f>
        <x:v>0</x:v>
      </x:c>
      <x:c r="I20" s="136" t="n">
        <x:f>IF(OR(A20="",B20=""),"",SUMIFS('15_Equipment_Log'!$I:$I,'15_Equipment_Log'!$B:$B,A20,'15_Equipment_Log'!$C:$C,B20))</x:f>
        <x:v>0</x:v>
      </x:c>
      <x:c r="J20" s="70" t="n">
        <x:f>IF(OR(A20="",B20=""),"",SUMIFS('15_Equipment_Log'!$M:$M,'15_Equipment_Log'!$B:$B,A20,'15_Equipment_Log'!$C:$C,B20))</x:f>
        <x:v>0</x:v>
      </x:c>
      <x:c r="K20" s="70" t="n">
        <x:f>IF(OR(A20="",B20=""),"",SUMIFS('12_Production_Log'!$M:$M,'12_Production_Log'!$B:$B,A20,'12_Production_Log'!$C:$C,B20)+SUMIFS('14_Materials_Log'!$I:$I,'14_Materials_Log'!$B:$B,A20,'14_Materials_Log'!$C:$C,B20,'14_Materials_Log'!$J:$J,"Yes"))</x:f>
        <x:v>0</x:v>
      </x:c>
      <x:c r="L20" s="70" t="n">
        <x:f>IF(OR(A20="",B20=""),"",SUMIFS('13_Labor_Time'!$L:$L,'13_Labor_Time'!$B:$B,A20,'13_Labor_Time'!$C:$C,B20))</x:f>
        <x:v>0</x:v>
      </x:c>
      <x:c r="M20" s="70" t="str">
        <x:f>IF(OR(K20="",H20="",J20="",L20=""),"",K20-H20-J20-L20)</x:f>
      </x:c>
      <x:c r="N20" s="140" t="str">
        <x:f>IF(C20=0,"",D20/C20)</x:f>
      </x:c>
    </x:row>
    <x:row r="21" ht="20" customHeight="1">
      <x:c r="A21" s="28" t="n">
        <x:v>46208</x:v>
      </x:c>
      <x:c r="B21" s="15" t="str">
        <x:v>PRJ-1002</x:v>
      </x:c>
      <x:c r="C21" s="15" t="n">
        <x:f>IF(OR(A21="",B21=""),"",COUNTIFS('11_Intake_Daily'!$C:$C,A21,'11_Intake_Daily'!$D:$D,B21))</x:f>
        <x:v>0</x:v>
      </x:c>
      <x:c r="D21" s="15" t="n">
        <x:f>IF(OR(A21="",B21=""),"",COUNTIFS('11_Intake_Daily'!$C:$C,A21,'11_Intake_Daily'!$D:$D,B21,'11_Intake_Daily'!$AA:$AA,"Yes"))</x:f>
        <x:v>0</x:v>
      </x:c>
      <x:c r="E21" s="15" t="n">
        <x:f>IF(OR(A21="",B21=""),"",COUNTIFS('20_Proof_Queue'!$B:$B,A21,'20_Proof_Queue'!$C:$C,B21,'20_Proof_Queue'!$H:$H,"&lt;&gt;Closed"))</x:f>
        <x:v>0</x:v>
      </x:c>
      <x:c r="F21" s="138" t="n">
        <x:f>IF(OR(A21="",B21=""),"",SUMIFS('12_Production_Log'!$H:$H,'12_Production_Log'!$B:$B,A21,'12_Production_Log'!$C:$C,B21))</x:f>
        <x:v>0</x:v>
      </x:c>
      <x:c r="G21" s="136" t="n">
        <x:f>IF(OR(A21="",B21=""),"",SUMIFS('13_Labor_Time'!$J:$J,'13_Labor_Time'!$B:$B,A21,'13_Labor_Time'!$C:$C,B21))</x:f>
        <x:v>0</x:v>
      </x:c>
      <x:c r="H21" s="70" t="n">
        <x:f>IF(OR(A21="",B21=""),"",SUMIFS('14_Materials_Log'!$I:$I,'14_Materials_Log'!$B:$B,A21,'14_Materials_Log'!$C:$C,B21))</x:f>
        <x:v>0</x:v>
      </x:c>
      <x:c r="I21" s="136" t="n">
        <x:f>IF(OR(A21="",B21=""),"",SUMIFS('15_Equipment_Log'!$I:$I,'15_Equipment_Log'!$B:$B,A21,'15_Equipment_Log'!$C:$C,B21))</x:f>
        <x:v>0</x:v>
      </x:c>
      <x:c r="J21" s="70" t="n">
        <x:f>IF(OR(A21="",B21=""),"",SUMIFS('15_Equipment_Log'!$M:$M,'15_Equipment_Log'!$B:$B,A21,'15_Equipment_Log'!$C:$C,B21))</x:f>
        <x:v>0</x:v>
      </x:c>
      <x:c r="K21" s="70" t="n">
        <x:f>IF(OR(A21="",B21=""),"",SUMIFS('12_Production_Log'!$M:$M,'12_Production_Log'!$B:$B,A21,'12_Production_Log'!$C:$C,B21)+SUMIFS('14_Materials_Log'!$I:$I,'14_Materials_Log'!$B:$B,A21,'14_Materials_Log'!$C:$C,B21,'14_Materials_Log'!$J:$J,"Yes"))</x:f>
        <x:v>0</x:v>
      </x:c>
      <x:c r="L21" s="70" t="n">
        <x:f>IF(OR(A21="",B21=""),"",SUMIFS('13_Labor_Time'!$L:$L,'13_Labor_Time'!$B:$B,A21,'13_Labor_Time'!$C:$C,B21))</x:f>
        <x:v>0</x:v>
      </x:c>
      <x:c r="M21" s="70" t="str">
        <x:f>IF(OR(K21="",H21="",J21="",L21=""),"",K21-H21-J21-L21)</x:f>
      </x:c>
      <x:c r="N21" s="140" t="str">
        <x:f>IF(C21=0,"",D21/C21)</x:f>
      </x:c>
    </x:row>
    <x:row r="22" ht="20" customHeight="1">
      <x:c r="A22" s="28" t="n">
        <x:v>46208</x:v>
      </x:c>
      <x:c r="B22" s="15" t="str">
        <x:v>PRJ-1003</x:v>
      </x:c>
      <x:c r="C22" s="15" t="n">
        <x:f>IF(OR(A22="",B22=""),"",COUNTIFS('11_Intake_Daily'!$C:$C,A22,'11_Intake_Daily'!$D:$D,B22))</x:f>
        <x:v>0</x:v>
      </x:c>
      <x:c r="D22" s="15" t="n">
        <x:f>IF(OR(A22="",B22=""),"",COUNTIFS('11_Intake_Daily'!$C:$C,A22,'11_Intake_Daily'!$D:$D,B22,'11_Intake_Daily'!$AA:$AA,"Yes"))</x:f>
        <x:v>0</x:v>
      </x:c>
      <x:c r="E22" s="15" t="n">
        <x:f>IF(OR(A22="",B22=""),"",COUNTIFS('20_Proof_Queue'!$B:$B,A22,'20_Proof_Queue'!$C:$C,B22,'20_Proof_Queue'!$H:$H,"&lt;&gt;Closed"))</x:f>
        <x:v>0</x:v>
      </x:c>
      <x:c r="F22" s="138" t="n">
        <x:f>IF(OR(A22="",B22=""),"",SUMIFS('12_Production_Log'!$H:$H,'12_Production_Log'!$B:$B,A22,'12_Production_Log'!$C:$C,B22))</x:f>
        <x:v>0</x:v>
      </x:c>
      <x:c r="G22" s="136" t="n">
        <x:f>IF(OR(A22="",B22=""),"",SUMIFS('13_Labor_Time'!$J:$J,'13_Labor_Time'!$B:$B,A22,'13_Labor_Time'!$C:$C,B22))</x:f>
        <x:v>0</x:v>
      </x:c>
      <x:c r="H22" s="70" t="n">
        <x:f>IF(OR(A22="",B22=""),"",SUMIFS('14_Materials_Log'!$I:$I,'14_Materials_Log'!$B:$B,A22,'14_Materials_Log'!$C:$C,B22))</x:f>
        <x:v>0</x:v>
      </x:c>
      <x:c r="I22" s="136" t="n">
        <x:f>IF(OR(A22="",B22=""),"",SUMIFS('15_Equipment_Log'!$I:$I,'15_Equipment_Log'!$B:$B,A22,'15_Equipment_Log'!$C:$C,B22))</x:f>
        <x:v>0</x:v>
      </x:c>
      <x:c r="J22" s="70" t="n">
        <x:f>IF(OR(A22="",B22=""),"",SUMIFS('15_Equipment_Log'!$M:$M,'15_Equipment_Log'!$B:$B,A22,'15_Equipment_Log'!$C:$C,B22))</x:f>
        <x:v>0</x:v>
      </x:c>
      <x:c r="K22" s="70" t="n">
        <x:f>IF(OR(A22="",B22=""),"",SUMIFS('12_Production_Log'!$M:$M,'12_Production_Log'!$B:$B,A22,'12_Production_Log'!$C:$C,B22)+SUMIFS('14_Materials_Log'!$I:$I,'14_Materials_Log'!$B:$B,A22,'14_Materials_Log'!$C:$C,B22,'14_Materials_Log'!$J:$J,"Yes"))</x:f>
        <x:v>0</x:v>
      </x:c>
      <x:c r="L22" s="70" t="n">
        <x:f>IF(OR(A22="",B22=""),"",SUMIFS('13_Labor_Time'!$L:$L,'13_Labor_Time'!$B:$B,A22,'13_Labor_Time'!$C:$C,B22))</x:f>
        <x:v>0</x:v>
      </x:c>
      <x:c r="M22" s="70" t="str">
        <x:f>IF(OR(K22="",H22="",J22="",L22=""),"",K22-H22-J22-L22)</x:f>
      </x:c>
      <x:c r="N22" s="140" t="str">
        <x:f>IF(C22=0,"",D22/C22)</x:f>
      </x:c>
    </x:row>
    <x:row r="23" ht="20" customHeight="1">
      <x:c r="A23" s="28" t="n">
        <x:v>46209</x:v>
      </x:c>
      <x:c r="B23" s="15" t="str">
        <x:v>PRJ-1001</x:v>
      </x:c>
      <x:c r="C23" s="15" t="n">
        <x:f>IF(OR(A23="",B23=""),"",COUNTIFS('11_Intake_Daily'!$C:$C,A23,'11_Intake_Daily'!$D:$D,B23))</x:f>
        <x:v>0</x:v>
      </x:c>
      <x:c r="D23" s="15" t="n">
        <x:f>IF(OR(A23="",B23=""),"",COUNTIFS('11_Intake_Daily'!$C:$C,A23,'11_Intake_Daily'!$D:$D,B23,'11_Intake_Daily'!$AA:$AA,"Yes"))</x:f>
        <x:v>0</x:v>
      </x:c>
      <x:c r="E23" s="15" t="n">
        <x:f>IF(OR(A23="",B23=""),"",COUNTIFS('20_Proof_Queue'!$B:$B,A23,'20_Proof_Queue'!$C:$C,B23,'20_Proof_Queue'!$H:$H,"&lt;&gt;Closed"))</x:f>
        <x:v>0</x:v>
      </x:c>
      <x:c r="F23" s="138" t="n">
        <x:f>IF(OR(A23="",B23=""),"",SUMIFS('12_Production_Log'!$H:$H,'12_Production_Log'!$B:$B,A23,'12_Production_Log'!$C:$C,B23))</x:f>
        <x:v>0</x:v>
      </x:c>
      <x:c r="G23" s="136" t="n">
        <x:f>IF(OR(A23="",B23=""),"",SUMIFS('13_Labor_Time'!$J:$J,'13_Labor_Time'!$B:$B,A23,'13_Labor_Time'!$C:$C,B23))</x:f>
        <x:v>0</x:v>
      </x:c>
      <x:c r="H23" s="70" t="n">
        <x:f>IF(OR(A23="",B23=""),"",SUMIFS('14_Materials_Log'!$I:$I,'14_Materials_Log'!$B:$B,A23,'14_Materials_Log'!$C:$C,B23))</x:f>
        <x:v>0</x:v>
      </x:c>
      <x:c r="I23" s="136" t="n">
        <x:f>IF(OR(A23="",B23=""),"",SUMIFS('15_Equipment_Log'!$I:$I,'15_Equipment_Log'!$B:$B,A23,'15_Equipment_Log'!$C:$C,B23))</x:f>
        <x:v>0</x:v>
      </x:c>
      <x:c r="J23" s="70" t="n">
        <x:f>IF(OR(A23="",B23=""),"",SUMIFS('15_Equipment_Log'!$M:$M,'15_Equipment_Log'!$B:$B,A23,'15_Equipment_Log'!$C:$C,B23))</x:f>
        <x:v>0</x:v>
      </x:c>
      <x:c r="K23" s="70" t="n">
        <x:f>IF(OR(A23="",B23=""),"",SUMIFS('12_Production_Log'!$M:$M,'12_Production_Log'!$B:$B,A23,'12_Production_Log'!$C:$C,B23)+SUMIFS('14_Materials_Log'!$I:$I,'14_Materials_Log'!$B:$B,A23,'14_Materials_Log'!$C:$C,B23,'14_Materials_Log'!$J:$J,"Yes"))</x:f>
        <x:v>0</x:v>
      </x:c>
      <x:c r="L23" s="70" t="n">
        <x:f>IF(OR(A23="",B23=""),"",SUMIFS('13_Labor_Time'!$L:$L,'13_Labor_Time'!$B:$B,A23,'13_Labor_Time'!$C:$C,B23))</x:f>
        <x:v>0</x:v>
      </x:c>
      <x:c r="M23" s="70" t="str">
        <x:f>IF(OR(K23="",H23="",J23="",L23=""),"",K23-H23-J23-L23)</x:f>
      </x:c>
      <x:c r="N23" s="140" t="str">
        <x:f>IF(C23=0,"",D23/C23)</x:f>
      </x:c>
    </x:row>
    <x:row r="24" ht="20" customHeight="1">
      <x:c r="A24" s="28" t="n">
        <x:v>46209</x:v>
      </x:c>
      <x:c r="B24" s="15" t="str">
        <x:v>PRJ-1002</x:v>
      </x:c>
      <x:c r="C24" s="15" t="n">
        <x:f>IF(OR(A24="",B24=""),"",COUNTIFS('11_Intake_Daily'!$C:$C,A24,'11_Intake_Daily'!$D:$D,B24))</x:f>
        <x:v>0</x:v>
      </x:c>
      <x:c r="D24" s="15" t="n">
        <x:f>IF(OR(A24="",B24=""),"",COUNTIFS('11_Intake_Daily'!$C:$C,A24,'11_Intake_Daily'!$D:$D,B24,'11_Intake_Daily'!$AA:$AA,"Yes"))</x:f>
        <x:v>0</x:v>
      </x:c>
      <x:c r="E24" s="15" t="n">
        <x:f>IF(OR(A24="",B24=""),"",COUNTIFS('20_Proof_Queue'!$B:$B,A24,'20_Proof_Queue'!$C:$C,B24,'20_Proof_Queue'!$H:$H,"&lt;&gt;Closed"))</x:f>
        <x:v>0</x:v>
      </x:c>
      <x:c r="F24" s="138" t="n">
        <x:f>IF(OR(A24="",B24=""),"",SUMIFS('12_Production_Log'!$H:$H,'12_Production_Log'!$B:$B,A24,'12_Production_Log'!$C:$C,B24))</x:f>
        <x:v>0</x:v>
      </x:c>
      <x:c r="G24" s="136" t="n">
        <x:f>IF(OR(A24="",B24=""),"",SUMIFS('13_Labor_Time'!$J:$J,'13_Labor_Time'!$B:$B,A24,'13_Labor_Time'!$C:$C,B24))</x:f>
        <x:v>0</x:v>
      </x:c>
      <x:c r="H24" s="70" t="n">
        <x:f>IF(OR(A24="",B24=""),"",SUMIFS('14_Materials_Log'!$I:$I,'14_Materials_Log'!$B:$B,A24,'14_Materials_Log'!$C:$C,B24))</x:f>
        <x:v>0</x:v>
      </x:c>
      <x:c r="I24" s="136" t="n">
        <x:f>IF(OR(A24="",B24=""),"",SUMIFS('15_Equipment_Log'!$I:$I,'15_Equipment_Log'!$B:$B,A24,'15_Equipment_Log'!$C:$C,B24))</x:f>
        <x:v>0</x:v>
      </x:c>
      <x:c r="J24" s="70" t="n">
        <x:f>IF(OR(A24="",B24=""),"",SUMIFS('15_Equipment_Log'!$M:$M,'15_Equipment_Log'!$B:$B,A24,'15_Equipment_Log'!$C:$C,B24))</x:f>
        <x:v>0</x:v>
      </x:c>
      <x:c r="K24" s="70" t="n">
        <x:f>IF(OR(A24="",B24=""),"",SUMIFS('12_Production_Log'!$M:$M,'12_Production_Log'!$B:$B,A24,'12_Production_Log'!$C:$C,B24)+SUMIFS('14_Materials_Log'!$I:$I,'14_Materials_Log'!$B:$B,A24,'14_Materials_Log'!$C:$C,B24,'14_Materials_Log'!$J:$J,"Yes"))</x:f>
        <x:v>0</x:v>
      </x:c>
      <x:c r="L24" s="70" t="n">
        <x:f>IF(OR(A24="",B24=""),"",SUMIFS('13_Labor_Time'!$L:$L,'13_Labor_Time'!$B:$B,A24,'13_Labor_Time'!$C:$C,B24))</x:f>
        <x:v>0</x:v>
      </x:c>
      <x:c r="M24" s="70" t="str">
        <x:f>IF(OR(K24="",H24="",J24="",L24=""),"",K24-H24-J24-L24)</x:f>
      </x:c>
      <x:c r="N24" s="140" t="str">
        <x:f>IF(C24=0,"",D24/C24)</x:f>
      </x:c>
    </x:row>
    <x:row r="25" ht="20" customHeight="1">
      <x:c r="A25" s="28" t="n">
        <x:v>46209</x:v>
      </x:c>
      <x:c r="B25" s="15" t="str">
        <x:v>PRJ-1003</x:v>
      </x:c>
      <x:c r="C25" s="15" t="n">
        <x:f>IF(OR(A25="",B25=""),"",COUNTIFS('11_Intake_Daily'!$C:$C,A25,'11_Intake_Daily'!$D:$D,B25))</x:f>
        <x:v>0</x:v>
      </x:c>
      <x:c r="D25" s="15" t="n">
        <x:f>IF(OR(A25="",B25=""),"",COUNTIFS('11_Intake_Daily'!$C:$C,A25,'11_Intake_Daily'!$D:$D,B25,'11_Intake_Daily'!$AA:$AA,"Yes"))</x:f>
        <x:v>0</x:v>
      </x:c>
      <x:c r="E25" s="15" t="n">
        <x:f>IF(OR(A25="",B25=""),"",COUNTIFS('20_Proof_Queue'!$B:$B,A25,'20_Proof_Queue'!$C:$C,B25,'20_Proof_Queue'!$H:$H,"&lt;&gt;Closed"))</x:f>
        <x:v>0</x:v>
      </x:c>
      <x:c r="F25" s="138" t="n">
        <x:f>IF(OR(A25="",B25=""),"",SUMIFS('12_Production_Log'!$H:$H,'12_Production_Log'!$B:$B,A25,'12_Production_Log'!$C:$C,B25))</x:f>
        <x:v>0</x:v>
      </x:c>
      <x:c r="G25" s="136" t="n">
        <x:f>IF(OR(A25="",B25=""),"",SUMIFS('13_Labor_Time'!$J:$J,'13_Labor_Time'!$B:$B,A25,'13_Labor_Time'!$C:$C,B25))</x:f>
        <x:v>0</x:v>
      </x:c>
      <x:c r="H25" s="70" t="n">
        <x:f>IF(OR(A25="",B25=""),"",SUMIFS('14_Materials_Log'!$I:$I,'14_Materials_Log'!$B:$B,A25,'14_Materials_Log'!$C:$C,B25))</x:f>
        <x:v>0</x:v>
      </x:c>
      <x:c r="I25" s="136" t="n">
        <x:f>IF(OR(A25="",B25=""),"",SUMIFS('15_Equipment_Log'!$I:$I,'15_Equipment_Log'!$B:$B,A25,'15_Equipment_Log'!$C:$C,B25))</x:f>
        <x:v>0</x:v>
      </x:c>
      <x:c r="J25" s="70" t="n">
        <x:f>IF(OR(A25="",B25=""),"",SUMIFS('15_Equipment_Log'!$M:$M,'15_Equipment_Log'!$B:$B,A25,'15_Equipment_Log'!$C:$C,B25))</x:f>
        <x:v>0</x:v>
      </x:c>
      <x:c r="K25" s="70" t="n">
        <x:f>IF(OR(A25="",B25=""),"",SUMIFS('12_Production_Log'!$M:$M,'12_Production_Log'!$B:$B,A25,'12_Production_Log'!$C:$C,B25)+SUMIFS('14_Materials_Log'!$I:$I,'14_Materials_Log'!$B:$B,A25,'14_Materials_Log'!$C:$C,B25,'14_Materials_Log'!$J:$J,"Yes"))</x:f>
        <x:v>0</x:v>
      </x:c>
      <x:c r="L25" s="70" t="n">
        <x:f>IF(OR(A25="",B25=""),"",SUMIFS('13_Labor_Time'!$L:$L,'13_Labor_Time'!$B:$B,A25,'13_Labor_Time'!$C:$C,B25))</x:f>
        <x:v>0</x:v>
      </x:c>
      <x:c r="M25" s="70" t="str">
        <x:f>IF(OR(K25="",H25="",J25="",L25=""),"",K25-H25-J25-L25)</x:f>
      </x:c>
      <x:c r="N25" s="140" t="str">
        <x:f>IF(C25=0,"",D25/C25)</x:f>
      </x:c>
    </x:row>
    <x:row r="26" ht="20" customHeight="1">
      <x:c r="A26" s="28" t="n">
        <x:v>46210</x:v>
      </x:c>
      <x:c r="B26" s="15" t="str">
        <x:v>PRJ-1001</x:v>
      </x:c>
      <x:c r="C26" s="15" t="n">
        <x:f>IF(OR(A26="",B26=""),"",COUNTIFS('11_Intake_Daily'!$C:$C,A26,'11_Intake_Daily'!$D:$D,B26))</x:f>
        <x:v>0</x:v>
      </x:c>
      <x:c r="D26" s="15" t="n">
        <x:f>IF(OR(A26="",B26=""),"",COUNTIFS('11_Intake_Daily'!$C:$C,A26,'11_Intake_Daily'!$D:$D,B26,'11_Intake_Daily'!$AA:$AA,"Yes"))</x:f>
        <x:v>0</x:v>
      </x:c>
      <x:c r="E26" s="15" t="n">
        <x:f>IF(OR(A26="",B26=""),"",COUNTIFS('20_Proof_Queue'!$B:$B,A26,'20_Proof_Queue'!$C:$C,B26,'20_Proof_Queue'!$H:$H,"&lt;&gt;Closed"))</x:f>
        <x:v>0</x:v>
      </x:c>
      <x:c r="F26" s="138" t="n">
        <x:f>IF(OR(A26="",B26=""),"",SUMIFS('12_Production_Log'!$H:$H,'12_Production_Log'!$B:$B,A26,'12_Production_Log'!$C:$C,B26))</x:f>
        <x:v>0</x:v>
      </x:c>
      <x:c r="G26" s="136" t="n">
        <x:f>IF(OR(A26="",B26=""),"",SUMIFS('13_Labor_Time'!$J:$J,'13_Labor_Time'!$B:$B,A26,'13_Labor_Time'!$C:$C,B26))</x:f>
        <x:v>0</x:v>
      </x:c>
      <x:c r="H26" s="70" t="n">
        <x:f>IF(OR(A26="",B26=""),"",SUMIFS('14_Materials_Log'!$I:$I,'14_Materials_Log'!$B:$B,A26,'14_Materials_Log'!$C:$C,B26))</x:f>
        <x:v>0</x:v>
      </x:c>
      <x:c r="I26" s="136" t="n">
        <x:f>IF(OR(A26="",B26=""),"",SUMIFS('15_Equipment_Log'!$I:$I,'15_Equipment_Log'!$B:$B,A26,'15_Equipment_Log'!$C:$C,B26))</x:f>
        <x:v>0</x:v>
      </x:c>
      <x:c r="J26" s="70" t="n">
        <x:f>IF(OR(A26="",B26=""),"",SUMIFS('15_Equipment_Log'!$M:$M,'15_Equipment_Log'!$B:$B,A26,'15_Equipment_Log'!$C:$C,B26))</x:f>
        <x:v>0</x:v>
      </x:c>
      <x:c r="K26" s="70" t="n">
        <x:f>IF(OR(A26="",B26=""),"",SUMIFS('12_Production_Log'!$M:$M,'12_Production_Log'!$B:$B,A26,'12_Production_Log'!$C:$C,B26)+SUMIFS('14_Materials_Log'!$I:$I,'14_Materials_Log'!$B:$B,A26,'14_Materials_Log'!$C:$C,B26,'14_Materials_Log'!$J:$J,"Yes"))</x:f>
        <x:v>0</x:v>
      </x:c>
      <x:c r="L26" s="70" t="n">
        <x:f>IF(OR(A26="",B26=""),"",SUMIFS('13_Labor_Time'!$L:$L,'13_Labor_Time'!$B:$B,A26,'13_Labor_Time'!$C:$C,B26))</x:f>
        <x:v>0</x:v>
      </x:c>
      <x:c r="M26" s="70" t="str">
        <x:f>IF(OR(K26="",H26="",J26="",L26=""),"",K26-H26-J26-L26)</x:f>
      </x:c>
      <x:c r="N26" s="140" t="str">
        <x:f>IF(C26=0,"",D26/C26)</x:f>
      </x:c>
    </x:row>
    <x:row r="27" ht="20" customHeight="1">
      <x:c r="A27" s="28" t="n">
        <x:v>46210</x:v>
      </x:c>
      <x:c r="B27" s="15" t="str">
        <x:v>PRJ-1002</x:v>
      </x:c>
      <x:c r="C27" s="15" t="n">
        <x:f>IF(OR(A27="",B27=""),"",COUNTIFS('11_Intake_Daily'!$C:$C,A27,'11_Intake_Daily'!$D:$D,B27))</x:f>
        <x:v>0</x:v>
      </x:c>
      <x:c r="D27" s="15" t="n">
        <x:f>IF(OR(A27="",B27=""),"",COUNTIFS('11_Intake_Daily'!$C:$C,A27,'11_Intake_Daily'!$D:$D,B27,'11_Intake_Daily'!$AA:$AA,"Yes"))</x:f>
        <x:v>0</x:v>
      </x:c>
      <x:c r="E27" s="15" t="n">
        <x:f>IF(OR(A27="",B27=""),"",COUNTIFS('20_Proof_Queue'!$B:$B,A27,'20_Proof_Queue'!$C:$C,B27,'20_Proof_Queue'!$H:$H,"&lt;&gt;Closed"))</x:f>
        <x:v>0</x:v>
      </x:c>
      <x:c r="F27" s="138" t="n">
        <x:f>IF(OR(A27="",B27=""),"",SUMIFS('12_Production_Log'!$H:$H,'12_Production_Log'!$B:$B,A27,'12_Production_Log'!$C:$C,B27))</x:f>
        <x:v>0</x:v>
      </x:c>
      <x:c r="G27" s="136" t="n">
        <x:f>IF(OR(A27="",B27=""),"",SUMIFS('13_Labor_Time'!$J:$J,'13_Labor_Time'!$B:$B,A27,'13_Labor_Time'!$C:$C,B27))</x:f>
        <x:v>0</x:v>
      </x:c>
      <x:c r="H27" s="70" t="n">
        <x:f>IF(OR(A27="",B27=""),"",SUMIFS('14_Materials_Log'!$I:$I,'14_Materials_Log'!$B:$B,A27,'14_Materials_Log'!$C:$C,B27))</x:f>
        <x:v>0</x:v>
      </x:c>
      <x:c r="I27" s="136" t="n">
        <x:f>IF(OR(A27="",B27=""),"",SUMIFS('15_Equipment_Log'!$I:$I,'15_Equipment_Log'!$B:$B,A27,'15_Equipment_Log'!$C:$C,B27))</x:f>
        <x:v>0</x:v>
      </x:c>
      <x:c r="J27" s="70" t="n">
        <x:f>IF(OR(A27="",B27=""),"",SUMIFS('15_Equipment_Log'!$M:$M,'15_Equipment_Log'!$B:$B,A27,'15_Equipment_Log'!$C:$C,B27))</x:f>
        <x:v>0</x:v>
      </x:c>
      <x:c r="K27" s="70" t="n">
        <x:f>IF(OR(A27="",B27=""),"",SUMIFS('12_Production_Log'!$M:$M,'12_Production_Log'!$B:$B,A27,'12_Production_Log'!$C:$C,B27)+SUMIFS('14_Materials_Log'!$I:$I,'14_Materials_Log'!$B:$B,A27,'14_Materials_Log'!$C:$C,B27,'14_Materials_Log'!$J:$J,"Yes"))</x:f>
        <x:v>0</x:v>
      </x:c>
      <x:c r="L27" s="70" t="n">
        <x:f>IF(OR(A27="",B27=""),"",SUMIFS('13_Labor_Time'!$L:$L,'13_Labor_Time'!$B:$B,A27,'13_Labor_Time'!$C:$C,B27))</x:f>
        <x:v>0</x:v>
      </x:c>
      <x:c r="M27" s="70" t="str">
        <x:f>IF(OR(K27="",H27="",J27="",L27=""),"",K27-H27-J27-L27)</x:f>
      </x:c>
      <x:c r="N27" s="140" t="str">
        <x:f>IF(C27=0,"",D27/C27)</x:f>
      </x:c>
    </x:row>
    <x:row r="28" ht="20" customHeight="1">
      <x:c r="A28" s="28" t="n">
        <x:v>46210</x:v>
      </x:c>
      <x:c r="B28" s="15" t="str">
        <x:v>PRJ-1003</x:v>
      </x:c>
      <x:c r="C28" s="15" t="n">
        <x:f>IF(OR(A28="",B28=""),"",COUNTIFS('11_Intake_Daily'!$C:$C,A28,'11_Intake_Daily'!$D:$D,B28))</x:f>
        <x:v>0</x:v>
      </x:c>
      <x:c r="D28" s="15" t="n">
        <x:f>IF(OR(A28="",B28=""),"",COUNTIFS('11_Intake_Daily'!$C:$C,A28,'11_Intake_Daily'!$D:$D,B28,'11_Intake_Daily'!$AA:$AA,"Yes"))</x:f>
        <x:v>0</x:v>
      </x:c>
      <x:c r="E28" s="15" t="n">
        <x:f>IF(OR(A28="",B28=""),"",COUNTIFS('20_Proof_Queue'!$B:$B,A28,'20_Proof_Queue'!$C:$C,B28,'20_Proof_Queue'!$H:$H,"&lt;&gt;Closed"))</x:f>
        <x:v>0</x:v>
      </x:c>
      <x:c r="F28" s="138" t="n">
        <x:f>IF(OR(A28="",B28=""),"",SUMIFS('12_Production_Log'!$H:$H,'12_Production_Log'!$B:$B,A28,'12_Production_Log'!$C:$C,B28))</x:f>
        <x:v>0</x:v>
      </x:c>
      <x:c r="G28" s="136" t="n">
        <x:f>IF(OR(A28="",B28=""),"",SUMIFS('13_Labor_Time'!$J:$J,'13_Labor_Time'!$B:$B,A28,'13_Labor_Time'!$C:$C,B28))</x:f>
        <x:v>0</x:v>
      </x:c>
      <x:c r="H28" s="70" t="n">
        <x:f>IF(OR(A28="",B28=""),"",SUMIFS('14_Materials_Log'!$I:$I,'14_Materials_Log'!$B:$B,A28,'14_Materials_Log'!$C:$C,B28))</x:f>
        <x:v>0</x:v>
      </x:c>
      <x:c r="I28" s="136" t="n">
        <x:f>IF(OR(A28="",B28=""),"",SUMIFS('15_Equipment_Log'!$I:$I,'15_Equipment_Log'!$B:$B,A28,'15_Equipment_Log'!$C:$C,B28))</x:f>
        <x:v>0</x:v>
      </x:c>
      <x:c r="J28" s="70" t="n">
        <x:f>IF(OR(A28="",B28=""),"",SUMIFS('15_Equipment_Log'!$M:$M,'15_Equipment_Log'!$B:$B,A28,'15_Equipment_Log'!$C:$C,B28))</x:f>
        <x:v>0</x:v>
      </x:c>
      <x:c r="K28" s="70" t="n">
        <x:f>IF(OR(A28="",B28=""),"",SUMIFS('12_Production_Log'!$M:$M,'12_Production_Log'!$B:$B,A28,'12_Production_Log'!$C:$C,B28)+SUMIFS('14_Materials_Log'!$I:$I,'14_Materials_Log'!$B:$B,A28,'14_Materials_Log'!$C:$C,B28,'14_Materials_Log'!$J:$J,"Yes"))</x:f>
        <x:v>0</x:v>
      </x:c>
      <x:c r="L28" s="70" t="n">
        <x:f>IF(OR(A28="",B28=""),"",SUMIFS('13_Labor_Time'!$L:$L,'13_Labor_Time'!$B:$B,A28,'13_Labor_Time'!$C:$C,B28))</x:f>
        <x:v>0</x:v>
      </x:c>
      <x:c r="M28" s="70" t="str">
        <x:f>IF(OR(K28="",H28="",J28="",L28=""),"",K28-H28-J28-L28)</x:f>
      </x:c>
      <x:c r="N28" s="140" t="str">
        <x:f>IF(C28=0,"",D28/C28)</x:f>
      </x:c>
    </x:row>
    <x:row r="29" ht="20" customHeight="1">
      <x:c r="A29" s="28" t="n">
        <x:v>46211</x:v>
      </x:c>
      <x:c r="B29" s="15" t="str">
        <x:v>PRJ-1001</x:v>
      </x:c>
      <x:c r="C29" s="15" t="n">
        <x:f>IF(OR(A29="",B29=""),"",COUNTIFS('11_Intake_Daily'!$C:$C,A29,'11_Intake_Daily'!$D:$D,B29))</x:f>
        <x:v>0</x:v>
      </x:c>
      <x:c r="D29" s="15" t="n">
        <x:f>IF(OR(A29="",B29=""),"",COUNTIFS('11_Intake_Daily'!$C:$C,A29,'11_Intake_Daily'!$D:$D,B29,'11_Intake_Daily'!$AA:$AA,"Yes"))</x:f>
        <x:v>0</x:v>
      </x:c>
      <x:c r="E29" s="15" t="n">
        <x:f>IF(OR(A29="",B29=""),"",COUNTIFS('20_Proof_Queue'!$B:$B,A29,'20_Proof_Queue'!$C:$C,B29,'20_Proof_Queue'!$H:$H,"&lt;&gt;Closed"))</x:f>
        <x:v>0</x:v>
      </x:c>
      <x:c r="F29" s="138" t="n">
        <x:f>IF(OR(A29="",B29=""),"",SUMIFS('12_Production_Log'!$H:$H,'12_Production_Log'!$B:$B,A29,'12_Production_Log'!$C:$C,B29))</x:f>
        <x:v>0</x:v>
      </x:c>
      <x:c r="G29" s="136" t="n">
        <x:f>IF(OR(A29="",B29=""),"",SUMIFS('13_Labor_Time'!$J:$J,'13_Labor_Time'!$B:$B,A29,'13_Labor_Time'!$C:$C,B29))</x:f>
        <x:v>0</x:v>
      </x:c>
      <x:c r="H29" s="70" t="n">
        <x:f>IF(OR(A29="",B29=""),"",SUMIFS('14_Materials_Log'!$I:$I,'14_Materials_Log'!$B:$B,A29,'14_Materials_Log'!$C:$C,B29))</x:f>
        <x:v>0</x:v>
      </x:c>
      <x:c r="I29" s="136" t="n">
        <x:f>IF(OR(A29="",B29=""),"",SUMIFS('15_Equipment_Log'!$I:$I,'15_Equipment_Log'!$B:$B,A29,'15_Equipment_Log'!$C:$C,B29))</x:f>
        <x:v>0</x:v>
      </x:c>
      <x:c r="J29" s="70" t="n">
        <x:f>IF(OR(A29="",B29=""),"",SUMIFS('15_Equipment_Log'!$M:$M,'15_Equipment_Log'!$B:$B,A29,'15_Equipment_Log'!$C:$C,B29))</x:f>
        <x:v>0</x:v>
      </x:c>
      <x:c r="K29" s="70" t="n">
        <x:f>IF(OR(A29="",B29=""),"",SUMIFS('12_Production_Log'!$M:$M,'12_Production_Log'!$B:$B,A29,'12_Production_Log'!$C:$C,B29)+SUMIFS('14_Materials_Log'!$I:$I,'14_Materials_Log'!$B:$B,A29,'14_Materials_Log'!$C:$C,B29,'14_Materials_Log'!$J:$J,"Yes"))</x:f>
        <x:v>0</x:v>
      </x:c>
      <x:c r="L29" s="70" t="n">
        <x:f>IF(OR(A29="",B29=""),"",SUMIFS('13_Labor_Time'!$L:$L,'13_Labor_Time'!$B:$B,A29,'13_Labor_Time'!$C:$C,B29))</x:f>
        <x:v>0</x:v>
      </x:c>
      <x:c r="M29" s="70" t="str">
        <x:f>IF(OR(K29="",H29="",J29="",L29=""),"",K29-H29-J29-L29)</x:f>
      </x:c>
      <x:c r="N29" s="140" t="str">
        <x:f>IF(C29=0,"",D29/C29)</x:f>
      </x:c>
    </x:row>
    <x:row r="30" ht="20" customHeight="1">
      <x:c r="A30" s="28" t="n">
        <x:v>46211</x:v>
      </x:c>
      <x:c r="B30" s="15" t="str">
        <x:v>PRJ-1002</x:v>
      </x:c>
      <x:c r="C30" s="15" t="n">
        <x:f>IF(OR(A30="",B30=""),"",COUNTIFS('11_Intake_Daily'!$C:$C,A30,'11_Intake_Daily'!$D:$D,B30))</x:f>
        <x:v>0</x:v>
      </x:c>
      <x:c r="D30" s="15" t="n">
        <x:f>IF(OR(A30="",B30=""),"",COUNTIFS('11_Intake_Daily'!$C:$C,A30,'11_Intake_Daily'!$D:$D,B30,'11_Intake_Daily'!$AA:$AA,"Yes"))</x:f>
        <x:v>0</x:v>
      </x:c>
      <x:c r="E30" s="15" t="n">
        <x:f>IF(OR(A30="",B30=""),"",COUNTIFS('20_Proof_Queue'!$B:$B,A30,'20_Proof_Queue'!$C:$C,B30,'20_Proof_Queue'!$H:$H,"&lt;&gt;Closed"))</x:f>
        <x:v>0</x:v>
      </x:c>
      <x:c r="F30" s="138" t="n">
        <x:f>IF(OR(A30="",B30=""),"",SUMIFS('12_Production_Log'!$H:$H,'12_Production_Log'!$B:$B,A30,'12_Production_Log'!$C:$C,B30))</x:f>
        <x:v>0</x:v>
      </x:c>
      <x:c r="G30" s="136" t="n">
        <x:f>IF(OR(A30="",B30=""),"",SUMIFS('13_Labor_Time'!$J:$J,'13_Labor_Time'!$B:$B,A30,'13_Labor_Time'!$C:$C,B30))</x:f>
        <x:v>0</x:v>
      </x:c>
      <x:c r="H30" s="70" t="n">
        <x:f>IF(OR(A30="",B30=""),"",SUMIFS('14_Materials_Log'!$I:$I,'14_Materials_Log'!$B:$B,A30,'14_Materials_Log'!$C:$C,B30))</x:f>
        <x:v>0</x:v>
      </x:c>
      <x:c r="I30" s="136" t="n">
        <x:f>IF(OR(A30="",B30=""),"",SUMIFS('15_Equipment_Log'!$I:$I,'15_Equipment_Log'!$B:$B,A30,'15_Equipment_Log'!$C:$C,B30))</x:f>
        <x:v>0</x:v>
      </x:c>
      <x:c r="J30" s="70" t="n">
        <x:f>IF(OR(A30="",B30=""),"",SUMIFS('15_Equipment_Log'!$M:$M,'15_Equipment_Log'!$B:$B,A30,'15_Equipment_Log'!$C:$C,B30))</x:f>
        <x:v>0</x:v>
      </x:c>
      <x:c r="K30" s="70" t="n">
        <x:f>IF(OR(A30="",B30=""),"",SUMIFS('12_Production_Log'!$M:$M,'12_Production_Log'!$B:$B,A30,'12_Production_Log'!$C:$C,B30)+SUMIFS('14_Materials_Log'!$I:$I,'14_Materials_Log'!$B:$B,A30,'14_Materials_Log'!$C:$C,B30,'14_Materials_Log'!$J:$J,"Yes"))</x:f>
        <x:v>0</x:v>
      </x:c>
      <x:c r="L30" s="70" t="n">
        <x:f>IF(OR(A30="",B30=""),"",SUMIFS('13_Labor_Time'!$L:$L,'13_Labor_Time'!$B:$B,A30,'13_Labor_Time'!$C:$C,B30))</x:f>
        <x:v>0</x:v>
      </x:c>
      <x:c r="M30" s="70" t="str">
        <x:f>IF(OR(K30="",H30="",J30="",L30=""),"",K30-H30-J30-L30)</x:f>
      </x:c>
      <x:c r="N30" s="140" t="str">
        <x:f>IF(C30=0,"",D30/C30)</x:f>
      </x:c>
    </x:row>
    <x:row r="31" ht="20" customHeight="1">
      <x:c r="A31" s="28" t="n">
        <x:v>46211</x:v>
      </x:c>
      <x:c r="B31" s="15" t="str">
        <x:v>PRJ-1003</x:v>
      </x:c>
      <x:c r="C31" s="15" t="n">
        <x:f>IF(OR(A31="",B31=""),"",COUNTIFS('11_Intake_Daily'!$C:$C,A31,'11_Intake_Daily'!$D:$D,B31))</x:f>
        <x:v>0</x:v>
      </x:c>
      <x:c r="D31" s="15" t="n">
        <x:f>IF(OR(A31="",B31=""),"",COUNTIFS('11_Intake_Daily'!$C:$C,A31,'11_Intake_Daily'!$D:$D,B31,'11_Intake_Daily'!$AA:$AA,"Yes"))</x:f>
        <x:v>0</x:v>
      </x:c>
      <x:c r="E31" s="15" t="n">
        <x:f>IF(OR(A31="",B31=""),"",COUNTIFS('20_Proof_Queue'!$B:$B,A31,'20_Proof_Queue'!$C:$C,B31,'20_Proof_Queue'!$H:$H,"&lt;&gt;Closed"))</x:f>
        <x:v>0</x:v>
      </x:c>
      <x:c r="F31" s="138" t="n">
        <x:f>IF(OR(A31="",B31=""),"",SUMIFS('12_Production_Log'!$H:$H,'12_Production_Log'!$B:$B,A31,'12_Production_Log'!$C:$C,B31))</x:f>
        <x:v>0</x:v>
      </x:c>
      <x:c r="G31" s="136" t="n">
        <x:f>IF(OR(A31="",B31=""),"",SUMIFS('13_Labor_Time'!$J:$J,'13_Labor_Time'!$B:$B,A31,'13_Labor_Time'!$C:$C,B31))</x:f>
        <x:v>0</x:v>
      </x:c>
      <x:c r="H31" s="70" t="n">
        <x:f>IF(OR(A31="",B31=""),"",SUMIFS('14_Materials_Log'!$I:$I,'14_Materials_Log'!$B:$B,A31,'14_Materials_Log'!$C:$C,B31))</x:f>
        <x:v>0</x:v>
      </x:c>
      <x:c r="I31" s="136" t="n">
        <x:f>IF(OR(A31="",B31=""),"",SUMIFS('15_Equipment_Log'!$I:$I,'15_Equipment_Log'!$B:$B,A31,'15_Equipment_Log'!$C:$C,B31))</x:f>
        <x:v>0</x:v>
      </x:c>
      <x:c r="J31" s="70" t="n">
        <x:f>IF(OR(A31="",B31=""),"",SUMIFS('15_Equipment_Log'!$M:$M,'15_Equipment_Log'!$B:$B,A31,'15_Equipment_Log'!$C:$C,B31))</x:f>
        <x:v>0</x:v>
      </x:c>
      <x:c r="K31" s="70" t="n">
        <x:f>IF(OR(A31="",B31=""),"",SUMIFS('12_Production_Log'!$M:$M,'12_Production_Log'!$B:$B,A31,'12_Production_Log'!$C:$C,B31)+SUMIFS('14_Materials_Log'!$I:$I,'14_Materials_Log'!$B:$B,A31,'14_Materials_Log'!$C:$C,B31,'14_Materials_Log'!$J:$J,"Yes"))</x:f>
        <x:v>0</x:v>
      </x:c>
      <x:c r="L31" s="70" t="n">
        <x:f>IF(OR(A31="",B31=""),"",SUMIFS('13_Labor_Time'!$L:$L,'13_Labor_Time'!$B:$B,A31,'13_Labor_Time'!$C:$C,B31))</x:f>
        <x:v>0</x:v>
      </x:c>
      <x:c r="M31" s="70" t="str">
        <x:f>IF(OR(K31="",H31="",J31="",L31=""),"",K31-H31-J31-L31)</x:f>
      </x:c>
      <x:c r="N31" s="140" t="str">
        <x:f>IF(C31=0,"",D31/C31)</x:f>
      </x:c>
    </x:row>
    <x:row r="32" ht="20" customHeight="1">
      <x:c r="A32" s="28" t="n">
        <x:v>46212</x:v>
      </x:c>
      <x:c r="B32" s="15" t="str">
        <x:v>PRJ-1001</x:v>
      </x:c>
      <x:c r="C32" s="15" t="n">
        <x:f>IF(OR(A32="",B32=""),"",COUNTIFS('11_Intake_Daily'!$C:$C,A32,'11_Intake_Daily'!$D:$D,B32))</x:f>
        <x:v>0</x:v>
      </x:c>
      <x:c r="D32" s="15" t="n">
        <x:f>IF(OR(A32="",B32=""),"",COUNTIFS('11_Intake_Daily'!$C:$C,A32,'11_Intake_Daily'!$D:$D,B32,'11_Intake_Daily'!$AA:$AA,"Yes"))</x:f>
        <x:v>0</x:v>
      </x:c>
      <x:c r="E32" s="15" t="n">
        <x:f>IF(OR(A32="",B32=""),"",COUNTIFS('20_Proof_Queue'!$B:$B,A32,'20_Proof_Queue'!$C:$C,B32,'20_Proof_Queue'!$H:$H,"&lt;&gt;Closed"))</x:f>
        <x:v>0</x:v>
      </x:c>
      <x:c r="F32" s="138" t="n">
        <x:f>IF(OR(A32="",B32=""),"",SUMIFS('12_Production_Log'!$H:$H,'12_Production_Log'!$B:$B,A32,'12_Production_Log'!$C:$C,B32))</x:f>
        <x:v>0</x:v>
      </x:c>
      <x:c r="G32" s="136" t="n">
        <x:f>IF(OR(A32="",B32=""),"",SUMIFS('13_Labor_Time'!$J:$J,'13_Labor_Time'!$B:$B,A32,'13_Labor_Time'!$C:$C,B32))</x:f>
        <x:v>0</x:v>
      </x:c>
      <x:c r="H32" s="70" t="n">
        <x:f>IF(OR(A32="",B32=""),"",SUMIFS('14_Materials_Log'!$I:$I,'14_Materials_Log'!$B:$B,A32,'14_Materials_Log'!$C:$C,B32))</x:f>
        <x:v>0</x:v>
      </x:c>
      <x:c r="I32" s="136" t="n">
        <x:f>IF(OR(A32="",B32=""),"",SUMIFS('15_Equipment_Log'!$I:$I,'15_Equipment_Log'!$B:$B,A32,'15_Equipment_Log'!$C:$C,B32))</x:f>
        <x:v>0</x:v>
      </x:c>
      <x:c r="J32" s="70" t="n">
        <x:f>IF(OR(A32="",B32=""),"",SUMIFS('15_Equipment_Log'!$M:$M,'15_Equipment_Log'!$B:$B,A32,'15_Equipment_Log'!$C:$C,B32))</x:f>
        <x:v>0</x:v>
      </x:c>
      <x:c r="K32" s="70" t="n">
        <x:f>IF(OR(A32="",B32=""),"",SUMIFS('12_Production_Log'!$M:$M,'12_Production_Log'!$B:$B,A32,'12_Production_Log'!$C:$C,B32)+SUMIFS('14_Materials_Log'!$I:$I,'14_Materials_Log'!$B:$B,A32,'14_Materials_Log'!$C:$C,B32,'14_Materials_Log'!$J:$J,"Yes"))</x:f>
        <x:v>0</x:v>
      </x:c>
      <x:c r="L32" s="70" t="n">
        <x:f>IF(OR(A32="",B32=""),"",SUMIFS('13_Labor_Time'!$L:$L,'13_Labor_Time'!$B:$B,A32,'13_Labor_Time'!$C:$C,B32))</x:f>
        <x:v>0</x:v>
      </x:c>
      <x:c r="M32" s="70" t="str">
        <x:f>IF(OR(K32="",H32="",J32="",L32=""),"",K32-H32-J32-L32)</x:f>
      </x:c>
      <x:c r="N32" s="140" t="str">
        <x:f>IF(C32=0,"",D32/C32)</x:f>
      </x:c>
    </x:row>
    <x:row r="33" ht="20" customHeight="1">
      <x:c r="A33" s="28" t="n">
        <x:v>46212</x:v>
      </x:c>
      <x:c r="B33" s="15" t="str">
        <x:v>PRJ-1002</x:v>
      </x:c>
      <x:c r="C33" s="15" t="n">
        <x:f>IF(OR(A33="",B33=""),"",COUNTIFS('11_Intake_Daily'!$C:$C,A33,'11_Intake_Daily'!$D:$D,B33))</x:f>
        <x:v>0</x:v>
      </x:c>
      <x:c r="D33" s="15" t="n">
        <x:f>IF(OR(A33="",B33=""),"",COUNTIFS('11_Intake_Daily'!$C:$C,A33,'11_Intake_Daily'!$D:$D,B33,'11_Intake_Daily'!$AA:$AA,"Yes"))</x:f>
        <x:v>0</x:v>
      </x:c>
      <x:c r="E33" s="15" t="n">
        <x:f>IF(OR(A33="",B33=""),"",COUNTIFS('20_Proof_Queue'!$B:$B,A33,'20_Proof_Queue'!$C:$C,B33,'20_Proof_Queue'!$H:$H,"&lt;&gt;Closed"))</x:f>
        <x:v>0</x:v>
      </x:c>
      <x:c r="F33" s="138" t="n">
        <x:f>IF(OR(A33="",B33=""),"",SUMIFS('12_Production_Log'!$H:$H,'12_Production_Log'!$B:$B,A33,'12_Production_Log'!$C:$C,B33))</x:f>
        <x:v>0</x:v>
      </x:c>
      <x:c r="G33" s="136" t="n">
        <x:f>IF(OR(A33="",B33=""),"",SUMIFS('13_Labor_Time'!$J:$J,'13_Labor_Time'!$B:$B,A33,'13_Labor_Time'!$C:$C,B33))</x:f>
        <x:v>0</x:v>
      </x:c>
      <x:c r="H33" s="70" t="n">
        <x:f>IF(OR(A33="",B33=""),"",SUMIFS('14_Materials_Log'!$I:$I,'14_Materials_Log'!$B:$B,A33,'14_Materials_Log'!$C:$C,B33))</x:f>
        <x:v>0</x:v>
      </x:c>
      <x:c r="I33" s="136" t="n">
        <x:f>IF(OR(A33="",B33=""),"",SUMIFS('15_Equipment_Log'!$I:$I,'15_Equipment_Log'!$B:$B,A33,'15_Equipment_Log'!$C:$C,B33))</x:f>
        <x:v>0</x:v>
      </x:c>
      <x:c r="J33" s="70" t="n">
        <x:f>IF(OR(A33="",B33=""),"",SUMIFS('15_Equipment_Log'!$M:$M,'15_Equipment_Log'!$B:$B,A33,'15_Equipment_Log'!$C:$C,B33))</x:f>
        <x:v>0</x:v>
      </x:c>
      <x:c r="K33" s="70" t="n">
        <x:f>IF(OR(A33="",B33=""),"",SUMIFS('12_Production_Log'!$M:$M,'12_Production_Log'!$B:$B,A33,'12_Production_Log'!$C:$C,B33)+SUMIFS('14_Materials_Log'!$I:$I,'14_Materials_Log'!$B:$B,A33,'14_Materials_Log'!$C:$C,B33,'14_Materials_Log'!$J:$J,"Yes"))</x:f>
        <x:v>0</x:v>
      </x:c>
      <x:c r="L33" s="70" t="n">
        <x:f>IF(OR(A33="",B33=""),"",SUMIFS('13_Labor_Time'!$L:$L,'13_Labor_Time'!$B:$B,A33,'13_Labor_Time'!$C:$C,B33))</x:f>
        <x:v>0</x:v>
      </x:c>
      <x:c r="M33" s="70" t="str">
        <x:f>IF(OR(K33="",H33="",J33="",L33=""),"",K33-H33-J33-L33)</x:f>
      </x:c>
      <x:c r="N33" s="140" t="str">
        <x:f>IF(C33=0,"",D33/C33)</x:f>
      </x:c>
    </x:row>
    <x:row r="34" ht="20" customHeight="1">
      <x:c r="A34" s="28" t="n">
        <x:v>46212</x:v>
      </x:c>
      <x:c r="B34" s="15" t="str">
        <x:v>PRJ-1003</x:v>
      </x:c>
      <x:c r="C34" s="15" t="n">
        <x:f>IF(OR(A34="",B34=""),"",COUNTIFS('11_Intake_Daily'!$C:$C,A34,'11_Intake_Daily'!$D:$D,B34))</x:f>
        <x:v>0</x:v>
      </x:c>
      <x:c r="D34" s="15" t="n">
        <x:f>IF(OR(A34="",B34=""),"",COUNTIFS('11_Intake_Daily'!$C:$C,A34,'11_Intake_Daily'!$D:$D,B34,'11_Intake_Daily'!$AA:$AA,"Yes"))</x:f>
        <x:v>0</x:v>
      </x:c>
      <x:c r="E34" s="15" t="n">
        <x:f>IF(OR(A34="",B34=""),"",COUNTIFS('20_Proof_Queue'!$B:$B,A34,'20_Proof_Queue'!$C:$C,B34,'20_Proof_Queue'!$H:$H,"&lt;&gt;Closed"))</x:f>
        <x:v>0</x:v>
      </x:c>
      <x:c r="F34" s="138" t="n">
        <x:f>IF(OR(A34="",B34=""),"",SUMIFS('12_Production_Log'!$H:$H,'12_Production_Log'!$B:$B,A34,'12_Production_Log'!$C:$C,B34))</x:f>
        <x:v>0</x:v>
      </x:c>
      <x:c r="G34" s="136" t="n">
        <x:f>IF(OR(A34="",B34=""),"",SUMIFS('13_Labor_Time'!$J:$J,'13_Labor_Time'!$B:$B,A34,'13_Labor_Time'!$C:$C,B34))</x:f>
        <x:v>0</x:v>
      </x:c>
      <x:c r="H34" s="70" t="n">
        <x:f>IF(OR(A34="",B34=""),"",SUMIFS('14_Materials_Log'!$I:$I,'14_Materials_Log'!$B:$B,A34,'14_Materials_Log'!$C:$C,B34))</x:f>
        <x:v>0</x:v>
      </x:c>
      <x:c r="I34" s="136" t="n">
        <x:f>IF(OR(A34="",B34=""),"",SUMIFS('15_Equipment_Log'!$I:$I,'15_Equipment_Log'!$B:$B,A34,'15_Equipment_Log'!$C:$C,B34))</x:f>
        <x:v>0</x:v>
      </x:c>
      <x:c r="J34" s="70" t="n">
        <x:f>IF(OR(A34="",B34=""),"",SUMIFS('15_Equipment_Log'!$M:$M,'15_Equipment_Log'!$B:$B,A34,'15_Equipment_Log'!$C:$C,B34))</x:f>
        <x:v>0</x:v>
      </x:c>
      <x:c r="K34" s="70" t="n">
        <x:f>IF(OR(A34="",B34=""),"",SUMIFS('12_Production_Log'!$M:$M,'12_Production_Log'!$B:$B,A34,'12_Production_Log'!$C:$C,B34)+SUMIFS('14_Materials_Log'!$I:$I,'14_Materials_Log'!$B:$B,A34,'14_Materials_Log'!$C:$C,B34,'14_Materials_Log'!$J:$J,"Yes"))</x:f>
        <x:v>0</x:v>
      </x:c>
      <x:c r="L34" s="70" t="n">
        <x:f>IF(OR(A34="",B34=""),"",SUMIFS('13_Labor_Time'!$L:$L,'13_Labor_Time'!$B:$B,A34,'13_Labor_Time'!$C:$C,B34))</x:f>
        <x:v>0</x:v>
      </x:c>
      <x:c r="M34" s="70" t="str">
        <x:f>IF(OR(K34="",H34="",J34="",L34=""),"",K34-H34-J34-L34)</x:f>
      </x:c>
      <x:c r="N34" s="140" t="str">
        <x:f>IF(C34=0,"",D34/C34)</x:f>
      </x:c>
    </x:row>
    <x:row r="35" ht="20" customHeight="1">
      <x:c r="A35" s="28" t="n">
        <x:v>46213</x:v>
      </x:c>
      <x:c r="B35" s="15" t="str">
        <x:v>PRJ-1001</x:v>
      </x:c>
      <x:c r="C35" s="15" t="n">
        <x:f>IF(OR(A35="",B35=""),"",COUNTIFS('11_Intake_Daily'!$C:$C,A35,'11_Intake_Daily'!$D:$D,B35))</x:f>
        <x:v>0</x:v>
      </x:c>
      <x:c r="D35" s="15" t="n">
        <x:f>IF(OR(A35="",B35=""),"",COUNTIFS('11_Intake_Daily'!$C:$C,A35,'11_Intake_Daily'!$D:$D,B35,'11_Intake_Daily'!$AA:$AA,"Yes"))</x:f>
        <x:v>0</x:v>
      </x:c>
      <x:c r="E35" s="15" t="n">
        <x:f>IF(OR(A35="",B35=""),"",COUNTIFS('20_Proof_Queue'!$B:$B,A35,'20_Proof_Queue'!$C:$C,B35,'20_Proof_Queue'!$H:$H,"&lt;&gt;Closed"))</x:f>
        <x:v>0</x:v>
      </x:c>
      <x:c r="F35" s="138" t="n">
        <x:f>IF(OR(A35="",B35=""),"",SUMIFS('12_Production_Log'!$H:$H,'12_Production_Log'!$B:$B,A35,'12_Production_Log'!$C:$C,B35))</x:f>
        <x:v>0</x:v>
      </x:c>
      <x:c r="G35" s="136" t="n">
        <x:f>IF(OR(A35="",B35=""),"",SUMIFS('13_Labor_Time'!$J:$J,'13_Labor_Time'!$B:$B,A35,'13_Labor_Time'!$C:$C,B35))</x:f>
        <x:v>0</x:v>
      </x:c>
      <x:c r="H35" s="70" t="n">
        <x:f>IF(OR(A35="",B35=""),"",SUMIFS('14_Materials_Log'!$I:$I,'14_Materials_Log'!$B:$B,A35,'14_Materials_Log'!$C:$C,B35))</x:f>
        <x:v>0</x:v>
      </x:c>
      <x:c r="I35" s="136" t="n">
        <x:f>IF(OR(A35="",B35=""),"",SUMIFS('15_Equipment_Log'!$I:$I,'15_Equipment_Log'!$B:$B,A35,'15_Equipment_Log'!$C:$C,B35))</x:f>
        <x:v>0</x:v>
      </x:c>
      <x:c r="J35" s="70" t="n">
        <x:f>IF(OR(A35="",B35=""),"",SUMIFS('15_Equipment_Log'!$M:$M,'15_Equipment_Log'!$B:$B,A35,'15_Equipment_Log'!$C:$C,B35))</x:f>
        <x:v>0</x:v>
      </x:c>
      <x:c r="K35" s="70" t="n">
        <x:f>IF(OR(A35="",B35=""),"",SUMIFS('12_Production_Log'!$M:$M,'12_Production_Log'!$B:$B,A35,'12_Production_Log'!$C:$C,B35)+SUMIFS('14_Materials_Log'!$I:$I,'14_Materials_Log'!$B:$B,A35,'14_Materials_Log'!$C:$C,B35,'14_Materials_Log'!$J:$J,"Yes"))</x:f>
        <x:v>0</x:v>
      </x:c>
      <x:c r="L35" s="70" t="n">
        <x:f>IF(OR(A35="",B35=""),"",SUMIFS('13_Labor_Time'!$L:$L,'13_Labor_Time'!$B:$B,A35,'13_Labor_Time'!$C:$C,B35))</x:f>
        <x:v>0</x:v>
      </x:c>
      <x:c r="M35" s="70" t="str">
        <x:f>IF(OR(K35="",H35="",J35="",L35=""),"",K35-H35-J35-L35)</x:f>
      </x:c>
      <x:c r="N35" s="140" t="str">
        <x:f>IF(C35=0,"",D35/C35)</x:f>
      </x:c>
    </x:row>
    <x:row r="36" ht="20" customHeight="1">
      <x:c r="A36" s="28" t="n">
        <x:v>46213</x:v>
      </x:c>
      <x:c r="B36" s="15" t="str">
        <x:v>PRJ-1002</x:v>
      </x:c>
      <x:c r="C36" s="15" t="n">
        <x:f>IF(OR(A36="",B36=""),"",COUNTIFS('11_Intake_Daily'!$C:$C,A36,'11_Intake_Daily'!$D:$D,B36))</x:f>
        <x:v>0</x:v>
      </x:c>
      <x:c r="D36" s="15" t="n">
        <x:f>IF(OR(A36="",B36=""),"",COUNTIFS('11_Intake_Daily'!$C:$C,A36,'11_Intake_Daily'!$D:$D,B36,'11_Intake_Daily'!$AA:$AA,"Yes"))</x:f>
        <x:v>0</x:v>
      </x:c>
      <x:c r="E36" s="15" t="n">
        <x:f>IF(OR(A36="",B36=""),"",COUNTIFS('20_Proof_Queue'!$B:$B,A36,'20_Proof_Queue'!$C:$C,B36,'20_Proof_Queue'!$H:$H,"&lt;&gt;Closed"))</x:f>
        <x:v>0</x:v>
      </x:c>
      <x:c r="F36" s="138" t="n">
        <x:f>IF(OR(A36="",B36=""),"",SUMIFS('12_Production_Log'!$H:$H,'12_Production_Log'!$B:$B,A36,'12_Production_Log'!$C:$C,B36))</x:f>
        <x:v>0</x:v>
      </x:c>
      <x:c r="G36" s="136" t="n">
        <x:f>IF(OR(A36="",B36=""),"",SUMIFS('13_Labor_Time'!$J:$J,'13_Labor_Time'!$B:$B,A36,'13_Labor_Time'!$C:$C,B36))</x:f>
        <x:v>0</x:v>
      </x:c>
      <x:c r="H36" s="70" t="n">
        <x:f>IF(OR(A36="",B36=""),"",SUMIFS('14_Materials_Log'!$I:$I,'14_Materials_Log'!$B:$B,A36,'14_Materials_Log'!$C:$C,B36))</x:f>
        <x:v>0</x:v>
      </x:c>
      <x:c r="I36" s="136" t="n">
        <x:f>IF(OR(A36="",B36=""),"",SUMIFS('15_Equipment_Log'!$I:$I,'15_Equipment_Log'!$B:$B,A36,'15_Equipment_Log'!$C:$C,B36))</x:f>
        <x:v>0</x:v>
      </x:c>
      <x:c r="J36" s="70" t="n">
        <x:f>IF(OR(A36="",B36=""),"",SUMIFS('15_Equipment_Log'!$M:$M,'15_Equipment_Log'!$B:$B,A36,'15_Equipment_Log'!$C:$C,B36))</x:f>
        <x:v>0</x:v>
      </x:c>
      <x:c r="K36" s="70" t="n">
        <x:f>IF(OR(A36="",B36=""),"",SUMIFS('12_Production_Log'!$M:$M,'12_Production_Log'!$B:$B,A36,'12_Production_Log'!$C:$C,B36)+SUMIFS('14_Materials_Log'!$I:$I,'14_Materials_Log'!$B:$B,A36,'14_Materials_Log'!$C:$C,B36,'14_Materials_Log'!$J:$J,"Yes"))</x:f>
        <x:v>0</x:v>
      </x:c>
      <x:c r="L36" s="70" t="n">
        <x:f>IF(OR(A36="",B36=""),"",SUMIFS('13_Labor_Time'!$L:$L,'13_Labor_Time'!$B:$B,A36,'13_Labor_Time'!$C:$C,B36))</x:f>
        <x:v>0</x:v>
      </x:c>
      <x:c r="M36" s="70" t="str">
        <x:f>IF(OR(K36="",H36="",J36="",L36=""),"",K36-H36-J36-L36)</x:f>
      </x:c>
      <x:c r="N36" s="140" t="str">
        <x:f>IF(C36=0,"",D36/C36)</x:f>
      </x:c>
    </x:row>
    <x:row r="37" ht="20" customHeight="1">
      <x:c r="A37" s="28" t="n">
        <x:v>46213</x:v>
      </x:c>
      <x:c r="B37" s="15" t="str">
        <x:v>PRJ-1003</x:v>
      </x:c>
      <x:c r="C37" s="15" t="n">
        <x:f>IF(OR(A37="",B37=""),"",COUNTIFS('11_Intake_Daily'!$C:$C,A37,'11_Intake_Daily'!$D:$D,B37))</x:f>
        <x:v>0</x:v>
      </x:c>
      <x:c r="D37" s="15" t="n">
        <x:f>IF(OR(A37="",B37=""),"",COUNTIFS('11_Intake_Daily'!$C:$C,A37,'11_Intake_Daily'!$D:$D,B37,'11_Intake_Daily'!$AA:$AA,"Yes"))</x:f>
        <x:v>0</x:v>
      </x:c>
      <x:c r="E37" s="15" t="n">
        <x:f>IF(OR(A37="",B37=""),"",COUNTIFS('20_Proof_Queue'!$B:$B,A37,'20_Proof_Queue'!$C:$C,B37,'20_Proof_Queue'!$H:$H,"&lt;&gt;Closed"))</x:f>
        <x:v>0</x:v>
      </x:c>
      <x:c r="F37" s="138" t="n">
        <x:f>IF(OR(A37="",B37=""),"",SUMIFS('12_Production_Log'!$H:$H,'12_Production_Log'!$B:$B,A37,'12_Production_Log'!$C:$C,B37))</x:f>
        <x:v>0</x:v>
      </x:c>
      <x:c r="G37" s="136" t="n">
        <x:f>IF(OR(A37="",B37=""),"",SUMIFS('13_Labor_Time'!$J:$J,'13_Labor_Time'!$B:$B,A37,'13_Labor_Time'!$C:$C,B37))</x:f>
        <x:v>0</x:v>
      </x:c>
      <x:c r="H37" s="70" t="n">
        <x:f>IF(OR(A37="",B37=""),"",SUMIFS('14_Materials_Log'!$I:$I,'14_Materials_Log'!$B:$B,A37,'14_Materials_Log'!$C:$C,B37))</x:f>
        <x:v>0</x:v>
      </x:c>
      <x:c r="I37" s="136" t="n">
        <x:f>IF(OR(A37="",B37=""),"",SUMIFS('15_Equipment_Log'!$I:$I,'15_Equipment_Log'!$B:$B,A37,'15_Equipment_Log'!$C:$C,B37))</x:f>
        <x:v>0</x:v>
      </x:c>
      <x:c r="J37" s="70" t="n">
        <x:f>IF(OR(A37="",B37=""),"",SUMIFS('15_Equipment_Log'!$M:$M,'15_Equipment_Log'!$B:$B,A37,'15_Equipment_Log'!$C:$C,B37))</x:f>
        <x:v>0</x:v>
      </x:c>
      <x:c r="K37" s="70" t="n">
        <x:f>IF(OR(A37="",B37=""),"",SUMIFS('12_Production_Log'!$M:$M,'12_Production_Log'!$B:$B,A37,'12_Production_Log'!$C:$C,B37)+SUMIFS('14_Materials_Log'!$I:$I,'14_Materials_Log'!$B:$B,A37,'14_Materials_Log'!$C:$C,B37,'14_Materials_Log'!$J:$J,"Yes"))</x:f>
        <x:v>0</x:v>
      </x:c>
      <x:c r="L37" s="70" t="n">
        <x:f>IF(OR(A37="",B37=""),"",SUMIFS('13_Labor_Time'!$L:$L,'13_Labor_Time'!$B:$B,A37,'13_Labor_Time'!$C:$C,B37))</x:f>
        <x:v>0</x:v>
      </x:c>
      <x:c r="M37" s="70" t="str">
        <x:f>IF(OR(K37="",H37="",J37="",L37=""),"",K37-H37-J37-L37)</x:f>
      </x:c>
      <x:c r="N37" s="140" t="str">
        <x:f>IF(C37=0,"",D37/C37)</x:f>
      </x:c>
    </x:row>
    <x:row r="38" ht="20" customHeight="1">
      <x:c r="A38" s="28" t="n">
        <x:v>46214</x:v>
      </x:c>
      <x:c r="B38" s="15" t="str">
        <x:v>PRJ-1001</x:v>
      </x:c>
      <x:c r="C38" s="15" t="n">
        <x:f>IF(OR(A38="",B38=""),"",COUNTIFS('11_Intake_Daily'!$C:$C,A38,'11_Intake_Daily'!$D:$D,B38))</x:f>
        <x:v>0</x:v>
      </x:c>
      <x:c r="D38" s="15" t="n">
        <x:f>IF(OR(A38="",B38=""),"",COUNTIFS('11_Intake_Daily'!$C:$C,A38,'11_Intake_Daily'!$D:$D,B38,'11_Intake_Daily'!$AA:$AA,"Yes"))</x:f>
        <x:v>0</x:v>
      </x:c>
      <x:c r="E38" s="15" t="n">
        <x:f>IF(OR(A38="",B38=""),"",COUNTIFS('20_Proof_Queue'!$B:$B,A38,'20_Proof_Queue'!$C:$C,B38,'20_Proof_Queue'!$H:$H,"&lt;&gt;Closed"))</x:f>
        <x:v>0</x:v>
      </x:c>
      <x:c r="F38" s="138" t="n">
        <x:f>IF(OR(A38="",B38=""),"",SUMIFS('12_Production_Log'!$H:$H,'12_Production_Log'!$B:$B,A38,'12_Production_Log'!$C:$C,B38))</x:f>
        <x:v>0</x:v>
      </x:c>
      <x:c r="G38" s="136" t="n">
        <x:f>IF(OR(A38="",B38=""),"",SUMIFS('13_Labor_Time'!$J:$J,'13_Labor_Time'!$B:$B,A38,'13_Labor_Time'!$C:$C,B38))</x:f>
        <x:v>0</x:v>
      </x:c>
      <x:c r="H38" s="70" t="n">
        <x:f>IF(OR(A38="",B38=""),"",SUMIFS('14_Materials_Log'!$I:$I,'14_Materials_Log'!$B:$B,A38,'14_Materials_Log'!$C:$C,B38))</x:f>
        <x:v>0</x:v>
      </x:c>
      <x:c r="I38" s="136" t="n">
        <x:f>IF(OR(A38="",B38=""),"",SUMIFS('15_Equipment_Log'!$I:$I,'15_Equipment_Log'!$B:$B,A38,'15_Equipment_Log'!$C:$C,B38))</x:f>
        <x:v>0</x:v>
      </x:c>
      <x:c r="J38" s="70" t="n">
        <x:f>IF(OR(A38="",B38=""),"",SUMIFS('15_Equipment_Log'!$M:$M,'15_Equipment_Log'!$B:$B,A38,'15_Equipment_Log'!$C:$C,B38))</x:f>
        <x:v>0</x:v>
      </x:c>
      <x:c r="K38" s="70" t="n">
        <x:f>IF(OR(A38="",B38=""),"",SUMIFS('12_Production_Log'!$M:$M,'12_Production_Log'!$B:$B,A38,'12_Production_Log'!$C:$C,B38)+SUMIFS('14_Materials_Log'!$I:$I,'14_Materials_Log'!$B:$B,A38,'14_Materials_Log'!$C:$C,B38,'14_Materials_Log'!$J:$J,"Yes"))</x:f>
        <x:v>0</x:v>
      </x:c>
      <x:c r="L38" s="70" t="n">
        <x:f>IF(OR(A38="",B38=""),"",SUMIFS('13_Labor_Time'!$L:$L,'13_Labor_Time'!$B:$B,A38,'13_Labor_Time'!$C:$C,B38))</x:f>
        <x:v>0</x:v>
      </x:c>
      <x:c r="M38" s="70" t="str">
        <x:f>IF(OR(K38="",H38="",J38="",L38=""),"",K38-H38-J38-L38)</x:f>
      </x:c>
      <x:c r="N38" s="140" t="str">
        <x:f>IF(C38=0,"",D38/C38)</x:f>
      </x:c>
    </x:row>
    <x:row r="39" ht="20" customHeight="1">
      <x:c r="A39" s="28" t="n">
        <x:v>46214</x:v>
      </x:c>
      <x:c r="B39" s="15" t="str">
        <x:v>PRJ-1002</x:v>
      </x:c>
      <x:c r="C39" s="15" t="n">
        <x:f>IF(OR(A39="",B39=""),"",COUNTIFS('11_Intake_Daily'!$C:$C,A39,'11_Intake_Daily'!$D:$D,B39))</x:f>
        <x:v>0</x:v>
      </x:c>
      <x:c r="D39" s="15" t="n">
        <x:f>IF(OR(A39="",B39=""),"",COUNTIFS('11_Intake_Daily'!$C:$C,A39,'11_Intake_Daily'!$D:$D,B39,'11_Intake_Daily'!$AA:$AA,"Yes"))</x:f>
        <x:v>0</x:v>
      </x:c>
      <x:c r="E39" s="15" t="n">
        <x:f>IF(OR(A39="",B39=""),"",COUNTIFS('20_Proof_Queue'!$B:$B,A39,'20_Proof_Queue'!$C:$C,B39,'20_Proof_Queue'!$H:$H,"&lt;&gt;Closed"))</x:f>
        <x:v>0</x:v>
      </x:c>
      <x:c r="F39" s="138" t="n">
        <x:f>IF(OR(A39="",B39=""),"",SUMIFS('12_Production_Log'!$H:$H,'12_Production_Log'!$B:$B,A39,'12_Production_Log'!$C:$C,B39))</x:f>
        <x:v>0</x:v>
      </x:c>
      <x:c r="G39" s="136" t="n">
        <x:f>IF(OR(A39="",B39=""),"",SUMIFS('13_Labor_Time'!$J:$J,'13_Labor_Time'!$B:$B,A39,'13_Labor_Time'!$C:$C,B39))</x:f>
        <x:v>0</x:v>
      </x:c>
      <x:c r="H39" s="70" t="n">
        <x:f>IF(OR(A39="",B39=""),"",SUMIFS('14_Materials_Log'!$I:$I,'14_Materials_Log'!$B:$B,A39,'14_Materials_Log'!$C:$C,B39))</x:f>
        <x:v>0</x:v>
      </x:c>
      <x:c r="I39" s="136" t="n">
        <x:f>IF(OR(A39="",B39=""),"",SUMIFS('15_Equipment_Log'!$I:$I,'15_Equipment_Log'!$B:$B,A39,'15_Equipment_Log'!$C:$C,B39))</x:f>
        <x:v>0</x:v>
      </x:c>
      <x:c r="J39" s="70" t="n">
        <x:f>IF(OR(A39="",B39=""),"",SUMIFS('15_Equipment_Log'!$M:$M,'15_Equipment_Log'!$B:$B,A39,'15_Equipment_Log'!$C:$C,B39))</x:f>
        <x:v>0</x:v>
      </x:c>
      <x:c r="K39" s="70" t="n">
        <x:f>IF(OR(A39="",B39=""),"",SUMIFS('12_Production_Log'!$M:$M,'12_Production_Log'!$B:$B,A39,'12_Production_Log'!$C:$C,B39)+SUMIFS('14_Materials_Log'!$I:$I,'14_Materials_Log'!$B:$B,A39,'14_Materials_Log'!$C:$C,B39,'14_Materials_Log'!$J:$J,"Yes"))</x:f>
        <x:v>0</x:v>
      </x:c>
      <x:c r="L39" s="70" t="n">
        <x:f>IF(OR(A39="",B39=""),"",SUMIFS('13_Labor_Time'!$L:$L,'13_Labor_Time'!$B:$B,A39,'13_Labor_Time'!$C:$C,B39))</x:f>
        <x:v>0</x:v>
      </x:c>
      <x:c r="M39" s="70" t="str">
        <x:f>IF(OR(K39="",H39="",J39="",L39=""),"",K39-H39-J39-L39)</x:f>
      </x:c>
      <x:c r="N39" s="140" t="str">
        <x:f>IF(C39=0,"",D39/C39)</x:f>
      </x:c>
    </x:row>
    <x:row r="40" ht="20" customHeight="1">
      <x:c r="A40" s="28" t="n">
        <x:v>46214</x:v>
      </x:c>
      <x:c r="B40" s="15" t="str">
        <x:v>PRJ-1003</x:v>
      </x:c>
      <x:c r="C40" s="15" t="n">
        <x:f>IF(OR(A40="",B40=""),"",COUNTIFS('11_Intake_Daily'!$C:$C,A40,'11_Intake_Daily'!$D:$D,B40))</x:f>
        <x:v>0</x:v>
      </x:c>
      <x:c r="D40" s="15" t="n">
        <x:f>IF(OR(A40="",B40=""),"",COUNTIFS('11_Intake_Daily'!$C:$C,A40,'11_Intake_Daily'!$D:$D,B40,'11_Intake_Daily'!$AA:$AA,"Yes"))</x:f>
        <x:v>0</x:v>
      </x:c>
      <x:c r="E40" s="15" t="n">
        <x:f>IF(OR(A40="",B40=""),"",COUNTIFS('20_Proof_Queue'!$B:$B,A40,'20_Proof_Queue'!$C:$C,B40,'20_Proof_Queue'!$H:$H,"&lt;&gt;Closed"))</x:f>
        <x:v>0</x:v>
      </x:c>
      <x:c r="F40" s="138" t="n">
        <x:f>IF(OR(A40="",B40=""),"",SUMIFS('12_Production_Log'!$H:$H,'12_Production_Log'!$B:$B,A40,'12_Production_Log'!$C:$C,B40))</x:f>
        <x:v>0</x:v>
      </x:c>
      <x:c r="G40" s="136" t="n">
        <x:f>IF(OR(A40="",B40=""),"",SUMIFS('13_Labor_Time'!$J:$J,'13_Labor_Time'!$B:$B,A40,'13_Labor_Time'!$C:$C,B40))</x:f>
        <x:v>0</x:v>
      </x:c>
      <x:c r="H40" s="70" t="n">
        <x:f>IF(OR(A40="",B40=""),"",SUMIFS('14_Materials_Log'!$I:$I,'14_Materials_Log'!$B:$B,A40,'14_Materials_Log'!$C:$C,B40))</x:f>
        <x:v>0</x:v>
      </x:c>
      <x:c r="I40" s="136" t="n">
        <x:f>IF(OR(A40="",B40=""),"",SUMIFS('15_Equipment_Log'!$I:$I,'15_Equipment_Log'!$B:$B,A40,'15_Equipment_Log'!$C:$C,B40))</x:f>
        <x:v>0</x:v>
      </x:c>
      <x:c r="J40" s="70" t="n">
        <x:f>IF(OR(A40="",B40=""),"",SUMIFS('15_Equipment_Log'!$M:$M,'15_Equipment_Log'!$B:$B,A40,'15_Equipment_Log'!$C:$C,B40))</x:f>
        <x:v>0</x:v>
      </x:c>
      <x:c r="K40" s="70" t="n">
        <x:f>IF(OR(A40="",B40=""),"",SUMIFS('12_Production_Log'!$M:$M,'12_Production_Log'!$B:$B,A40,'12_Production_Log'!$C:$C,B40)+SUMIFS('14_Materials_Log'!$I:$I,'14_Materials_Log'!$B:$B,A40,'14_Materials_Log'!$C:$C,B40,'14_Materials_Log'!$J:$J,"Yes"))</x:f>
        <x:v>0</x:v>
      </x:c>
      <x:c r="L40" s="70" t="n">
        <x:f>IF(OR(A40="",B40=""),"",SUMIFS('13_Labor_Time'!$L:$L,'13_Labor_Time'!$B:$B,A40,'13_Labor_Time'!$C:$C,B40))</x:f>
        <x:v>0</x:v>
      </x:c>
      <x:c r="M40" s="70" t="str">
        <x:f>IF(OR(K40="",H40="",J40="",L40=""),"",K40-H40-J40-L40)</x:f>
      </x:c>
      <x:c r="N40" s="140" t="str">
        <x:f>IF(C40=0,"",D40/C40)</x:f>
      </x:c>
    </x:row>
    <x:row r="41" ht="20" customHeight="1">
      <x:c r="A41" s="28" t="n">
        <x:v>46215</x:v>
      </x:c>
      <x:c r="B41" s="15" t="str">
        <x:v>PRJ-1001</x:v>
      </x:c>
      <x:c r="C41" s="15" t="n">
        <x:f>IF(OR(A41="",B41=""),"",COUNTIFS('11_Intake_Daily'!$C:$C,A41,'11_Intake_Daily'!$D:$D,B41))</x:f>
        <x:v>0</x:v>
      </x:c>
      <x:c r="D41" s="15" t="n">
        <x:f>IF(OR(A41="",B41=""),"",COUNTIFS('11_Intake_Daily'!$C:$C,A41,'11_Intake_Daily'!$D:$D,B41,'11_Intake_Daily'!$AA:$AA,"Yes"))</x:f>
        <x:v>0</x:v>
      </x:c>
      <x:c r="E41" s="15" t="n">
        <x:f>IF(OR(A41="",B41=""),"",COUNTIFS('20_Proof_Queue'!$B:$B,A41,'20_Proof_Queue'!$C:$C,B41,'20_Proof_Queue'!$H:$H,"&lt;&gt;Closed"))</x:f>
        <x:v>0</x:v>
      </x:c>
      <x:c r="F41" s="138" t="n">
        <x:f>IF(OR(A41="",B41=""),"",SUMIFS('12_Production_Log'!$H:$H,'12_Production_Log'!$B:$B,A41,'12_Production_Log'!$C:$C,B41))</x:f>
        <x:v>0</x:v>
      </x:c>
      <x:c r="G41" s="136" t="n">
        <x:f>IF(OR(A41="",B41=""),"",SUMIFS('13_Labor_Time'!$J:$J,'13_Labor_Time'!$B:$B,A41,'13_Labor_Time'!$C:$C,B41))</x:f>
        <x:v>0</x:v>
      </x:c>
      <x:c r="H41" s="70" t="n">
        <x:f>IF(OR(A41="",B41=""),"",SUMIFS('14_Materials_Log'!$I:$I,'14_Materials_Log'!$B:$B,A41,'14_Materials_Log'!$C:$C,B41))</x:f>
        <x:v>0</x:v>
      </x:c>
      <x:c r="I41" s="136" t="n">
        <x:f>IF(OR(A41="",B41=""),"",SUMIFS('15_Equipment_Log'!$I:$I,'15_Equipment_Log'!$B:$B,A41,'15_Equipment_Log'!$C:$C,B41))</x:f>
        <x:v>0</x:v>
      </x:c>
      <x:c r="J41" s="70" t="n">
        <x:f>IF(OR(A41="",B41=""),"",SUMIFS('15_Equipment_Log'!$M:$M,'15_Equipment_Log'!$B:$B,A41,'15_Equipment_Log'!$C:$C,B41))</x:f>
        <x:v>0</x:v>
      </x:c>
      <x:c r="K41" s="70" t="n">
        <x:f>IF(OR(A41="",B41=""),"",SUMIFS('12_Production_Log'!$M:$M,'12_Production_Log'!$B:$B,A41,'12_Production_Log'!$C:$C,B41)+SUMIFS('14_Materials_Log'!$I:$I,'14_Materials_Log'!$B:$B,A41,'14_Materials_Log'!$C:$C,B41,'14_Materials_Log'!$J:$J,"Yes"))</x:f>
        <x:v>0</x:v>
      </x:c>
      <x:c r="L41" s="70" t="n">
        <x:f>IF(OR(A41="",B41=""),"",SUMIFS('13_Labor_Time'!$L:$L,'13_Labor_Time'!$B:$B,A41,'13_Labor_Time'!$C:$C,B41))</x:f>
        <x:v>0</x:v>
      </x:c>
      <x:c r="M41" s="70" t="str">
        <x:f>IF(OR(K41="",H41="",J41="",L41=""),"",K41-H41-J41-L41)</x:f>
      </x:c>
      <x:c r="N41" s="140" t="str">
        <x:f>IF(C41=0,"",D41/C41)</x:f>
      </x:c>
    </x:row>
    <x:row r="42" ht="20" customHeight="1">
      <x:c r="A42" s="28" t="n">
        <x:v>46215</x:v>
      </x:c>
      <x:c r="B42" s="15" t="str">
        <x:v>PRJ-1002</x:v>
      </x:c>
      <x:c r="C42" s="15" t="n">
        <x:f>IF(OR(A42="",B42=""),"",COUNTIFS('11_Intake_Daily'!$C:$C,A42,'11_Intake_Daily'!$D:$D,B42))</x:f>
        <x:v>0</x:v>
      </x:c>
      <x:c r="D42" s="15" t="n">
        <x:f>IF(OR(A42="",B42=""),"",COUNTIFS('11_Intake_Daily'!$C:$C,A42,'11_Intake_Daily'!$D:$D,B42,'11_Intake_Daily'!$AA:$AA,"Yes"))</x:f>
        <x:v>0</x:v>
      </x:c>
      <x:c r="E42" s="15" t="n">
        <x:f>IF(OR(A42="",B42=""),"",COUNTIFS('20_Proof_Queue'!$B:$B,A42,'20_Proof_Queue'!$C:$C,B42,'20_Proof_Queue'!$H:$H,"&lt;&gt;Closed"))</x:f>
        <x:v>0</x:v>
      </x:c>
      <x:c r="F42" s="138" t="n">
        <x:f>IF(OR(A42="",B42=""),"",SUMIFS('12_Production_Log'!$H:$H,'12_Production_Log'!$B:$B,A42,'12_Production_Log'!$C:$C,B42))</x:f>
        <x:v>0</x:v>
      </x:c>
      <x:c r="G42" s="136" t="n">
        <x:f>IF(OR(A42="",B42=""),"",SUMIFS('13_Labor_Time'!$J:$J,'13_Labor_Time'!$B:$B,A42,'13_Labor_Time'!$C:$C,B42))</x:f>
        <x:v>0</x:v>
      </x:c>
      <x:c r="H42" s="70" t="n">
        <x:f>IF(OR(A42="",B42=""),"",SUMIFS('14_Materials_Log'!$I:$I,'14_Materials_Log'!$B:$B,A42,'14_Materials_Log'!$C:$C,B42))</x:f>
        <x:v>0</x:v>
      </x:c>
      <x:c r="I42" s="136" t="n">
        <x:f>IF(OR(A42="",B42=""),"",SUMIFS('15_Equipment_Log'!$I:$I,'15_Equipment_Log'!$B:$B,A42,'15_Equipment_Log'!$C:$C,B42))</x:f>
        <x:v>0</x:v>
      </x:c>
      <x:c r="J42" s="70" t="n">
        <x:f>IF(OR(A42="",B42=""),"",SUMIFS('15_Equipment_Log'!$M:$M,'15_Equipment_Log'!$B:$B,A42,'15_Equipment_Log'!$C:$C,B42))</x:f>
        <x:v>0</x:v>
      </x:c>
      <x:c r="K42" s="70" t="n">
        <x:f>IF(OR(A42="",B42=""),"",SUMIFS('12_Production_Log'!$M:$M,'12_Production_Log'!$B:$B,A42,'12_Production_Log'!$C:$C,B42)+SUMIFS('14_Materials_Log'!$I:$I,'14_Materials_Log'!$B:$B,A42,'14_Materials_Log'!$C:$C,B42,'14_Materials_Log'!$J:$J,"Yes"))</x:f>
        <x:v>0</x:v>
      </x:c>
      <x:c r="L42" s="70" t="n">
        <x:f>IF(OR(A42="",B42=""),"",SUMIFS('13_Labor_Time'!$L:$L,'13_Labor_Time'!$B:$B,A42,'13_Labor_Time'!$C:$C,B42))</x:f>
        <x:v>0</x:v>
      </x:c>
      <x:c r="M42" s="70" t="str">
        <x:f>IF(OR(K42="",H42="",J42="",L42=""),"",K42-H42-J42-L42)</x:f>
      </x:c>
      <x:c r="N42" s="140" t="str">
        <x:f>IF(C42=0,"",D42/C42)</x:f>
      </x:c>
    </x:row>
    <x:row r="43" ht="20" customHeight="1">
      <x:c r="A43" s="28" t="n">
        <x:v>46215</x:v>
      </x:c>
      <x:c r="B43" s="15" t="str">
        <x:v>PRJ-1003</x:v>
      </x:c>
      <x:c r="C43" s="15" t="n">
        <x:f>IF(OR(A43="",B43=""),"",COUNTIFS('11_Intake_Daily'!$C:$C,A43,'11_Intake_Daily'!$D:$D,B43))</x:f>
        <x:v>0</x:v>
      </x:c>
      <x:c r="D43" s="15" t="n">
        <x:f>IF(OR(A43="",B43=""),"",COUNTIFS('11_Intake_Daily'!$C:$C,A43,'11_Intake_Daily'!$D:$D,B43,'11_Intake_Daily'!$AA:$AA,"Yes"))</x:f>
        <x:v>0</x:v>
      </x:c>
      <x:c r="E43" s="15" t="n">
        <x:f>IF(OR(A43="",B43=""),"",COUNTIFS('20_Proof_Queue'!$B:$B,A43,'20_Proof_Queue'!$C:$C,B43,'20_Proof_Queue'!$H:$H,"&lt;&gt;Closed"))</x:f>
        <x:v>0</x:v>
      </x:c>
      <x:c r="F43" s="138" t="n">
        <x:f>IF(OR(A43="",B43=""),"",SUMIFS('12_Production_Log'!$H:$H,'12_Production_Log'!$B:$B,A43,'12_Production_Log'!$C:$C,B43))</x:f>
        <x:v>0</x:v>
      </x:c>
      <x:c r="G43" s="136" t="n">
        <x:f>IF(OR(A43="",B43=""),"",SUMIFS('13_Labor_Time'!$J:$J,'13_Labor_Time'!$B:$B,A43,'13_Labor_Time'!$C:$C,B43))</x:f>
        <x:v>0</x:v>
      </x:c>
      <x:c r="H43" s="70" t="n">
        <x:f>IF(OR(A43="",B43=""),"",SUMIFS('14_Materials_Log'!$I:$I,'14_Materials_Log'!$B:$B,A43,'14_Materials_Log'!$C:$C,B43))</x:f>
        <x:v>0</x:v>
      </x:c>
      <x:c r="I43" s="136" t="n">
        <x:f>IF(OR(A43="",B43=""),"",SUMIFS('15_Equipment_Log'!$I:$I,'15_Equipment_Log'!$B:$B,A43,'15_Equipment_Log'!$C:$C,B43))</x:f>
        <x:v>0</x:v>
      </x:c>
      <x:c r="J43" s="70" t="n">
        <x:f>IF(OR(A43="",B43=""),"",SUMIFS('15_Equipment_Log'!$M:$M,'15_Equipment_Log'!$B:$B,A43,'15_Equipment_Log'!$C:$C,B43))</x:f>
        <x:v>0</x:v>
      </x:c>
      <x:c r="K43" s="70" t="n">
        <x:f>IF(OR(A43="",B43=""),"",SUMIFS('12_Production_Log'!$M:$M,'12_Production_Log'!$B:$B,A43,'12_Production_Log'!$C:$C,B43)+SUMIFS('14_Materials_Log'!$I:$I,'14_Materials_Log'!$B:$B,A43,'14_Materials_Log'!$C:$C,B43,'14_Materials_Log'!$J:$J,"Yes"))</x:f>
        <x:v>0</x:v>
      </x:c>
      <x:c r="L43" s="70" t="n">
        <x:f>IF(OR(A43="",B43=""),"",SUMIFS('13_Labor_Time'!$L:$L,'13_Labor_Time'!$B:$B,A43,'13_Labor_Time'!$C:$C,B43))</x:f>
        <x:v>0</x:v>
      </x:c>
      <x:c r="M43" s="70" t="str">
        <x:f>IF(OR(K43="",H43="",J43="",L43=""),"",K43-H43-J43-L43)</x:f>
      </x:c>
      <x:c r="N43" s="140" t="str">
        <x:f>IF(C43=0,"",D43/C43)</x:f>
      </x:c>
    </x:row>
    <x:row r="44" ht="20" customHeight="1">
      <x:c r="A44" s="28" t="n">
        <x:v>46216</x:v>
      </x:c>
      <x:c r="B44" s="15" t="str">
        <x:v>PRJ-1001</x:v>
      </x:c>
      <x:c r="C44" s="15" t="n">
        <x:f>IF(OR(A44="",B44=""),"",COUNTIFS('11_Intake_Daily'!$C:$C,A44,'11_Intake_Daily'!$D:$D,B44))</x:f>
        <x:v>0</x:v>
      </x:c>
      <x:c r="D44" s="15" t="n">
        <x:f>IF(OR(A44="",B44=""),"",COUNTIFS('11_Intake_Daily'!$C:$C,A44,'11_Intake_Daily'!$D:$D,B44,'11_Intake_Daily'!$AA:$AA,"Yes"))</x:f>
        <x:v>0</x:v>
      </x:c>
      <x:c r="E44" s="15" t="n">
        <x:f>IF(OR(A44="",B44=""),"",COUNTIFS('20_Proof_Queue'!$B:$B,A44,'20_Proof_Queue'!$C:$C,B44,'20_Proof_Queue'!$H:$H,"&lt;&gt;Closed"))</x:f>
        <x:v>0</x:v>
      </x:c>
      <x:c r="F44" s="138" t="n">
        <x:f>IF(OR(A44="",B44=""),"",SUMIFS('12_Production_Log'!$H:$H,'12_Production_Log'!$B:$B,A44,'12_Production_Log'!$C:$C,B44))</x:f>
        <x:v>0</x:v>
      </x:c>
      <x:c r="G44" s="136" t="n">
        <x:f>IF(OR(A44="",B44=""),"",SUMIFS('13_Labor_Time'!$J:$J,'13_Labor_Time'!$B:$B,A44,'13_Labor_Time'!$C:$C,B44))</x:f>
        <x:v>0</x:v>
      </x:c>
      <x:c r="H44" s="70" t="n">
        <x:f>IF(OR(A44="",B44=""),"",SUMIFS('14_Materials_Log'!$I:$I,'14_Materials_Log'!$B:$B,A44,'14_Materials_Log'!$C:$C,B44))</x:f>
        <x:v>0</x:v>
      </x:c>
      <x:c r="I44" s="136" t="n">
        <x:f>IF(OR(A44="",B44=""),"",SUMIFS('15_Equipment_Log'!$I:$I,'15_Equipment_Log'!$B:$B,A44,'15_Equipment_Log'!$C:$C,B44))</x:f>
        <x:v>0</x:v>
      </x:c>
      <x:c r="J44" s="70" t="n">
        <x:f>IF(OR(A44="",B44=""),"",SUMIFS('15_Equipment_Log'!$M:$M,'15_Equipment_Log'!$B:$B,A44,'15_Equipment_Log'!$C:$C,B44))</x:f>
        <x:v>0</x:v>
      </x:c>
      <x:c r="K44" s="70" t="n">
        <x:f>IF(OR(A44="",B44=""),"",SUMIFS('12_Production_Log'!$M:$M,'12_Production_Log'!$B:$B,A44,'12_Production_Log'!$C:$C,B44)+SUMIFS('14_Materials_Log'!$I:$I,'14_Materials_Log'!$B:$B,A44,'14_Materials_Log'!$C:$C,B44,'14_Materials_Log'!$J:$J,"Yes"))</x:f>
        <x:v>0</x:v>
      </x:c>
      <x:c r="L44" s="70" t="n">
        <x:f>IF(OR(A44="",B44=""),"",SUMIFS('13_Labor_Time'!$L:$L,'13_Labor_Time'!$B:$B,A44,'13_Labor_Time'!$C:$C,B44))</x:f>
        <x:v>0</x:v>
      </x:c>
      <x:c r="M44" s="70" t="str">
        <x:f>IF(OR(K44="",H44="",J44="",L44=""),"",K44-H44-J44-L44)</x:f>
      </x:c>
      <x:c r="N44" s="140" t="str">
        <x:f>IF(C44=0,"",D44/C44)</x:f>
      </x:c>
    </x:row>
    <x:row r="45" ht="20" customHeight="1">
      <x:c r="A45" s="28" t="n">
        <x:v>46216</x:v>
      </x:c>
      <x:c r="B45" s="15" t="str">
        <x:v>PRJ-1002</x:v>
      </x:c>
      <x:c r="C45" s="15" t="n">
        <x:f>IF(OR(A45="",B45=""),"",COUNTIFS('11_Intake_Daily'!$C:$C,A45,'11_Intake_Daily'!$D:$D,B45))</x:f>
        <x:v>0</x:v>
      </x:c>
      <x:c r="D45" s="15" t="n">
        <x:f>IF(OR(A45="",B45=""),"",COUNTIFS('11_Intake_Daily'!$C:$C,A45,'11_Intake_Daily'!$D:$D,B45,'11_Intake_Daily'!$AA:$AA,"Yes"))</x:f>
        <x:v>0</x:v>
      </x:c>
      <x:c r="E45" s="15" t="n">
        <x:f>IF(OR(A45="",B45=""),"",COUNTIFS('20_Proof_Queue'!$B:$B,A45,'20_Proof_Queue'!$C:$C,B45,'20_Proof_Queue'!$H:$H,"&lt;&gt;Closed"))</x:f>
        <x:v>0</x:v>
      </x:c>
      <x:c r="F45" s="138" t="n">
        <x:f>IF(OR(A45="",B45=""),"",SUMIFS('12_Production_Log'!$H:$H,'12_Production_Log'!$B:$B,A45,'12_Production_Log'!$C:$C,B45))</x:f>
        <x:v>0</x:v>
      </x:c>
      <x:c r="G45" s="136" t="n">
        <x:f>IF(OR(A45="",B45=""),"",SUMIFS('13_Labor_Time'!$J:$J,'13_Labor_Time'!$B:$B,A45,'13_Labor_Time'!$C:$C,B45))</x:f>
        <x:v>0</x:v>
      </x:c>
      <x:c r="H45" s="70" t="n">
        <x:f>IF(OR(A45="",B45=""),"",SUMIFS('14_Materials_Log'!$I:$I,'14_Materials_Log'!$B:$B,A45,'14_Materials_Log'!$C:$C,B45))</x:f>
        <x:v>0</x:v>
      </x:c>
      <x:c r="I45" s="136" t="n">
        <x:f>IF(OR(A45="",B45=""),"",SUMIFS('15_Equipment_Log'!$I:$I,'15_Equipment_Log'!$B:$B,A45,'15_Equipment_Log'!$C:$C,B45))</x:f>
        <x:v>0</x:v>
      </x:c>
      <x:c r="J45" s="70" t="n">
        <x:f>IF(OR(A45="",B45=""),"",SUMIFS('15_Equipment_Log'!$M:$M,'15_Equipment_Log'!$B:$B,A45,'15_Equipment_Log'!$C:$C,B45))</x:f>
        <x:v>0</x:v>
      </x:c>
      <x:c r="K45" s="70" t="n">
        <x:f>IF(OR(A45="",B45=""),"",SUMIFS('12_Production_Log'!$M:$M,'12_Production_Log'!$B:$B,A45,'12_Production_Log'!$C:$C,B45)+SUMIFS('14_Materials_Log'!$I:$I,'14_Materials_Log'!$B:$B,A45,'14_Materials_Log'!$C:$C,B45,'14_Materials_Log'!$J:$J,"Yes"))</x:f>
        <x:v>0</x:v>
      </x:c>
      <x:c r="L45" s="70" t="n">
        <x:f>IF(OR(A45="",B45=""),"",SUMIFS('13_Labor_Time'!$L:$L,'13_Labor_Time'!$B:$B,A45,'13_Labor_Time'!$C:$C,B45))</x:f>
        <x:v>0</x:v>
      </x:c>
      <x:c r="M45" s="70" t="str">
        <x:f>IF(OR(K45="",H45="",J45="",L45=""),"",K45-H45-J45-L45)</x:f>
      </x:c>
      <x:c r="N45" s="140" t="str">
        <x:f>IF(C45=0,"",D45/C45)</x:f>
      </x:c>
    </x:row>
    <x:row r="46" ht="20" customHeight="1">
      <x:c r="A46" s="28" t="n">
        <x:v>46216</x:v>
      </x:c>
      <x:c r="B46" s="15" t="str">
        <x:v>PRJ-1003</x:v>
      </x:c>
      <x:c r="C46" s="15" t="n">
        <x:f>IF(OR(A46="",B46=""),"",COUNTIFS('11_Intake_Daily'!$C:$C,A46,'11_Intake_Daily'!$D:$D,B46))</x:f>
        <x:v>0</x:v>
      </x:c>
      <x:c r="D46" s="15" t="n">
        <x:f>IF(OR(A46="",B46=""),"",COUNTIFS('11_Intake_Daily'!$C:$C,A46,'11_Intake_Daily'!$D:$D,B46,'11_Intake_Daily'!$AA:$AA,"Yes"))</x:f>
        <x:v>0</x:v>
      </x:c>
      <x:c r="E46" s="15" t="n">
        <x:f>IF(OR(A46="",B46=""),"",COUNTIFS('20_Proof_Queue'!$B:$B,A46,'20_Proof_Queue'!$C:$C,B46,'20_Proof_Queue'!$H:$H,"&lt;&gt;Closed"))</x:f>
        <x:v>0</x:v>
      </x:c>
      <x:c r="F46" s="138" t="n">
        <x:f>IF(OR(A46="",B46=""),"",SUMIFS('12_Production_Log'!$H:$H,'12_Production_Log'!$B:$B,A46,'12_Production_Log'!$C:$C,B46))</x:f>
        <x:v>0</x:v>
      </x:c>
      <x:c r="G46" s="136" t="n">
        <x:f>IF(OR(A46="",B46=""),"",SUMIFS('13_Labor_Time'!$J:$J,'13_Labor_Time'!$B:$B,A46,'13_Labor_Time'!$C:$C,B46))</x:f>
        <x:v>0</x:v>
      </x:c>
      <x:c r="H46" s="70" t="n">
        <x:f>IF(OR(A46="",B46=""),"",SUMIFS('14_Materials_Log'!$I:$I,'14_Materials_Log'!$B:$B,A46,'14_Materials_Log'!$C:$C,B46))</x:f>
        <x:v>0</x:v>
      </x:c>
      <x:c r="I46" s="136" t="n">
        <x:f>IF(OR(A46="",B46=""),"",SUMIFS('15_Equipment_Log'!$I:$I,'15_Equipment_Log'!$B:$B,A46,'15_Equipment_Log'!$C:$C,B46))</x:f>
        <x:v>0</x:v>
      </x:c>
      <x:c r="J46" s="70" t="n">
        <x:f>IF(OR(A46="",B46=""),"",SUMIFS('15_Equipment_Log'!$M:$M,'15_Equipment_Log'!$B:$B,A46,'15_Equipment_Log'!$C:$C,B46))</x:f>
        <x:v>0</x:v>
      </x:c>
      <x:c r="K46" s="70" t="n">
        <x:f>IF(OR(A46="",B46=""),"",SUMIFS('12_Production_Log'!$M:$M,'12_Production_Log'!$B:$B,A46,'12_Production_Log'!$C:$C,B46)+SUMIFS('14_Materials_Log'!$I:$I,'14_Materials_Log'!$B:$B,A46,'14_Materials_Log'!$C:$C,B46,'14_Materials_Log'!$J:$J,"Yes"))</x:f>
        <x:v>0</x:v>
      </x:c>
      <x:c r="L46" s="70" t="n">
        <x:f>IF(OR(A46="",B46=""),"",SUMIFS('13_Labor_Time'!$L:$L,'13_Labor_Time'!$B:$B,A46,'13_Labor_Time'!$C:$C,B46))</x:f>
        <x:v>0</x:v>
      </x:c>
      <x:c r="M46" s="70" t="str">
        <x:f>IF(OR(K46="",H46="",J46="",L46=""),"",K46-H46-J46-L46)</x:f>
      </x:c>
      <x:c r="N46" s="140" t="str">
        <x:f>IF(C46=0,"",D46/C46)</x:f>
      </x:c>
    </x:row>
    <x:row r="47" ht="20" customHeight="1">
      <x:c r="A47" s="28" t="n">
        <x:v>46217</x:v>
      </x:c>
      <x:c r="B47" s="15" t="str">
        <x:v>PRJ-1001</x:v>
      </x:c>
      <x:c r="C47" s="15" t="n">
        <x:f>IF(OR(A47="",B47=""),"",COUNTIFS('11_Intake_Daily'!$C:$C,A47,'11_Intake_Daily'!$D:$D,B47))</x:f>
        <x:v>0</x:v>
      </x:c>
      <x:c r="D47" s="15" t="n">
        <x:f>IF(OR(A47="",B47=""),"",COUNTIFS('11_Intake_Daily'!$C:$C,A47,'11_Intake_Daily'!$D:$D,B47,'11_Intake_Daily'!$AA:$AA,"Yes"))</x:f>
        <x:v>0</x:v>
      </x:c>
      <x:c r="E47" s="15" t="n">
        <x:f>IF(OR(A47="",B47=""),"",COUNTIFS('20_Proof_Queue'!$B:$B,A47,'20_Proof_Queue'!$C:$C,B47,'20_Proof_Queue'!$H:$H,"&lt;&gt;Closed"))</x:f>
        <x:v>0</x:v>
      </x:c>
      <x:c r="F47" s="138" t="n">
        <x:f>IF(OR(A47="",B47=""),"",SUMIFS('12_Production_Log'!$H:$H,'12_Production_Log'!$B:$B,A47,'12_Production_Log'!$C:$C,B47))</x:f>
        <x:v>0</x:v>
      </x:c>
      <x:c r="G47" s="136" t="n">
        <x:f>IF(OR(A47="",B47=""),"",SUMIFS('13_Labor_Time'!$J:$J,'13_Labor_Time'!$B:$B,A47,'13_Labor_Time'!$C:$C,B47))</x:f>
        <x:v>0</x:v>
      </x:c>
      <x:c r="H47" s="70" t="n">
        <x:f>IF(OR(A47="",B47=""),"",SUMIFS('14_Materials_Log'!$I:$I,'14_Materials_Log'!$B:$B,A47,'14_Materials_Log'!$C:$C,B47))</x:f>
        <x:v>0</x:v>
      </x:c>
      <x:c r="I47" s="136" t="n">
        <x:f>IF(OR(A47="",B47=""),"",SUMIFS('15_Equipment_Log'!$I:$I,'15_Equipment_Log'!$B:$B,A47,'15_Equipment_Log'!$C:$C,B47))</x:f>
        <x:v>0</x:v>
      </x:c>
      <x:c r="J47" s="70" t="n">
        <x:f>IF(OR(A47="",B47=""),"",SUMIFS('15_Equipment_Log'!$M:$M,'15_Equipment_Log'!$B:$B,A47,'15_Equipment_Log'!$C:$C,B47))</x:f>
        <x:v>0</x:v>
      </x:c>
      <x:c r="K47" s="70" t="n">
        <x:f>IF(OR(A47="",B47=""),"",SUMIFS('12_Production_Log'!$M:$M,'12_Production_Log'!$B:$B,A47,'12_Production_Log'!$C:$C,B47)+SUMIFS('14_Materials_Log'!$I:$I,'14_Materials_Log'!$B:$B,A47,'14_Materials_Log'!$C:$C,B47,'14_Materials_Log'!$J:$J,"Yes"))</x:f>
        <x:v>0</x:v>
      </x:c>
      <x:c r="L47" s="70" t="n">
        <x:f>IF(OR(A47="",B47=""),"",SUMIFS('13_Labor_Time'!$L:$L,'13_Labor_Time'!$B:$B,A47,'13_Labor_Time'!$C:$C,B47))</x:f>
        <x:v>0</x:v>
      </x:c>
      <x:c r="M47" s="70" t="str">
        <x:f>IF(OR(K47="",H47="",J47="",L47=""),"",K47-H47-J47-L47)</x:f>
      </x:c>
      <x:c r="N47" s="140" t="str">
        <x:f>IF(C47=0,"",D47/C47)</x:f>
      </x:c>
    </x:row>
    <x:row r="48" ht="20" customHeight="1">
      <x:c r="A48" s="28" t="n">
        <x:v>46217</x:v>
      </x:c>
      <x:c r="B48" s="15" t="str">
        <x:v>PRJ-1002</x:v>
      </x:c>
      <x:c r="C48" s="15" t="n">
        <x:f>IF(OR(A48="",B48=""),"",COUNTIFS('11_Intake_Daily'!$C:$C,A48,'11_Intake_Daily'!$D:$D,B48))</x:f>
        <x:v>0</x:v>
      </x:c>
      <x:c r="D48" s="15" t="n">
        <x:f>IF(OR(A48="",B48=""),"",COUNTIFS('11_Intake_Daily'!$C:$C,A48,'11_Intake_Daily'!$D:$D,B48,'11_Intake_Daily'!$AA:$AA,"Yes"))</x:f>
        <x:v>0</x:v>
      </x:c>
      <x:c r="E48" s="15" t="n">
        <x:f>IF(OR(A48="",B48=""),"",COUNTIFS('20_Proof_Queue'!$B:$B,A48,'20_Proof_Queue'!$C:$C,B48,'20_Proof_Queue'!$H:$H,"&lt;&gt;Closed"))</x:f>
        <x:v>0</x:v>
      </x:c>
      <x:c r="F48" s="138" t="n">
        <x:f>IF(OR(A48="",B48=""),"",SUMIFS('12_Production_Log'!$H:$H,'12_Production_Log'!$B:$B,A48,'12_Production_Log'!$C:$C,B48))</x:f>
        <x:v>0</x:v>
      </x:c>
      <x:c r="G48" s="136" t="n">
        <x:f>IF(OR(A48="",B48=""),"",SUMIFS('13_Labor_Time'!$J:$J,'13_Labor_Time'!$B:$B,A48,'13_Labor_Time'!$C:$C,B48))</x:f>
        <x:v>0</x:v>
      </x:c>
      <x:c r="H48" s="70" t="n">
        <x:f>IF(OR(A48="",B48=""),"",SUMIFS('14_Materials_Log'!$I:$I,'14_Materials_Log'!$B:$B,A48,'14_Materials_Log'!$C:$C,B48))</x:f>
        <x:v>0</x:v>
      </x:c>
      <x:c r="I48" s="136" t="n">
        <x:f>IF(OR(A48="",B48=""),"",SUMIFS('15_Equipment_Log'!$I:$I,'15_Equipment_Log'!$B:$B,A48,'15_Equipment_Log'!$C:$C,B48))</x:f>
        <x:v>0</x:v>
      </x:c>
      <x:c r="J48" s="70" t="n">
        <x:f>IF(OR(A48="",B48=""),"",SUMIFS('15_Equipment_Log'!$M:$M,'15_Equipment_Log'!$B:$B,A48,'15_Equipment_Log'!$C:$C,B48))</x:f>
        <x:v>0</x:v>
      </x:c>
      <x:c r="K48" s="70" t="n">
        <x:f>IF(OR(A48="",B48=""),"",SUMIFS('12_Production_Log'!$M:$M,'12_Production_Log'!$B:$B,A48,'12_Production_Log'!$C:$C,B48)+SUMIFS('14_Materials_Log'!$I:$I,'14_Materials_Log'!$B:$B,A48,'14_Materials_Log'!$C:$C,B48,'14_Materials_Log'!$J:$J,"Yes"))</x:f>
        <x:v>0</x:v>
      </x:c>
      <x:c r="L48" s="70" t="n">
        <x:f>IF(OR(A48="",B48=""),"",SUMIFS('13_Labor_Time'!$L:$L,'13_Labor_Time'!$B:$B,A48,'13_Labor_Time'!$C:$C,B48))</x:f>
        <x:v>0</x:v>
      </x:c>
      <x:c r="M48" s="70" t="str">
        <x:f>IF(OR(K48="",H48="",J48="",L48=""),"",K48-H48-J48-L48)</x:f>
      </x:c>
      <x:c r="N48" s="140" t="str">
        <x:f>IF(C48=0,"",D48/C48)</x:f>
      </x:c>
    </x:row>
    <x:row r="49" ht="20" customHeight="1">
      <x:c r="A49" s="28" t="n">
        <x:v>46217</x:v>
      </x:c>
      <x:c r="B49" s="15" t="str">
        <x:v>PRJ-1003</x:v>
      </x:c>
      <x:c r="C49" s="15" t="n">
        <x:f>IF(OR(A49="",B49=""),"",COUNTIFS('11_Intake_Daily'!$C:$C,A49,'11_Intake_Daily'!$D:$D,B49))</x:f>
        <x:v>0</x:v>
      </x:c>
      <x:c r="D49" s="15" t="n">
        <x:f>IF(OR(A49="",B49=""),"",COUNTIFS('11_Intake_Daily'!$C:$C,A49,'11_Intake_Daily'!$D:$D,B49,'11_Intake_Daily'!$AA:$AA,"Yes"))</x:f>
        <x:v>0</x:v>
      </x:c>
      <x:c r="E49" s="15" t="n">
        <x:f>IF(OR(A49="",B49=""),"",COUNTIFS('20_Proof_Queue'!$B:$B,A49,'20_Proof_Queue'!$C:$C,B49,'20_Proof_Queue'!$H:$H,"&lt;&gt;Closed"))</x:f>
        <x:v>0</x:v>
      </x:c>
      <x:c r="F49" s="138" t="n">
        <x:f>IF(OR(A49="",B49=""),"",SUMIFS('12_Production_Log'!$H:$H,'12_Production_Log'!$B:$B,A49,'12_Production_Log'!$C:$C,B49))</x:f>
        <x:v>0</x:v>
      </x:c>
      <x:c r="G49" s="136" t="n">
        <x:f>IF(OR(A49="",B49=""),"",SUMIFS('13_Labor_Time'!$J:$J,'13_Labor_Time'!$B:$B,A49,'13_Labor_Time'!$C:$C,B49))</x:f>
        <x:v>0</x:v>
      </x:c>
      <x:c r="H49" s="70" t="n">
        <x:f>IF(OR(A49="",B49=""),"",SUMIFS('14_Materials_Log'!$I:$I,'14_Materials_Log'!$B:$B,A49,'14_Materials_Log'!$C:$C,B49))</x:f>
        <x:v>0</x:v>
      </x:c>
      <x:c r="I49" s="136" t="n">
        <x:f>IF(OR(A49="",B49=""),"",SUMIFS('15_Equipment_Log'!$I:$I,'15_Equipment_Log'!$B:$B,A49,'15_Equipment_Log'!$C:$C,B49))</x:f>
        <x:v>0</x:v>
      </x:c>
      <x:c r="J49" s="70" t="n">
        <x:f>IF(OR(A49="",B49=""),"",SUMIFS('15_Equipment_Log'!$M:$M,'15_Equipment_Log'!$B:$B,A49,'15_Equipment_Log'!$C:$C,B49))</x:f>
        <x:v>0</x:v>
      </x:c>
      <x:c r="K49" s="70" t="n">
        <x:f>IF(OR(A49="",B49=""),"",SUMIFS('12_Production_Log'!$M:$M,'12_Production_Log'!$B:$B,A49,'12_Production_Log'!$C:$C,B49)+SUMIFS('14_Materials_Log'!$I:$I,'14_Materials_Log'!$B:$B,A49,'14_Materials_Log'!$C:$C,B49,'14_Materials_Log'!$J:$J,"Yes"))</x:f>
        <x:v>0</x:v>
      </x:c>
      <x:c r="L49" s="70" t="n">
        <x:f>IF(OR(A49="",B49=""),"",SUMIFS('13_Labor_Time'!$L:$L,'13_Labor_Time'!$B:$B,A49,'13_Labor_Time'!$C:$C,B49))</x:f>
        <x:v>0</x:v>
      </x:c>
      <x:c r="M49" s="70" t="str">
        <x:f>IF(OR(K49="",H49="",J49="",L49=""),"",K49-H49-J49-L49)</x:f>
      </x:c>
      <x:c r="N49" s="140" t="str">
        <x:f>IF(C49=0,"",D49/C49)</x:f>
      </x:c>
    </x:row>
    <x:row r="50" ht="20" customHeight="1">
      <x:c r="A50" s="28" t="n">
        <x:v>46218</x:v>
      </x:c>
      <x:c r="B50" s="15" t="str">
        <x:v>PRJ-1001</x:v>
      </x:c>
      <x:c r="C50" s="15" t="n">
        <x:f>IF(OR(A50="",B50=""),"",COUNTIFS('11_Intake_Daily'!$C:$C,A50,'11_Intake_Daily'!$D:$D,B50))</x:f>
        <x:v>0</x:v>
      </x:c>
      <x:c r="D50" s="15" t="n">
        <x:f>IF(OR(A50="",B50=""),"",COUNTIFS('11_Intake_Daily'!$C:$C,A50,'11_Intake_Daily'!$D:$D,B50,'11_Intake_Daily'!$AA:$AA,"Yes"))</x:f>
        <x:v>0</x:v>
      </x:c>
      <x:c r="E50" s="15" t="n">
        <x:f>IF(OR(A50="",B50=""),"",COUNTIFS('20_Proof_Queue'!$B:$B,A50,'20_Proof_Queue'!$C:$C,B50,'20_Proof_Queue'!$H:$H,"&lt;&gt;Closed"))</x:f>
        <x:v>0</x:v>
      </x:c>
      <x:c r="F50" s="138" t="n">
        <x:f>IF(OR(A50="",B50=""),"",SUMIFS('12_Production_Log'!$H:$H,'12_Production_Log'!$B:$B,A50,'12_Production_Log'!$C:$C,B50))</x:f>
        <x:v>0</x:v>
      </x:c>
      <x:c r="G50" s="136" t="n">
        <x:f>IF(OR(A50="",B50=""),"",SUMIFS('13_Labor_Time'!$J:$J,'13_Labor_Time'!$B:$B,A50,'13_Labor_Time'!$C:$C,B50))</x:f>
        <x:v>0</x:v>
      </x:c>
      <x:c r="H50" s="70" t="n">
        <x:f>IF(OR(A50="",B50=""),"",SUMIFS('14_Materials_Log'!$I:$I,'14_Materials_Log'!$B:$B,A50,'14_Materials_Log'!$C:$C,B50))</x:f>
        <x:v>0</x:v>
      </x:c>
      <x:c r="I50" s="136" t="n">
        <x:f>IF(OR(A50="",B50=""),"",SUMIFS('15_Equipment_Log'!$I:$I,'15_Equipment_Log'!$B:$B,A50,'15_Equipment_Log'!$C:$C,B50))</x:f>
        <x:v>0</x:v>
      </x:c>
      <x:c r="J50" s="70" t="n">
        <x:f>IF(OR(A50="",B50=""),"",SUMIFS('15_Equipment_Log'!$M:$M,'15_Equipment_Log'!$B:$B,A50,'15_Equipment_Log'!$C:$C,B50))</x:f>
        <x:v>0</x:v>
      </x:c>
      <x:c r="K50" s="70" t="n">
        <x:f>IF(OR(A50="",B50=""),"",SUMIFS('12_Production_Log'!$M:$M,'12_Production_Log'!$B:$B,A50,'12_Production_Log'!$C:$C,B50)+SUMIFS('14_Materials_Log'!$I:$I,'14_Materials_Log'!$B:$B,A50,'14_Materials_Log'!$C:$C,B50,'14_Materials_Log'!$J:$J,"Yes"))</x:f>
        <x:v>0</x:v>
      </x:c>
      <x:c r="L50" s="70" t="n">
        <x:f>IF(OR(A50="",B50=""),"",SUMIFS('13_Labor_Time'!$L:$L,'13_Labor_Time'!$B:$B,A50,'13_Labor_Time'!$C:$C,B50))</x:f>
        <x:v>0</x:v>
      </x:c>
      <x:c r="M50" s="70" t="str">
        <x:f>IF(OR(K50="",H50="",J50="",L50=""),"",K50-H50-J50-L50)</x:f>
      </x:c>
      <x:c r="N50" s="140" t="str">
        <x:f>IF(C50=0,"",D50/C50)</x:f>
      </x:c>
    </x:row>
    <x:row r="51" ht="20" customHeight="1">
      <x:c r="A51" s="28" t="n">
        <x:v>46218</x:v>
      </x:c>
      <x:c r="B51" s="15" t="str">
        <x:v>PRJ-1002</x:v>
      </x:c>
      <x:c r="C51" s="15" t="n">
        <x:f>IF(OR(A51="",B51=""),"",COUNTIFS('11_Intake_Daily'!$C:$C,A51,'11_Intake_Daily'!$D:$D,B51))</x:f>
        <x:v>0</x:v>
      </x:c>
      <x:c r="D51" s="15" t="n">
        <x:f>IF(OR(A51="",B51=""),"",COUNTIFS('11_Intake_Daily'!$C:$C,A51,'11_Intake_Daily'!$D:$D,B51,'11_Intake_Daily'!$AA:$AA,"Yes"))</x:f>
        <x:v>0</x:v>
      </x:c>
      <x:c r="E51" s="15" t="n">
        <x:f>IF(OR(A51="",B51=""),"",COUNTIFS('20_Proof_Queue'!$B:$B,A51,'20_Proof_Queue'!$C:$C,B51,'20_Proof_Queue'!$H:$H,"&lt;&gt;Closed"))</x:f>
        <x:v>0</x:v>
      </x:c>
      <x:c r="F51" s="138" t="n">
        <x:f>IF(OR(A51="",B51=""),"",SUMIFS('12_Production_Log'!$H:$H,'12_Production_Log'!$B:$B,A51,'12_Production_Log'!$C:$C,B51))</x:f>
        <x:v>0</x:v>
      </x:c>
      <x:c r="G51" s="136" t="n">
        <x:f>IF(OR(A51="",B51=""),"",SUMIFS('13_Labor_Time'!$J:$J,'13_Labor_Time'!$B:$B,A51,'13_Labor_Time'!$C:$C,B51))</x:f>
        <x:v>0</x:v>
      </x:c>
      <x:c r="H51" s="70" t="n">
        <x:f>IF(OR(A51="",B51=""),"",SUMIFS('14_Materials_Log'!$I:$I,'14_Materials_Log'!$B:$B,A51,'14_Materials_Log'!$C:$C,B51))</x:f>
        <x:v>0</x:v>
      </x:c>
      <x:c r="I51" s="136" t="n">
        <x:f>IF(OR(A51="",B51=""),"",SUMIFS('15_Equipment_Log'!$I:$I,'15_Equipment_Log'!$B:$B,A51,'15_Equipment_Log'!$C:$C,B51))</x:f>
        <x:v>0</x:v>
      </x:c>
      <x:c r="J51" s="70" t="n">
        <x:f>IF(OR(A51="",B51=""),"",SUMIFS('15_Equipment_Log'!$M:$M,'15_Equipment_Log'!$B:$B,A51,'15_Equipment_Log'!$C:$C,B51))</x:f>
        <x:v>0</x:v>
      </x:c>
      <x:c r="K51" s="70" t="n">
        <x:f>IF(OR(A51="",B51=""),"",SUMIFS('12_Production_Log'!$M:$M,'12_Production_Log'!$B:$B,A51,'12_Production_Log'!$C:$C,B51)+SUMIFS('14_Materials_Log'!$I:$I,'14_Materials_Log'!$B:$B,A51,'14_Materials_Log'!$C:$C,B51,'14_Materials_Log'!$J:$J,"Yes"))</x:f>
        <x:v>0</x:v>
      </x:c>
      <x:c r="L51" s="70" t="n">
        <x:f>IF(OR(A51="",B51=""),"",SUMIFS('13_Labor_Time'!$L:$L,'13_Labor_Time'!$B:$B,A51,'13_Labor_Time'!$C:$C,B51))</x:f>
        <x:v>0</x:v>
      </x:c>
      <x:c r="M51" s="70" t="str">
        <x:f>IF(OR(K51="",H51="",J51="",L51=""),"",K51-H51-J51-L51)</x:f>
      </x:c>
      <x:c r="N51" s="140" t="str">
        <x:f>IF(C51=0,"",D51/C51)</x:f>
      </x:c>
    </x:row>
    <x:row r="52" ht="20" customHeight="1">
      <x:c r="A52" s="28" t="n">
        <x:v>46218</x:v>
      </x:c>
      <x:c r="B52" s="15" t="str">
        <x:v>PRJ-1003</x:v>
      </x:c>
      <x:c r="C52" s="15" t="n">
        <x:f>IF(OR(A52="",B52=""),"",COUNTIFS('11_Intake_Daily'!$C:$C,A52,'11_Intake_Daily'!$D:$D,B52))</x:f>
        <x:v>0</x:v>
      </x:c>
      <x:c r="D52" s="15" t="n">
        <x:f>IF(OR(A52="",B52=""),"",COUNTIFS('11_Intake_Daily'!$C:$C,A52,'11_Intake_Daily'!$D:$D,B52,'11_Intake_Daily'!$AA:$AA,"Yes"))</x:f>
        <x:v>0</x:v>
      </x:c>
      <x:c r="E52" s="15" t="n">
        <x:f>IF(OR(A52="",B52=""),"",COUNTIFS('20_Proof_Queue'!$B:$B,A52,'20_Proof_Queue'!$C:$C,B52,'20_Proof_Queue'!$H:$H,"&lt;&gt;Closed"))</x:f>
        <x:v>0</x:v>
      </x:c>
      <x:c r="F52" s="138" t="n">
        <x:f>IF(OR(A52="",B52=""),"",SUMIFS('12_Production_Log'!$H:$H,'12_Production_Log'!$B:$B,A52,'12_Production_Log'!$C:$C,B52))</x:f>
        <x:v>0</x:v>
      </x:c>
      <x:c r="G52" s="136" t="n">
        <x:f>IF(OR(A52="",B52=""),"",SUMIFS('13_Labor_Time'!$J:$J,'13_Labor_Time'!$B:$B,A52,'13_Labor_Time'!$C:$C,B52))</x:f>
        <x:v>0</x:v>
      </x:c>
      <x:c r="H52" s="70" t="n">
        <x:f>IF(OR(A52="",B52=""),"",SUMIFS('14_Materials_Log'!$I:$I,'14_Materials_Log'!$B:$B,A52,'14_Materials_Log'!$C:$C,B52))</x:f>
        <x:v>0</x:v>
      </x:c>
      <x:c r="I52" s="136" t="n">
        <x:f>IF(OR(A52="",B52=""),"",SUMIFS('15_Equipment_Log'!$I:$I,'15_Equipment_Log'!$B:$B,A52,'15_Equipment_Log'!$C:$C,B52))</x:f>
        <x:v>0</x:v>
      </x:c>
      <x:c r="J52" s="70" t="n">
        <x:f>IF(OR(A52="",B52=""),"",SUMIFS('15_Equipment_Log'!$M:$M,'15_Equipment_Log'!$B:$B,A52,'15_Equipment_Log'!$C:$C,B52))</x:f>
        <x:v>0</x:v>
      </x:c>
      <x:c r="K52" s="70" t="n">
        <x:f>IF(OR(A52="",B52=""),"",SUMIFS('12_Production_Log'!$M:$M,'12_Production_Log'!$B:$B,A52,'12_Production_Log'!$C:$C,B52)+SUMIFS('14_Materials_Log'!$I:$I,'14_Materials_Log'!$B:$B,A52,'14_Materials_Log'!$C:$C,B52,'14_Materials_Log'!$J:$J,"Yes"))</x:f>
        <x:v>0</x:v>
      </x:c>
      <x:c r="L52" s="70" t="n">
        <x:f>IF(OR(A52="",B52=""),"",SUMIFS('13_Labor_Time'!$L:$L,'13_Labor_Time'!$B:$B,A52,'13_Labor_Time'!$C:$C,B52))</x:f>
        <x:v>0</x:v>
      </x:c>
      <x:c r="M52" s="70" t="str">
        <x:f>IF(OR(K52="",H52="",J52="",L52=""),"",K52-H52-J52-L52)</x:f>
      </x:c>
      <x:c r="N52" s="140" t="str">
        <x:f>IF(C52=0,"",D52/C52)</x:f>
      </x:c>
    </x:row>
    <x:row r="53" ht="20" customHeight="1">
      <x:c r="A53" s="28" t="n">
        <x:v>46219</x:v>
      </x:c>
      <x:c r="B53" s="15" t="str">
        <x:v>PRJ-1001</x:v>
      </x:c>
      <x:c r="C53" s="15" t="n">
        <x:f>IF(OR(A53="",B53=""),"",COUNTIFS('11_Intake_Daily'!$C:$C,A53,'11_Intake_Daily'!$D:$D,B53))</x:f>
        <x:v>0</x:v>
      </x:c>
      <x:c r="D53" s="15" t="n">
        <x:f>IF(OR(A53="",B53=""),"",COUNTIFS('11_Intake_Daily'!$C:$C,A53,'11_Intake_Daily'!$D:$D,B53,'11_Intake_Daily'!$AA:$AA,"Yes"))</x:f>
        <x:v>0</x:v>
      </x:c>
      <x:c r="E53" s="15" t="n">
        <x:f>IF(OR(A53="",B53=""),"",COUNTIFS('20_Proof_Queue'!$B:$B,A53,'20_Proof_Queue'!$C:$C,B53,'20_Proof_Queue'!$H:$H,"&lt;&gt;Closed"))</x:f>
        <x:v>0</x:v>
      </x:c>
      <x:c r="F53" s="138" t="n">
        <x:f>IF(OR(A53="",B53=""),"",SUMIFS('12_Production_Log'!$H:$H,'12_Production_Log'!$B:$B,A53,'12_Production_Log'!$C:$C,B53))</x:f>
        <x:v>0</x:v>
      </x:c>
      <x:c r="G53" s="136" t="n">
        <x:f>IF(OR(A53="",B53=""),"",SUMIFS('13_Labor_Time'!$J:$J,'13_Labor_Time'!$B:$B,A53,'13_Labor_Time'!$C:$C,B53))</x:f>
        <x:v>0</x:v>
      </x:c>
      <x:c r="H53" s="70" t="n">
        <x:f>IF(OR(A53="",B53=""),"",SUMIFS('14_Materials_Log'!$I:$I,'14_Materials_Log'!$B:$B,A53,'14_Materials_Log'!$C:$C,B53))</x:f>
        <x:v>0</x:v>
      </x:c>
      <x:c r="I53" s="136" t="n">
        <x:f>IF(OR(A53="",B53=""),"",SUMIFS('15_Equipment_Log'!$I:$I,'15_Equipment_Log'!$B:$B,A53,'15_Equipment_Log'!$C:$C,B53))</x:f>
        <x:v>0</x:v>
      </x:c>
      <x:c r="J53" s="70" t="n">
        <x:f>IF(OR(A53="",B53=""),"",SUMIFS('15_Equipment_Log'!$M:$M,'15_Equipment_Log'!$B:$B,A53,'15_Equipment_Log'!$C:$C,B53))</x:f>
        <x:v>0</x:v>
      </x:c>
      <x:c r="K53" s="70" t="n">
        <x:f>IF(OR(A53="",B53=""),"",SUMIFS('12_Production_Log'!$M:$M,'12_Production_Log'!$B:$B,A53,'12_Production_Log'!$C:$C,B53)+SUMIFS('14_Materials_Log'!$I:$I,'14_Materials_Log'!$B:$B,A53,'14_Materials_Log'!$C:$C,B53,'14_Materials_Log'!$J:$J,"Yes"))</x:f>
        <x:v>0</x:v>
      </x:c>
      <x:c r="L53" s="70" t="n">
        <x:f>IF(OR(A53="",B53=""),"",SUMIFS('13_Labor_Time'!$L:$L,'13_Labor_Time'!$B:$B,A53,'13_Labor_Time'!$C:$C,B53))</x:f>
        <x:v>0</x:v>
      </x:c>
      <x:c r="M53" s="70" t="str">
        <x:f>IF(OR(K53="",H53="",J53="",L53=""),"",K53-H53-J53-L53)</x:f>
      </x:c>
      <x:c r="N53" s="140" t="str">
        <x:f>IF(C53=0,"",D53/C53)</x:f>
      </x:c>
    </x:row>
    <x:row r="54" ht="20" customHeight="1">
      <x:c r="A54" s="28" t="n">
        <x:v>46219</x:v>
      </x:c>
      <x:c r="B54" s="15" t="str">
        <x:v>PRJ-1002</x:v>
      </x:c>
      <x:c r="C54" s="15" t="n">
        <x:f>IF(OR(A54="",B54=""),"",COUNTIFS('11_Intake_Daily'!$C:$C,A54,'11_Intake_Daily'!$D:$D,B54))</x:f>
        <x:v>0</x:v>
      </x:c>
      <x:c r="D54" s="15" t="n">
        <x:f>IF(OR(A54="",B54=""),"",COUNTIFS('11_Intake_Daily'!$C:$C,A54,'11_Intake_Daily'!$D:$D,B54,'11_Intake_Daily'!$AA:$AA,"Yes"))</x:f>
        <x:v>0</x:v>
      </x:c>
      <x:c r="E54" s="15" t="n">
        <x:f>IF(OR(A54="",B54=""),"",COUNTIFS('20_Proof_Queue'!$B:$B,A54,'20_Proof_Queue'!$C:$C,B54,'20_Proof_Queue'!$H:$H,"&lt;&gt;Closed"))</x:f>
        <x:v>0</x:v>
      </x:c>
      <x:c r="F54" s="138" t="n">
        <x:f>IF(OR(A54="",B54=""),"",SUMIFS('12_Production_Log'!$H:$H,'12_Production_Log'!$B:$B,A54,'12_Production_Log'!$C:$C,B54))</x:f>
        <x:v>0</x:v>
      </x:c>
      <x:c r="G54" s="136" t="n">
        <x:f>IF(OR(A54="",B54=""),"",SUMIFS('13_Labor_Time'!$J:$J,'13_Labor_Time'!$B:$B,A54,'13_Labor_Time'!$C:$C,B54))</x:f>
        <x:v>0</x:v>
      </x:c>
      <x:c r="H54" s="70" t="n">
        <x:f>IF(OR(A54="",B54=""),"",SUMIFS('14_Materials_Log'!$I:$I,'14_Materials_Log'!$B:$B,A54,'14_Materials_Log'!$C:$C,B54))</x:f>
        <x:v>0</x:v>
      </x:c>
      <x:c r="I54" s="136" t="n">
        <x:f>IF(OR(A54="",B54=""),"",SUMIFS('15_Equipment_Log'!$I:$I,'15_Equipment_Log'!$B:$B,A54,'15_Equipment_Log'!$C:$C,B54))</x:f>
        <x:v>0</x:v>
      </x:c>
      <x:c r="J54" s="70" t="n">
        <x:f>IF(OR(A54="",B54=""),"",SUMIFS('15_Equipment_Log'!$M:$M,'15_Equipment_Log'!$B:$B,A54,'15_Equipment_Log'!$C:$C,B54))</x:f>
        <x:v>0</x:v>
      </x:c>
      <x:c r="K54" s="70" t="n">
        <x:f>IF(OR(A54="",B54=""),"",SUMIFS('12_Production_Log'!$M:$M,'12_Production_Log'!$B:$B,A54,'12_Production_Log'!$C:$C,B54)+SUMIFS('14_Materials_Log'!$I:$I,'14_Materials_Log'!$B:$B,A54,'14_Materials_Log'!$C:$C,B54,'14_Materials_Log'!$J:$J,"Yes"))</x:f>
        <x:v>0</x:v>
      </x:c>
      <x:c r="L54" s="70" t="n">
        <x:f>IF(OR(A54="",B54=""),"",SUMIFS('13_Labor_Time'!$L:$L,'13_Labor_Time'!$B:$B,A54,'13_Labor_Time'!$C:$C,B54))</x:f>
        <x:v>0</x:v>
      </x:c>
      <x:c r="M54" s="70" t="str">
        <x:f>IF(OR(K54="",H54="",J54="",L54=""),"",K54-H54-J54-L54)</x:f>
      </x:c>
      <x:c r="N54" s="140" t="str">
        <x:f>IF(C54=0,"",D54/C54)</x:f>
      </x:c>
    </x:row>
    <x:row r="55" ht="20" customHeight="1">
      <x:c r="A55" s="28" t="n">
        <x:v>46219</x:v>
      </x:c>
      <x:c r="B55" s="15" t="str">
        <x:v>PRJ-1003</x:v>
      </x:c>
      <x:c r="C55" s="15" t="n">
        <x:f>IF(OR(A55="",B55=""),"",COUNTIFS('11_Intake_Daily'!$C:$C,A55,'11_Intake_Daily'!$D:$D,B55))</x:f>
        <x:v>0</x:v>
      </x:c>
      <x:c r="D55" s="15" t="n">
        <x:f>IF(OR(A55="",B55=""),"",COUNTIFS('11_Intake_Daily'!$C:$C,A55,'11_Intake_Daily'!$D:$D,B55,'11_Intake_Daily'!$AA:$AA,"Yes"))</x:f>
        <x:v>0</x:v>
      </x:c>
      <x:c r="E55" s="15" t="n">
        <x:f>IF(OR(A55="",B55=""),"",COUNTIFS('20_Proof_Queue'!$B:$B,A55,'20_Proof_Queue'!$C:$C,B55,'20_Proof_Queue'!$H:$H,"&lt;&gt;Closed"))</x:f>
        <x:v>0</x:v>
      </x:c>
      <x:c r="F55" s="138" t="n">
        <x:f>IF(OR(A55="",B55=""),"",SUMIFS('12_Production_Log'!$H:$H,'12_Production_Log'!$B:$B,A55,'12_Production_Log'!$C:$C,B55))</x:f>
        <x:v>0</x:v>
      </x:c>
      <x:c r="G55" s="136" t="n">
        <x:f>IF(OR(A55="",B55=""),"",SUMIFS('13_Labor_Time'!$J:$J,'13_Labor_Time'!$B:$B,A55,'13_Labor_Time'!$C:$C,B55))</x:f>
        <x:v>0</x:v>
      </x:c>
      <x:c r="H55" s="70" t="n">
        <x:f>IF(OR(A55="",B55=""),"",SUMIFS('14_Materials_Log'!$I:$I,'14_Materials_Log'!$B:$B,A55,'14_Materials_Log'!$C:$C,B55))</x:f>
        <x:v>0</x:v>
      </x:c>
      <x:c r="I55" s="136" t="n">
        <x:f>IF(OR(A55="",B55=""),"",SUMIFS('15_Equipment_Log'!$I:$I,'15_Equipment_Log'!$B:$B,A55,'15_Equipment_Log'!$C:$C,B55))</x:f>
        <x:v>0</x:v>
      </x:c>
      <x:c r="J55" s="70" t="n">
        <x:f>IF(OR(A55="",B55=""),"",SUMIFS('15_Equipment_Log'!$M:$M,'15_Equipment_Log'!$B:$B,A55,'15_Equipment_Log'!$C:$C,B55))</x:f>
        <x:v>0</x:v>
      </x:c>
      <x:c r="K55" s="70" t="n">
        <x:f>IF(OR(A55="",B55=""),"",SUMIFS('12_Production_Log'!$M:$M,'12_Production_Log'!$B:$B,A55,'12_Production_Log'!$C:$C,B55)+SUMIFS('14_Materials_Log'!$I:$I,'14_Materials_Log'!$B:$B,A55,'14_Materials_Log'!$C:$C,B55,'14_Materials_Log'!$J:$J,"Yes"))</x:f>
        <x:v>0</x:v>
      </x:c>
      <x:c r="L55" s="70" t="n">
        <x:f>IF(OR(A55="",B55=""),"",SUMIFS('13_Labor_Time'!$L:$L,'13_Labor_Time'!$B:$B,A55,'13_Labor_Time'!$C:$C,B55))</x:f>
        <x:v>0</x:v>
      </x:c>
      <x:c r="M55" s="70" t="str">
        <x:f>IF(OR(K55="",H55="",J55="",L55=""),"",K55-H55-J55-L55)</x:f>
      </x:c>
      <x:c r="N55" s="140" t="str">
        <x:f>IF(C55=0,"",D55/C55)</x:f>
      </x:c>
    </x:row>
    <x:row r="56" ht="20" customHeight="1">
      <x:c r="A56" s="28" t="n">
        <x:v>46220</x:v>
      </x:c>
      <x:c r="B56" s="15" t="str">
        <x:v>PRJ-1001</x:v>
      </x:c>
      <x:c r="C56" s="15" t="n">
        <x:f>IF(OR(A56="",B56=""),"",COUNTIFS('11_Intake_Daily'!$C:$C,A56,'11_Intake_Daily'!$D:$D,B56))</x:f>
        <x:v>0</x:v>
      </x:c>
      <x:c r="D56" s="15" t="n">
        <x:f>IF(OR(A56="",B56=""),"",COUNTIFS('11_Intake_Daily'!$C:$C,A56,'11_Intake_Daily'!$D:$D,B56,'11_Intake_Daily'!$AA:$AA,"Yes"))</x:f>
        <x:v>0</x:v>
      </x:c>
      <x:c r="E56" s="15" t="n">
        <x:f>IF(OR(A56="",B56=""),"",COUNTIFS('20_Proof_Queue'!$B:$B,A56,'20_Proof_Queue'!$C:$C,B56,'20_Proof_Queue'!$H:$H,"&lt;&gt;Closed"))</x:f>
        <x:v>0</x:v>
      </x:c>
      <x:c r="F56" s="138" t="n">
        <x:f>IF(OR(A56="",B56=""),"",SUMIFS('12_Production_Log'!$H:$H,'12_Production_Log'!$B:$B,A56,'12_Production_Log'!$C:$C,B56))</x:f>
        <x:v>0</x:v>
      </x:c>
      <x:c r="G56" s="136" t="n">
        <x:f>IF(OR(A56="",B56=""),"",SUMIFS('13_Labor_Time'!$J:$J,'13_Labor_Time'!$B:$B,A56,'13_Labor_Time'!$C:$C,B56))</x:f>
        <x:v>0</x:v>
      </x:c>
      <x:c r="H56" s="70" t="n">
        <x:f>IF(OR(A56="",B56=""),"",SUMIFS('14_Materials_Log'!$I:$I,'14_Materials_Log'!$B:$B,A56,'14_Materials_Log'!$C:$C,B56))</x:f>
        <x:v>0</x:v>
      </x:c>
      <x:c r="I56" s="136" t="n">
        <x:f>IF(OR(A56="",B56=""),"",SUMIFS('15_Equipment_Log'!$I:$I,'15_Equipment_Log'!$B:$B,A56,'15_Equipment_Log'!$C:$C,B56))</x:f>
        <x:v>0</x:v>
      </x:c>
      <x:c r="J56" s="70" t="n">
        <x:f>IF(OR(A56="",B56=""),"",SUMIFS('15_Equipment_Log'!$M:$M,'15_Equipment_Log'!$B:$B,A56,'15_Equipment_Log'!$C:$C,B56))</x:f>
        <x:v>0</x:v>
      </x:c>
      <x:c r="K56" s="70" t="n">
        <x:f>IF(OR(A56="",B56=""),"",SUMIFS('12_Production_Log'!$M:$M,'12_Production_Log'!$B:$B,A56,'12_Production_Log'!$C:$C,B56)+SUMIFS('14_Materials_Log'!$I:$I,'14_Materials_Log'!$B:$B,A56,'14_Materials_Log'!$C:$C,B56,'14_Materials_Log'!$J:$J,"Yes"))</x:f>
        <x:v>0</x:v>
      </x:c>
      <x:c r="L56" s="70" t="n">
        <x:f>IF(OR(A56="",B56=""),"",SUMIFS('13_Labor_Time'!$L:$L,'13_Labor_Time'!$B:$B,A56,'13_Labor_Time'!$C:$C,B56))</x:f>
        <x:v>0</x:v>
      </x:c>
      <x:c r="M56" s="70" t="str">
        <x:f>IF(OR(K56="",H56="",J56="",L56=""),"",K56-H56-J56-L56)</x:f>
      </x:c>
      <x:c r="N56" s="140" t="str">
        <x:f>IF(C56=0,"",D56/C56)</x:f>
      </x:c>
    </x:row>
    <x:row r="57" ht="20" customHeight="1">
      <x:c r="A57" s="28" t="n">
        <x:v>46220</x:v>
      </x:c>
      <x:c r="B57" s="15" t="str">
        <x:v>PRJ-1002</x:v>
      </x:c>
      <x:c r="C57" s="15" t="n">
        <x:f>IF(OR(A57="",B57=""),"",COUNTIFS('11_Intake_Daily'!$C:$C,A57,'11_Intake_Daily'!$D:$D,B57))</x:f>
        <x:v>0</x:v>
      </x:c>
      <x:c r="D57" s="15" t="n">
        <x:f>IF(OR(A57="",B57=""),"",COUNTIFS('11_Intake_Daily'!$C:$C,A57,'11_Intake_Daily'!$D:$D,B57,'11_Intake_Daily'!$AA:$AA,"Yes"))</x:f>
        <x:v>0</x:v>
      </x:c>
      <x:c r="E57" s="15" t="n">
        <x:f>IF(OR(A57="",B57=""),"",COUNTIFS('20_Proof_Queue'!$B:$B,A57,'20_Proof_Queue'!$C:$C,B57,'20_Proof_Queue'!$H:$H,"&lt;&gt;Closed"))</x:f>
        <x:v>0</x:v>
      </x:c>
      <x:c r="F57" s="138" t="n">
        <x:f>IF(OR(A57="",B57=""),"",SUMIFS('12_Production_Log'!$H:$H,'12_Production_Log'!$B:$B,A57,'12_Production_Log'!$C:$C,B57))</x:f>
        <x:v>0</x:v>
      </x:c>
      <x:c r="G57" s="136" t="n">
        <x:f>IF(OR(A57="",B57=""),"",SUMIFS('13_Labor_Time'!$J:$J,'13_Labor_Time'!$B:$B,A57,'13_Labor_Time'!$C:$C,B57))</x:f>
        <x:v>0</x:v>
      </x:c>
      <x:c r="H57" s="70" t="n">
        <x:f>IF(OR(A57="",B57=""),"",SUMIFS('14_Materials_Log'!$I:$I,'14_Materials_Log'!$B:$B,A57,'14_Materials_Log'!$C:$C,B57))</x:f>
        <x:v>0</x:v>
      </x:c>
      <x:c r="I57" s="136" t="n">
        <x:f>IF(OR(A57="",B57=""),"",SUMIFS('15_Equipment_Log'!$I:$I,'15_Equipment_Log'!$B:$B,A57,'15_Equipment_Log'!$C:$C,B57))</x:f>
        <x:v>0</x:v>
      </x:c>
      <x:c r="J57" s="70" t="n">
        <x:f>IF(OR(A57="",B57=""),"",SUMIFS('15_Equipment_Log'!$M:$M,'15_Equipment_Log'!$B:$B,A57,'15_Equipment_Log'!$C:$C,B57))</x:f>
        <x:v>0</x:v>
      </x:c>
      <x:c r="K57" s="70" t="n">
        <x:f>IF(OR(A57="",B57=""),"",SUMIFS('12_Production_Log'!$M:$M,'12_Production_Log'!$B:$B,A57,'12_Production_Log'!$C:$C,B57)+SUMIFS('14_Materials_Log'!$I:$I,'14_Materials_Log'!$B:$B,A57,'14_Materials_Log'!$C:$C,B57,'14_Materials_Log'!$J:$J,"Yes"))</x:f>
        <x:v>0</x:v>
      </x:c>
      <x:c r="L57" s="70" t="n">
        <x:f>IF(OR(A57="",B57=""),"",SUMIFS('13_Labor_Time'!$L:$L,'13_Labor_Time'!$B:$B,A57,'13_Labor_Time'!$C:$C,B57))</x:f>
        <x:v>0</x:v>
      </x:c>
      <x:c r="M57" s="70" t="str">
        <x:f>IF(OR(K57="",H57="",J57="",L57=""),"",K57-H57-J57-L57)</x:f>
      </x:c>
      <x:c r="N57" s="140" t="str">
        <x:f>IF(C57=0,"",D57/C57)</x:f>
      </x:c>
    </x:row>
    <x:row r="58" ht="20" customHeight="1">
      <x:c r="A58" s="28" t="n">
        <x:v>46220</x:v>
      </x:c>
      <x:c r="B58" s="15" t="str">
        <x:v>PRJ-1003</x:v>
      </x:c>
      <x:c r="C58" s="15" t="n">
        <x:f>IF(OR(A58="",B58=""),"",COUNTIFS('11_Intake_Daily'!$C:$C,A58,'11_Intake_Daily'!$D:$D,B58))</x:f>
        <x:v>0</x:v>
      </x:c>
      <x:c r="D58" s="15" t="n">
        <x:f>IF(OR(A58="",B58=""),"",COUNTIFS('11_Intake_Daily'!$C:$C,A58,'11_Intake_Daily'!$D:$D,B58,'11_Intake_Daily'!$AA:$AA,"Yes"))</x:f>
        <x:v>0</x:v>
      </x:c>
      <x:c r="E58" s="15" t="n">
        <x:f>IF(OR(A58="",B58=""),"",COUNTIFS('20_Proof_Queue'!$B:$B,A58,'20_Proof_Queue'!$C:$C,B58,'20_Proof_Queue'!$H:$H,"&lt;&gt;Closed"))</x:f>
        <x:v>0</x:v>
      </x:c>
      <x:c r="F58" s="138" t="n">
        <x:f>IF(OR(A58="",B58=""),"",SUMIFS('12_Production_Log'!$H:$H,'12_Production_Log'!$B:$B,A58,'12_Production_Log'!$C:$C,B58))</x:f>
        <x:v>0</x:v>
      </x:c>
      <x:c r="G58" s="136" t="n">
        <x:f>IF(OR(A58="",B58=""),"",SUMIFS('13_Labor_Time'!$J:$J,'13_Labor_Time'!$B:$B,A58,'13_Labor_Time'!$C:$C,B58))</x:f>
        <x:v>0</x:v>
      </x:c>
      <x:c r="H58" s="70" t="n">
        <x:f>IF(OR(A58="",B58=""),"",SUMIFS('14_Materials_Log'!$I:$I,'14_Materials_Log'!$B:$B,A58,'14_Materials_Log'!$C:$C,B58))</x:f>
        <x:v>0</x:v>
      </x:c>
      <x:c r="I58" s="136" t="n">
        <x:f>IF(OR(A58="",B58=""),"",SUMIFS('15_Equipment_Log'!$I:$I,'15_Equipment_Log'!$B:$B,A58,'15_Equipment_Log'!$C:$C,B58))</x:f>
        <x:v>0</x:v>
      </x:c>
      <x:c r="J58" s="70" t="n">
        <x:f>IF(OR(A58="",B58=""),"",SUMIFS('15_Equipment_Log'!$M:$M,'15_Equipment_Log'!$B:$B,A58,'15_Equipment_Log'!$C:$C,B58))</x:f>
        <x:v>0</x:v>
      </x:c>
      <x:c r="K58" s="70" t="n">
        <x:f>IF(OR(A58="",B58=""),"",SUMIFS('12_Production_Log'!$M:$M,'12_Production_Log'!$B:$B,A58,'12_Production_Log'!$C:$C,B58)+SUMIFS('14_Materials_Log'!$I:$I,'14_Materials_Log'!$B:$B,A58,'14_Materials_Log'!$C:$C,B58,'14_Materials_Log'!$J:$J,"Yes"))</x:f>
        <x:v>0</x:v>
      </x:c>
      <x:c r="L58" s="70" t="n">
        <x:f>IF(OR(A58="",B58=""),"",SUMIFS('13_Labor_Time'!$L:$L,'13_Labor_Time'!$B:$B,A58,'13_Labor_Time'!$C:$C,B58))</x:f>
        <x:v>0</x:v>
      </x:c>
      <x:c r="M58" s="70" t="str">
        <x:f>IF(OR(K58="",H58="",J58="",L58=""),"",K58-H58-J58-L58)</x:f>
      </x:c>
      <x:c r="N58" s="140" t="str">
        <x:f>IF(C58=0,"",D58/C58)</x:f>
      </x:c>
    </x:row>
    <x:row r="59" ht="20" customHeight="1">
      <x:c r="A59" s="28" t="n">
        <x:v>46221</x:v>
      </x:c>
      <x:c r="B59" s="15" t="str">
        <x:v>PRJ-1001</x:v>
      </x:c>
      <x:c r="C59" s="15" t="n">
        <x:f>IF(OR(A59="",B59=""),"",COUNTIFS('11_Intake_Daily'!$C:$C,A59,'11_Intake_Daily'!$D:$D,B59))</x:f>
        <x:v>0</x:v>
      </x:c>
      <x:c r="D59" s="15" t="n">
        <x:f>IF(OR(A59="",B59=""),"",COUNTIFS('11_Intake_Daily'!$C:$C,A59,'11_Intake_Daily'!$D:$D,B59,'11_Intake_Daily'!$AA:$AA,"Yes"))</x:f>
        <x:v>0</x:v>
      </x:c>
      <x:c r="E59" s="15" t="n">
        <x:f>IF(OR(A59="",B59=""),"",COUNTIFS('20_Proof_Queue'!$B:$B,A59,'20_Proof_Queue'!$C:$C,B59,'20_Proof_Queue'!$H:$H,"&lt;&gt;Closed"))</x:f>
        <x:v>0</x:v>
      </x:c>
      <x:c r="F59" s="138" t="n">
        <x:f>IF(OR(A59="",B59=""),"",SUMIFS('12_Production_Log'!$H:$H,'12_Production_Log'!$B:$B,A59,'12_Production_Log'!$C:$C,B59))</x:f>
        <x:v>0</x:v>
      </x:c>
      <x:c r="G59" s="136" t="n">
        <x:f>IF(OR(A59="",B59=""),"",SUMIFS('13_Labor_Time'!$J:$J,'13_Labor_Time'!$B:$B,A59,'13_Labor_Time'!$C:$C,B59))</x:f>
        <x:v>0</x:v>
      </x:c>
      <x:c r="H59" s="70" t="n">
        <x:f>IF(OR(A59="",B59=""),"",SUMIFS('14_Materials_Log'!$I:$I,'14_Materials_Log'!$B:$B,A59,'14_Materials_Log'!$C:$C,B59))</x:f>
        <x:v>0</x:v>
      </x:c>
      <x:c r="I59" s="136" t="n">
        <x:f>IF(OR(A59="",B59=""),"",SUMIFS('15_Equipment_Log'!$I:$I,'15_Equipment_Log'!$B:$B,A59,'15_Equipment_Log'!$C:$C,B59))</x:f>
        <x:v>0</x:v>
      </x:c>
      <x:c r="J59" s="70" t="n">
        <x:f>IF(OR(A59="",B59=""),"",SUMIFS('15_Equipment_Log'!$M:$M,'15_Equipment_Log'!$B:$B,A59,'15_Equipment_Log'!$C:$C,B59))</x:f>
        <x:v>0</x:v>
      </x:c>
      <x:c r="K59" s="70" t="n">
        <x:f>IF(OR(A59="",B59=""),"",SUMIFS('12_Production_Log'!$M:$M,'12_Production_Log'!$B:$B,A59,'12_Production_Log'!$C:$C,B59)+SUMIFS('14_Materials_Log'!$I:$I,'14_Materials_Log'!$B:$B,A59,'14_Materials_Log'!$C:$C,B59,'14_Materials_Log'!$J:$J,"Yes"))</x:f>
        <x:v>0</x:v>
      </x:c>
      <x:c r="L59" s="70" t="n">
        <x:f>IF(OR(A59="",B59=""),"",SUMIFS('13_Labor_Time'!$L:$L,'13_Labor_Time'!$B:$B,A59,'13_Labor_Time'!$C:$C,B59))</x:f>
        <x:v>0</x:v>
      </x:c>
      <x:c r="M59" s="70" t="str">
        <x:f>IF(OR(K59="",H59="",J59="",L59=""),"",K59-H59-J59-L59)</x:f>
      </x:c>
      <x:c r="N59" s="140" t="str">
        <x:f>IF(C59=0,"",D59/C59)</x:f>
      </x:c>
    </x:row>
    <x:row r="60" ht="20" customHeight="1">
      <x:c r="A60" s="28" t="n">
        <x:v>46221</x:v>
      </x:c>
      <x:c r="B60" s="15" t="str">
        <x:v>PRJ-1002</x:v>
      </x:c>
      <x:c r="C60" s="15" t="n">
        <x:f>IF(OR(A60="",B60=""),"",COUNTIFS('11_Intake_Daily'!$C:$C,A60,'11_Intake_Daily'!$D:$D,B60))</x:f>
        <x:v>0</x:v>
      </x:c>
      <x:c r="D60" s="15" t="n">
        <x:f>IF(OR(A60="",B60=""),"",COUNTIFS('11_Intake_Daily'!$C:$C,A60,'11_Intake_Daily'!$D:$D,B60,'11_Intake_Daily'!$AA:$AA,"Yes"))</x:f>
        <x:v>0</x:v>
      </x:c>
      <x:c r="E60" s="15" t="n">
        <x:f>IF(OR(A60="",B60=""),"",COUNTIFS('20_Proof_Queue'!$B:$B,A60,'20_Proof_Queue'!$C:$C,B60,'20_Proof_Queue'!$H:$H,"&lt;&gt;Closed"))</x:f>
        <x:v>0</x:v>
      </x:c>
      <x:c r="F60" s="138" t="n">
        <x:f>IF(OR(A60="",B60=""),"",SUMIFS('12_Production_Log'!$H:$H,'12_Production_Log'!$B:$B,A60,'12_Production_Log'!$C:$C,B60))</x:f>
        <x:v>0</x:v>
      </x:c>
      <x:c r="G60" s="136" t="n">
        <x:f>IF(OR(A60="",B60=""),"",SUMIFS('13_Labor_Time'!$J:$J,'13_Labor_Time'!$B:$B,A60,'13_Labor_Time'!$C:$C,B60))</x:f>
        <x:v>0</x:v>
      </x:c>
      <x:c r="H60" s="70" t="n">
        <x:f>IF(OR(A60="",B60=""),"",SUMIFS('14_Materials_Log'!$I:$I,'14_Materials_Log'!$B:$B,A60,'14_Materials_Log'!$C:$C,B60))</x:f>
        <x:v>0</x:v>
      </x:c>
      <x:c r="I60" s="136" t="n">
        <x:f>IF(OR(A60="",B60=""),"",SUMIFS('15_Equipment_Log'!$I:$I,'15_Equipment_Log'!$B:$B,A60,'15_Equipment_Log'!$C:$C,B60))</x:f>
        <x:v>0</x:v>
      </x:c>
      <x:c r="J60" s="70" t="n">
        <x:f>IF(OR(A60="",B60=""),"",SUMIFS('15_Equipment_Log'!$M:$M,'15_Equipment_Log'!$B:$B,A60,'15_Equipment_Log'!$C:$C,B60))</x:f>
        <x:v>0</x:v>
      </x:c>
      <x:c r="K60" s="70" t="n">
        <x:f>IF(OR(A60="",B60=""),"",SUMIFS('12_Production_Log'!$M:$M,'12_Production_Log'!$B:$B,A60,'12_Production_Log'!$C:$C,B60)+SUMIFS('14_Materials_Log'!$I:$I,'14_Materials_Log'!$B:$B,A60,'14_Materials_Log'!$C:$C,B60,'14_Materials_Log'!$J:$J,"Yes"))</x:f>
        <x:v>0</x:v>
      </x:c>
      <x:c r="L60" s="70" t="n">
        <x:f>IF(OR(A60="",B60=""),"",SUMIFS('13_Labor_Time'!$L:$L,'13_Labor_Time'!$B:$B,A60,'13_Labor_Time'!$C:$C,B60))</x:f>
        <x:v>0</x:v>
      </x:c>
      <x:c r="M60" s="70" t="str">
        <x:f>IF(OR(K60="",H60="",J60="",L60=""),"",K60-H60-J60-L60)</x:f>
      </x:c>
      <x:c r="N60" s="140" t="str">
        <x:f>IF(C60=0,"",D60/C60)</x:f>
      </x:c>
    </x:row>
    <x:row r="61" ht="20" customHeight="1">
      <x:c r="A61" s="28" t="n">
        <x:v>46221</x:v>
      </x:c>
      <x:c r="B61" s="15" t="str">
        <x:v>PRJ-1003</x:v>
      </x:c>
      <x:c r="C61" s="15" t="n">
        <x:f>IF(OR(A61="",B61=""),"",COUNTIFS('11_Intake_Daily'!$C:$C,A61,'11_Intake_Daily'!$D:$D,B61))</x:f>
        <x:v>0</x:v>
      </x:c>
      <x:c r="D61" s="15" t="n">
        <x:f>IF(OR(A61="",B61=""),"",COUNTIFS('11_Intake_Daily'!$C:$C,A61,'11_Intake_Daily'!$D:$D,B61,'11_Intake_Daily'!$AA:$AA,"Yes"))</x:f>
        <x:v>0</x:v>
      </x:c>
      <x:c r="E61" s="15" t="n">
        <x:f>IF(OR(A61="",B61=""),"",COUNTIFS('20_Proof_Queue'!$B:$B,A61,'20_Proof_Queue'!$C:$C,B61,'20_Proof_Queue'!$H:$H,"&lt;&gt;Closed"))</x:f>
        <x:v>0</x:v>
      </x:c>
      <x:c r="F61" s="138" t="n">
        <x:f>IF(OR(A61="",B61=""),"",SUMIFS('12_Production_Log'!$H:$H,'12_Production_Log'!$B:$B,A61,'12_Production_Log'!$C:$C,B61))</x:f>
        <x:v>0</x:v>
      </x:c>
      <x:c r="G61" s="136" t="n">
        <x:f>IF(OR(A61="",B61=""),"",SUMIFS('13_Labor_Time'!$J:$J,'13_Labor_Time'!$B:$B,A61,'13_Labor_Time'!$C:$C,B61))</x:f>
        <x:v>0</x:v>
      </x:c>
      <x:c r="H61" s="70" t="n">
        <x:f>IF(OR(A61="",B61=""),"",SUMIFS('14_Materials_Log'!$I:$I,'14_Materials_Log'!$B:$B,A61,'14_Materials_Log'!$C:$C,B61))</x:f>
        <x:v>0</x:v>
      </x:c>
      <x:c r="I61" s="136" t="n">
        <x:f>IF(OR(A61="",B61=""),"",SUMIFS('15_Equipment_Log'!$I:$I,'15_Equipment_Log'!$B:$B,A61,'15_Equipment_Log'!$C:$C,B61))</x:f>
        <x:v>0</x:v>
      </x:c>
      <x:c r="J61" s="70" t="n">
        <x:f>IF(OR(A61="",B61=""),"",SUMIFS('15_Equipment_Log'!$M:$M,'15_Equipment_Log'!$B:$B,A61,'15_Equipment_Log'!$C:$C,B61))</x:f>
        <x:v>0</x:v>
      </x:c>
      <x:c r="K61" s="70" t="n">
        <x:f>IF(OR(A61="",B61=""),"",SUMIFS('12_Production_Log'!$M:$M,'12_Production_Log'!$B:$B,A61,'12_Production_Log'!$C:$C,B61)+SUMIFS('14_Materials_Log'!$I:$I,'14_Materials_Log'!$B:$B,A61,'14_Materials_Log'!$C:$C,B61,'14_Materials_Log'!$J:$J,"Yes"))</x:f>
        <x:v>0</x:v>
      </x:c>
      <x:c r="L61" s="70" t="n">
        <x:f>IF(OR(A61="",B61=""),"",SUMIFS('13_Labor_Time'!$L:$L,'13_Labor_Time'!$B:$B,A61,'13_Labor_Time'!$C:$C,B61))</x:f>
        <x:v>0</x:v>
      </x:c>
      <x:c r="M61" s="70" t="str">
        <x:f>IF(OR(K61="",H61="",J61="",L61=""),"",K61-H61-J61-L61)</x:f>
      </x:c>
      <x:c r="N61" s="140" t="str">
        <x:f>IF(C61=0,"",D61/C61)</x:f>
      </x:c>
    </x:row>
    <x:row r="62" ht="20" customHeight="1">
      <x:c r="A62" s="28" t="n">
        <x:v>46222</x:v>
      </x:c>
      <x:c r="B62" s="15" t="str">
        <x:v>PRJ-1001</x:v>
      </x:c>
      <x:c r="C62" s="15" t="n">
        <x:f>IF(OR(A62="",B62=""),"",COUNTIFS('11_Intake_Daily'!$C:$C,A62,'11_Intake_Daily'!$D:$D,B62))</x:f>
        <x:v>0</x:v>
      </x:c>
      <x:c r="D62" s="15" t="n">
        <x:f>IF(OR(A62="",B62=""),"",COUNTIFS('11_Intake_Daily'!$C:$C,A62,'11_Intake_Daily'!$D:$D,B62,'11_Intake_Daily'!$AA:$AA,"Yes"))</x:f>
        <x:v>0</x:v>
      </x:c>
      <x:c r="E62" s="15" t="n">
        <x:f>IF(OR(A62="",B62=""),"",COUNTIFS('20_Proof_Queue'!$B:$B,A62,'20_Proof_Queue'!$C:$C,B62,'20_Proof_Queue'!$H:$H,"&lt;&gt;Closed"))</x:f>
        <x:v>0</x:v>
      </x:c>
      <x:c r="F62" s="138" t="n">
        <x:f>IF(OR(A62="",B62=""),"",SUMIFS('12_Production_Log'!$H:$H,'12_Production_Log'!$B:$B,A62,'12_Production_Log'!$C:$C,B62))</x:f>
        <x:v>0</x:v>
      </x:c>
      <x:c r="G62" s="136" t="n">
        <x:f>IF(OR(A62="",B62=""),"",SUMIFS('13_Labor_Time'!$J:$J,'13_Labor_Time'!$B:$B,A62,'13_Labor_Time'!$C:$C,B62))</x:f>
        <x:v>0</x:v>
      </x:c>
      <x:c r="H62" s="70" t="n">
        <x:f>IF(OR(A62="",B62=""),"",SUMIFS('14_Materials_Log'!$I:$I,'14_Materials_Log'!$B:$B,A62,'14_Materials_Log'!$C:$C,B62))</x:f>
        <x:v>0</x:v>
      </x:c>
      <x:c r="I62" s="136" t="n">
        <x:f>IF(OR(A62="",B62=""),"",SUMIFS('15_Equipment_Log'!$I:$I,'15_Equipment_Log'!$B:$B,A62,'15_Equipment_Log'!$C:$C,B62))</x:f>
        <x:v>0</x:v>
      </x:c>
      <x:c r="J62" s="70" t="n">
        <x:f>IF(OR(A62="",B62=""),"",SUMIFS('15_Equipment_Log'!$M:$M,'15_Equipment_Log'!$B:$B,A62,'15_Equipment_Log'!$C:$C,B62))</x:f>
        <x:v>0</x:v>
      </x:c>
      <x:c r="K62" s="70" t="n">
        <x:f>IF(OR(A62="",B62=""),"",SUMIFS('12_Production_Log'!$M:$M,'12_Production_Log'!$B:$B,A62,'12_Production_Log'!$C:$C,B62)+SUMIFS('14_Materials_Log'!$I:$I,'14_Materials_Log'!$B:$B,A62,'14_Materials_Log'!$C:$C,B62,'14_Materials_Log'!$J:$J,"Yes"))</x:f>
        <x:v>0</x:v>
      </x:c>
      <x:c r="L62" s="70" t="n">
        <x:f>IF(OR(A62="",B62=""),"",SUMIFS('13_Labor_Time'!$L:$L,'13_Labor_Time'!$B:$B,A62,'13_Labor_Time'!$C:$C,B62))</x:f>
        <x:v>0</x:v>
      </x:c>
      <x:c r="M62" s="70" t="str">
        <x:f>IF(OR(K62="",H62="",J62="",L62=""),"",K62-H62-J62-L62)</x:f>
      </x:c>
      <x:c r="N62" s="140" t="str">
        <x:f>IF(C62=0,"",D62/C62)</x:f>
      </x:c>
    </x:row>
    <x:row r="63" ht="20" customHeight="1">
      <x:c r="A63" s="28" t="n">
        <x:v>46222</x:v>
      </x:c>
      <x:c r="B63" s="15" t="str">
        <x:v>PRJ-1002</x:v>
      </x:c>
      <x:c r="C63" s="15" t="n">
        <x:f>IF(OR(A63="",B63=""),"",COUNTIFS('11_Intake_Daily'!$C:$C,A63,'11_Intake_Daily'!$D:$D,B63))</x:f>
        <x:v>0</x:v>
      </x:c>
      <x:c r="D63" s="15" t="n">
        <x:f>IF(OR(A63="",B63=""),"",COUNTIFS('11_Intake_Daily'!$C:$C,A63,'11_Intake_Daily'!$D:$D,B63,'11_Intake_Daily'!$AA:$AA,"Yes"))</x:f>
        <x:v>0</x:v>
      </x:c>
      <x:c r="E63" s="15" t="n">
        <x:f>IF(OR(A63="",B63=""),"",COUNTIFS('20_Proof_Queue'!$B:$B,A63,'20_Proof_Queue'!$C:$C,B63,'20_Proof_Queue'!$H:$H,"&lt;&gt;Closed"))</x:f>
        <x:v>0</x:v>
      </x:c>
      <x:c r="F63" s="138" t="n">
        <x:f>IF(OR(A63="",B63=""),"",SUMIFS('12_Production_Log'!$H:$H,'12_Production_Log'!$B:$B,A63,'12_Production_Log'!$C:$C,B63))</x:f>
        <x:v>0</x:v>
      </x:c>
      <x:c r="G63" s="136" t="n">
        <x:f>IF(OR(A63="",B63=""),"",SUMIFS('13_Labor_Time'!$J:$J,'13_Labor_Time'!$B:$B,A63,'13_Labor_Time'!$C:$C,B63))</x:f>
        <x:v>0</x:v>
      </x:c>
      <x:c r="H63" s="70" t="n">
        <x:f>IF(OR(A63="",B63=""),"",SUMIFS('14_Materials_Log'!$I:$I,'14_Materials_Log'!$B:$B,A63,'14_Materials_Log'!$C:$C,B63))</x:f>
        <x:v>0</x:v>
      </x:c>
      <x:c r="I63" s="136" t="n">
        <x:f>IF(OR(A63="",B63=""),"",SUMIFS('15_Equipment_Log'!$I:$I,'15_Equipment_Log'!$B:$B,A63,'15_Equipment_Log'!$C:$C,B63))</x:f>
        <x:v>0</x:v>
      </x:c>
      <x:c r="J63" s="70" t="n">
        <x:f>IF(OR(A63="",B63=""),"",SUMIFS('15_Equipment_Log'!$M:$M,'15_Equipment_Log'!$B:$B,A63,'15_Equipment_Log'!$C:$C,B63))</x:f>
        <x:v>0</x:v>
      </x:c>
      <x:c r="K63" s="70" t="n">
        <x:f>IF(OR(A63="",B63=""),"",SUMIFS('12_Production_Log'!$M:$M,'12_Production_Log'!$B:$B,A63,'12_Production_Log'!$C:$C,B63)+SUMIFS('14_Materials_Log'!$I:$I,'14_Materials_Log'!$B:$B,A63,'14_Materials_Log'!$C:$C,B63,'14_Materials_Log'!$J:$J,"Yes"))</x:f>
        <x:v>0</x:v>
      </x:c>
      <x:c r="L63" s="70" t="n">
        <x:f>IF(OR(A63="",B63=""),"",SUMIFS('13_Labor_Time'!$L:$L,'13_Labor_Time'!$B:$B,A63,'13_Labor_Time'!$C:$C,B63))</x:f>
        <x:v>0</x:v>
      </x:c>
      <x:c r="M63" s="70" t="str">
        <x:f>IF(OR(K63="",H63="",J63="",L63=""),"",K63-H63-J63-L63)</x:f>
      </x:c>
      <x:c r="N63" s="140" t="str">
        <x:f>IF(C63=0,"",D63/C63)</x:f>
      </x:c>
    </x:row>
    <x:row r="64" ht="20" customHeight="1">
      <x:c r="A64" s="28" t="n">
        <x:v>46222</x:v>
      </x:c>
      <x:c r="B64" s="15" t="str">
        <x:v>PRJ-1003</x:v>
      </x:c>
      <x:c r="C64" s="15" t="n">
        <x:f>IF(OR(A64="",B64=""),"",COUNTIFS('11_Intake_Daily'!$C:$C,A64,'11_Intake_Daily'!$D:$D,B64))</x:f>
        <x:v>0</x:v>
      </x:c>
      <x:c r="D64" s="15" t="n">
        <x:f>IF(OR(A64="",B64=""),"",COUNTIFS('11_Intake_Daily'!$C:$C,A64,'11_Intake_Daily'!$D:$D,B64,'11_Intake_Daily'!$AA:$AA,"Yes"))</x:f>
        <x:v>0</x:v>
      </x:c>
      <x:c r="E64" s="15" t="n">
        <x:f>IF(OR(A64="",B64=""),"",COUNTIFS('20_Proof_Queue'!$B:$B,A64,'20_Proof_Queue'!$C:$C,B64,'20_Proof_Queue'!$H:$H,"&lt;&gt;Closed"))</x:f>
        <x:v>0</x:v>
      </x:c>
      <x:c r="F64" s="138" t="n">
        <x:f>IF(OR(A64="",B64=""),"",SUMIFS('12_Production_Log'!$H:$H,'12_Production_Log'!$B:$B,A64,'12_Production_Log'!$C:$C,B64))</x:f>
        <x:v>0</x:v>
      </x:c>
      <x:c r="G64" s="136" t="n">
        <x:f>IF(OR(A64="",B64=""),"",SUMIFS('13_Labor_Time'!$J:$J,'13_Labor_Time'!$B:$B,A64,'13_Labor_Time'!$C:$C,B64))</x:f>
        <x:v>0</x:v>
      </x:c>
      <x:c r="H64" s="70" t="n">
        <x:f>IF(OR(A64="",B64=""),"",SUMIFS('14_Materials_Log'!$I:$I,'14_Materials_Log'!$B:$B,A64,'14_Materials_Log'!$C:$C,B64))</x:f>
        <x:v>0</x:v>
      </x:c>
      <x:c r="I64" s="136" t="n">
        <x:f>IF(OR(A64="",B64=""),"",SUMIFS('15_Equipment_Log'!$I:$I,'15_Equipment_Log'!$B:$B,A64,'15_Equipment_Log'!$C:$C,B64))</x:f>
        <x:v>0</x:v>
      </x:c>
      <x:c r="J64" s="70" t="n">
        <x:f>IF(OR(A64="",B64=""),"",SUMIFS('15_Equipment_Log'!$M:$M,'15_Equipment_Log'!$B:$B,A64,'15_Equipment_Log'!$C:$C,B64))</x:f>
        <x:v>0</x:v>
      </x:c>
      <x:c r="K64" s="70" t="n">
        <x:f>IF(OR(A64="",B64=""),"",SUMIFS('12_Production_Log'!$M:$M,'12_Production_Log'!$B:$B,A64,'12_Production_Log'!$C:$C,B64)+SUMIFS('14_Materials_Log'!$I:$I,'14_Materials_Log'!$B:$B,A64,'14_Materials_Log'!$C:$C,B64,'14_Materials_Log'!$J:$J,"Yes"))</x:f>
        <x:v>0</x:v>
      </x:c>
      <x:c r="L64" s="70" t="n">
        <x:f>IF(OR(A64="",B64=""),"",SUMIFS('13_Labor_Time'!$L:$L,'13_Labor_Time'!$B:$B,A64,'13_Labor_Time'!$C:$C,B64))</x:f>
        <x:v>0</x:v>
      </x:c>
      <x:c r="M64" s="70" t="str">
        <x:f>IF(OR(K64="",H64="",J64="",L64=""),"",K64-H64-J64-L64)</x:f>
      </x:c>
      <x:c r="N64" s="140" t="str">
        <x:f>IF(C64=0,"",D64/C64)</x:f>
      </x:c>
    </x:row>
    <x:row r="65" ht="20" customHeight="1">
      <x:c r="A65" s="28"/>
      <x:c r="B65" s="15"/>
      <x:c r="C65" s="15" t="str">
        <x:f>IF(OR(A65="",B65=""),"",COUNTIFS('11_Intake_Daily'!$C:$C,A65,'11_Intake_Daily'!$D:$D,B65))</x:f>
      </x:c>
      <x:c r="D65" s="15" t="str">
        <x:f>IF(OR(A65="",B65=""),"",COUNTIFS('11_Intake_Daily'!$C:$C,A65,'11_Intake_Daily'!$D:$D,B65,'11_Intake_Daily'!$AA:$AA,"Yes"))</x:f>
      </x:c>
      <x:c r="E65" s="15" t="str">
        <x:f>IF(OR(A65="",B65=""),"",COUNTIFS('20_Proof_Queue'!$B:$B,A65,'20_Proof_Queue'!$C:$C,B65,'20_Proof_Queue'!$H:$H,"&lt;&gt;Closed"))</x:f>
      </x:c>
      <x:c r="F65" s="138" t="str">
        <x:f>IF(OR(A65="",B65=""),"",SUMIFS('12_Production_Log'!$H:$H,'12_Production_Log'!$B:$B,A65,'12_Production_Log'!$C:$C,B65))</x:f>
      </x:c>
      <x:c r="G65" s="136" t="str">
        <x:f>IF(OR(A65="",B65=""),"",SUMIFS('13_Labor_Time'!$J:$J,'13_Labor_Time'!$B:$B,A65,'13_Labor_Time'!$C:$C,B65))</x:f>
      </x:c>
      <x:c r="H65" s="70" t="str">
        <x:f>IF(OR(A65="",B65=""),"",SUMIFS('14_Materials_Log'!$I:$I,'14_Materials_Log'!$B:$B,A65,'14_Materials_Log'!$C:$C,B65))</x:f>
      </x:c>
      <x:c r="I65" s="136" t="str">
        <x:f>IF(OR(A65="",B65=""),"",SUMIFS('15_Equipment_Log'!$I:$I,'15_Equipment_Log'!$B:$B,A65,'15_Equipment_Log'!$C:$C,B65))</x:f>
      </x:c>
      <x:c r="J65" s="70" t="str">
        <x:f>IF(OR(A65="",B65=""),"",SUMIFS('15_Equipment_Log'!$M:$M,'15_Equipment_Log'!$B:$B,A65,'15_Equipment_Log'!$C:$C,B65))</x:f>
      </x:c>
      <x:c r="K65" s="70" t="str">
        <x:f>IF(OR(A65="",B65=""),"",SUMIFS('12_Production_Log'!$M:$M,'12_Production_Log'!$B:$B,A65,'12_Production_Log'!$C:$C,B65)+SUMIFS('14_Materials_Log'!$I:$I,'14_Materials_Log'!$B:$B,A65,'14_Materials_Log'!$C:$C,B65,'14_Materials_Log'!$J:$J,"Yes"))</x:f>
      </x:c>
      <x:c r="L65" s="70" t="str">
        <x:f>IF(OR(A65="",B65=""),"",SUMIFS('13_Labor_Time'!$L:$L,'13_Labor_Time'!$B:$B,A65,'13_Labor_Time'!$C:$C,B65))</x:f>
      </x:c>
      <x:c r="M65" s="70" t="str">
        <x:f>IF(OR(K65="",H65="",J65="",L65=""),"",K65-H65-J65-L65)</x:f>
      </x:c>
      <x:c r="N65" s="140" t="str">
        <x:f>IF(C65=0,"",D65/C65)</x:f>
      </x:c>
    </x:row>
    <x:row r="66" ht="20" customHeight="1">
      <x:c r="A66" s="28"/>
      <x:c r="B66" s="15"/>
      <x:c r="C66" s="15" t="str">
        <x:f>IF(OR(A66="",B66=""),"",COUNTIFS('11_Intake_Daily'!$C:$C,A66,'11_Intake_Daily'!$D:$D,B66))</x:f>
      </x:c>
      <x:c r="D66" s="15" t="str">
        <x:f>IF(OR(A66="",B66=""),"",COUNTIFS('11_Intake_Daily'!$C:$C,A66,'11_Intake_Daily'!$D:$D,B66,'11_Intake_Daily'!$AA:$AA,"Yes"))</x:f>
      </x:c>
      <x:c r="E66" s="15" t="str">
        <x:f>IF(OR(A66="",B66=""),"",COUNTIFS('20_Proof_Queue'!$B:$B,A66,'20_Proof_Queue'!$C:$C,B66,'20_Proof_Queue'!$H:$H,"&lt;&gt;Closed"))</x:f>
      </x:c>
      <x:c r="F66" s="138" t="str">
        <x:f>IF(OR(A66="",B66=""),"",SUMIFS('12_Production_Log'!$H:$H,'12_Production_Log'!$B:$B,A66,'12_Production_Log'!$C:$C,B66))</x:f>
      </x:c>
      <x:c r="G66" s="136" t="str">
        <x:f>IF(OR(A66="",B66=""),"",SUMIFS('13_Labor_Time'!$J:$J,'13_Labor_Time'!$B:$B,A66,'13_Labor_Time'!$C:$C,B66))</x:f>
      </x:c>
      <x:c r="H66" s="70" t="str">
        <x:f>IF(OR(A66="",B66=""),"",SUMIFS('14_Materials_Log'!$I:$I,'14_Materials_Log'!$B:$B,A66,'14_Materials_Log'!$C:$C,B66))</x:f>
      </x:c>
      <x:c r="I66" s="136" t="str">
        <x:f>IF(OR(A66="",B66=""),"",SUMIFS('15_Equipment_Log'!$I:$I,'15_Equipment_Log'!$B:$B,A66,'15_Equipment_Log'!$C:$C,B66))</x:f>
      </x:c>
      <x:c r="J66" s="70" t="str">
        <x:f>IF(OR(A66="",B66=""),"",SUMIFS('15_Equipment_Log'!$M:$M,'15_Equipment_Log'!$B:$B,A66,'15_Equipment_Log'!$C:$C,B66))</x:f>
      </x:c>
      <x:c r="K66" s="70" t="str">
        <x:f>IF(OR(A66="",B66=""),"",SUMIFS('12_Production_Log'!$M:$M,'12_Production_Log'!$B:$B,A66,'12_Production_Log'!$C:$C,B66)+SUMIFS('14_Materials_Log'!$I:$I,'14_Materials_Log'!$B:$B,A66,'14_Materials_Log'!$C:$C,B66,'14_Materials_Log'!$J:$J,"Yes"))</x:f>
      </x:c>
      <x:c r="L66" s="70" t="str">
        <x:f>IF(OR(A66="",B66=""),"",SUMIFS('13_Labor_Time'!$L:$L,'13_Labor_Time'!$B:$B,A66,'13_Labor_Time'!$C:$C,B66))</x:f>
      </x:c>
      <x:c r="M66" s="70" t="str">
        <x:f>IF(OR(K66="",H66="",J66="",L66=""),"",K66-H66-J66-L66)</x:f>
      </x:c>
      <x:c r="N66" s="140" t="str">
        <x:f>IF(C66=0,"",D66/C66)</x:f>
      </x:c>
    </x:row>
    <x:row r="67" ht="20" customHeight="1">
      <x:c r="A67" s="28"/>
      <x:c r="B67" s="15"/>
      <x:c r="C67" s="15" t="str">
        <x:f>IF(OR(A67="",B67=""),"",COUNTIFS('11_Intake_Daily'!$C:$C,A67,'11_Intake_Daily'!$D:$D,B67))</x:f>
      </x:c>
      <x:c r="D67" s="15" t="str">
        <x:f>IF(OR(A67="",B67=""),"",COUNTIFS('11_Intake_Daily'!$C:$C,A67,'11_Intake_Daily'!$D:$D,B67,'11_Intake_Daily'!$AA:$AA,"Yes"))</x:f>
      </x:c>
      <x:c r="E67" s="15" t="str">
        <x:f>IF(OR(A67="",B67=""),"",COUNTIFS('20_Proof_Queue'!$B:$B,A67,'20_Proof_Queue'!$C:$C,B67,'20_Proof_Queue'!$H:$H,"&lt;&gt;Closed"))</x:f>
      </x:c>
      <x:c r="F67" s="138" t="str">
        <x:f>IF(OR(A67="",B67=""),"",SUMIFS('12_Production_Log'!$H:$H,'12_Production_Log'!$B:$B,A67,'12_Production_Log'!$C:$C,B67))</x:f>
      </x:c>
      <x:c r="G67" s="136" t="str">
        <x:f>IF(OR(A67="",B67=""),"",SUMIFS('13_Labor_Time'!$J:$J,'13_Labor_Time'!$B:$B,A67,'13_Labor_Time'!$C:$C,B67))</x:f>
      </x:c>
      <x:c r="H67" s="70" t="str">
        <x:f>IF(OR(A67="",B67=""),"",SUMIFS('14_Materials_Log'!$I:$I,'14_Materials_Log'!$B:$B,A67,'14_Materials_Log'!$C:$C,B67))</x:f>
      </x:c>
      <x:c r="I67" s="136" t="str">
        <x:f>IF(OR(A67="",B67=""),"",SUMIFS('15_Equipment_Log'!$I:$I,'15_Equipment_Log'!$B:$B,A67,'15_Equipment_Log'!$C:$C,B67))</x:f>
      </x:c>
      <x:c r="J67" s="70" t="str">
        <x:f>IF(OR(A67="",B67=""),"",SUMIFS('15_Equipment_Log'!$M:$M,'15_Equipment_Log'!$B:$B,A67,'15_Equipment_Log'!$C:$C,B67))</x:f>
      </x:c>
      <x:c r="K67" s="70" t="str">
        <x:f>IF(OR(A67="",B67=""),"",SUMIFS('12_Production_Log'!$M:$M,'12_Production_Log'!$B:$B,A67,'12_Production_Log'!$C:$C,B67)+SUMIFS('14_Materials_Log'!$I:$I,'14_Materials_Log'!$B:$B,A67,'14_Materials_Log'!$C:$C,B67,'14_Materials_Log'!$J:$J,"Yes"))</x:f>
      </x:c>
      <x:c r="L67" s="70" t="str">
        <x:f>IF(OR(A67="",B67=""),"",SUMIFS('13_Labor_Time'!$L:$L,'13_Labor_Time'!$B:$B,A67,'13_Labor_Time'!$C:$C,B67))</x:f>
      </x:c>
      <x:c r="M67" s="70" t="str">
        <x:f>IF(OR(K67="",H67="",J67="",L67=""),"",K67-H67-J67-L67)</x:f>
      </x:c>
      <x:c r="N67" s="140" t="str">
        <x:f>IF(C67=0,"",D67/C67)</x:f>
      </x:c>
    </x:row>
    <x:row r="68" ht="20" customHeight="1">
      <x:c r="A68" s="28"/>
      <x:c r="B68" s="15"/>
      <x:c r="C68" s="15" t="str">
        <x:f>IF(OR(A68="",B68=""),"",COUNTIFS('11_Intake_Daily'!$C:$C,A68,'11_Intake_Daily'!$D:$D,B68))</x:f>
      </x:c>
      <x:c r="D68" s="15" t="str">
        <x:f>IF(OR(A68="",B68=""),"",COUNTIFS('11_Intake_Daily'!$C:$C,A68,'11_Intake_Daily'!$D:$D,B68,'11_Intake_Daily'!$AA:$AA,"Yes"))</x:f>
      </x:c>
      <x:c r="E68" s="15" t="str">
        <x:f>IF(OR(A68="",B68=""),"",COUNTIFS('20_Proof_Queue'!$B:$B,A68,'20_Proof_Queue'!$C:$C,B68,'20_Proof_Queue'!$H:$H,"&lt;&gt;Closed"))</x:f>
      </x:c>
      <x:c r="F68" s="138" t="str">
        <x:f>IF(OR(A68="",B68=""),"",SUMIFS('12_Production_Log'!$H:$H,'12_Production_Log'!$B:$B,A68,'12_Production_Log'!$C:$C,B68))</x:f>
      </x:c>
      <x:c r="G68" s="136" t="str">
        <x:f>IF(OR(A68="",B68=""),"",SUMIFS('13_Labor_Time'!$J:$J,'13_Labor_Time'!$B:$B,A68,'13_Labor_Time'!$C:$C,B68))</x:f>
      </x:c>
      <x:c r="H68" s="70" t="str">
        <x:f>IF(OR(A68="",B68=""),"",SUMIFS('14_Materials_Log'!$I:$I,'14_Materials_Log'!$B:$B,A68,'14_Materials_Log'!$C:$C,B68))</x:f>
      </x:c>
      <x:c r="I68" s="136" t="str">
        <x:f>IF(OR(A68="",B68=""),"",SUMIFS('15_Equipment_Log'!$I:$I,'15_Equipment_Log'!$B:$B,A68,'15_Equipment_Log'!$C:$C,B68))</x:f>
      </x:c>
      <x:c r="J68" s="70" t="str">
        <x:f>IF(OR(A68="",B68=""),"",SUMIFS('15_Equipment_Log'!$M:$M,'15_Equipment_Log'!$B:$B,A68,'15_Equipment_Log'!$C:$C,B68))</x:f>
      </x:c>
      <x:c r="K68" s="70" t="str">
        <x:f>IF(OR(A68="",B68=""),"",SUMIFS('12_Production_Log'!$M:$M,'12_Production_Log'!$B:$B,A68,'12_Production_Log'!$C:$C,B68)+SUMIFS('14_Materials_Log'!$I:$I,'14_Materials_Log'!$B:$B,A68,'14_Materials_Log'!$C:$C,B68,'14_Materials_Log'!$J:$J,"Yes"))</x:f>
      </x:c>
      <x:c r="L68" s="70" t="str">
        <x:f>IF(OR(A68="",B68=""),"",SUMIFS('13_Labor_Time'!$L:$L,'13_Labor_Time'!$B:$B,A68,'13_Labor_Time'!$C:$C,B68))</x:f>
      </x:c>
      <x:c r="M68" s="70" t="str">
        <x:f>IF(OR(K68="",H68="",J68="",L68=""),"",K68-H68-J68-L68)</x:f>
      </x:c>
      <x:c r="N68" s="140" t="str">
        <x:f>IF(C68=0,"",D68/C68)</x:f>
      </x:c>
    </x:row>
    <x:row r="69" ht="20" customHeight="1">
      <x:c r="A69" s="28"/>
      <x:c r="B69" s="15"/>
      <x:c r="C69" s="15" t="str">
        <x:f>IF(OR(A69="",B69=""),"",COUNTIFS('11_Intake_Daily'!$C:$C,A69,'11_Intake_Daily'!$D:$D,B69))</x:f>
      </x:c>
      <x:c r="D69" s="15" t="str">
        <x:f>IF(OR(A69="",B69=""),"",COUNTIFS('11_Intake_Daily'!$C:$C,A69,'11_Intake_Daily'!$D:$D,B69,'11_Intake_Daily'!$AA:$AA,"Yes"))</x:f>
      </x:c>
      <x:c r="E69" s="15" t="str">
        <x:f>IF(OR(A69="",B69=""),"",COUNTIFS('20_Proof_Queue'!$B:$B,A69,'20_Proof_Queue'!$C:$C,B69,'20_Proof_Queue'!$H:$H,"&lt;&gt;Closed"))</x:f>
      </x:c>
      <x:c r="F69" s="138" t="str">
        <x:f>IF(OR(A69="",B69=""),"",SUMIFS('12_Production_Log'!$H:$H,'12_Production_Log'!$B:$B,A69,'12_Production_Log'!$C:$C,B69))</x:f>
      </x:c>
      <x:c r="G69" s="136" t="str">
        <x:f>IF(OR(A69="",B69=""),"",SUMIFS('13_Labor_Time'!$J:$J,'13_Labor_Time'!$B:$B,A69,'13_Labor_Time'!$C:$C,B69))</x:f>
      </x:c>
      <x:c r="H69" s="70" t="str">
        <x:f>IF(OR(A69="",B69=""),"",SUMIFS('14_Materials_Log'!$I:$I,'14_Materials_Log'!$B:$B,A69,'14_Materials_Log'!$C:$C,B69))</x:f>
      </x:c>
      <x:c r="I69" s="136" t="str">
        <x:f>IF(OR(A69="",B69=""),"",SUMIFS('15_Equipment_Log'!$I:$I,'15_Equipment_Log'!$B:$B,A69,'15_Equipment_Log'!$C:$C,B69))</x:f>
      </x:c>
      <x:c r="J69" s="70" t="str">
        <x:f>IF(OR(A69="",B69=""),"",SUMIFS('15_Equipment_Log'!$M:$M,'15_Equipment_Log'!$B:$B,A69,'15_Equipment_Log'!$C:$C,B69))</x:f>
      </x:c>
      <x:c r="K69" s="70" t="str">
        <x:f>IF(OR(A69="",B69=""),"",SUMIFS('12_Production_Log'!$M:$M,'12_Production_Log'!$B:$B,A69,'12_Production_Log'!$C:$C,B69)+SUMIFS('14_Materials_Log'!$I:$I,'14_Materials_Log'!$B:$B,A69,'14_Materials_Log'!$C:$C,B69,'14_Materials_Log'!$J:$J,"Yes"))</x:f>
      </x:c>
      <x:c r="L69" s="70" t="str">
        <x:f>IF(OR(A69="",B69=""),"",SUMIFS('13_Labor_Time'!$L:$L,'13_Labor_Time'!$B:$B,A69,'13_Labor_Time'!$C:$C,B69))</x:f>
      </x:c>
      <x:c r="M69" s="70" t="str">
        <x:f>IF(OR(K69="",H69="",J69="",L69=""),"",K69-H69-J69-L69)</x:f>
      </x:c>
      <x:c r="N69" s="140" t="str">
        <x:f>IF(C69=0,"",D69/C69)</x:f>
      </x:c>
    </x:row>
    <x:row r="70" ht="20" customHeight="1">
      <x:c r="A70" s="28"/>
      <x:c r="B70" s="15"/>
      <x:c r="C70" s="15" t="str">
        <x:f>IF(OR(A70="",B70=""),"",COUNTIFS('11_Intake_Daily'!$C:$C,A70,'11_Intake_Daily'!$D:$D,B70))</x:f>
      </x:c>
      <x:c r="D70" s="15" t="str">
        <x:f>IF(OR(A70="",B70=""),"",COUNTIFS('11_Intake_Daily'!$C:$C,A70,'11_Intake_Daily'!$D:$D,B70,'11_Intake_Daily'!$AA:$AA,"Yes"))</x:f>
      </x:c>
      <x:c r="E70" s="15" t="str">
        <x:f>IF(OR(A70="",B70=""),"",COUNTIFS('20_Proof_Queue'!$B:$B,A70,'20_Proof_Queue'!$C:$C,B70,'20_Proof_Queue'!$H:$H,"&lt;&gt;Closed"))</x:f>
      </x:c>
      <x:c r="F70" s="138" t="str">
        <x:f>IF(OR(A70="",B70=""),"",SUMIFS('12_Production_Log'!$H:$H,'12_Production_Log'!$B:$B,A70,'12_Production_Log'!$C:$C,B70))</x:f>
      </x:c>
      <x:c r="G70" s="136" t="str">
        <x:f>IF(OR(A70="",B70=""),"",SUMIFS('13_Labor_Time'!$J:$J,'13_Labor_Time'!$B:$B,A70,'13_Labor_Time'!$C:$C,B70))</x:f>
      </x:c>
      <x:c r="H70" s="70" t="str">
        <x:f>IF(OR(A70="",B70=""),"",SUMIFS('14_Materials_Log'!$I:$I,'14_Materials_Log'!$B:$B,A70,'14_Materials_Log'!$C:$C,B70))</x:f>
      </x:c>
      <x:c r="I70" s="136" t="str">
        <x:f>IF(OR(A70="",B70=""),"",SUMIFS('15_Equipment_Log'!$I:$I,'15_Equipment_Log'!$B:$B,A70,'15_Equipment_Log'!$C:$C,B70))</x:f>
      </x:c>
      <x:c r="J70" s="70" t="str">
        <x:f>IF(OR(A70="",B70=""),"",SUMIFS('15_Equipment_Log'!$M:$M,'15_Equipment_Log'!$B:$B,A70,'15_Equipment_Log'!$C:$C,B70))</x:f>
      </x:c>
      <x:c r="K70" s="70" t="str">
        <x:f>IF(OR(A70="",B70=""),"",SUMIFS('12_Production_Log'!$M:$M,'12_Production_Log'!$B:$B,A70,'12_Production_Log'!$C:$C,B70)+SUMIFS('14_Materials_Log'!$I:$I,'14_Materials_Log'!$B:$B,A70,'14_Materials_Log'!$C:$C,B70,'14_Materials_Log'!$J:$J,"Yes"))</x:f>
      </x:c>
      <x:c r="L70" s="70" t="str">
        <x:f>IF(OR(A70="",B70=""),"",SUMIFS('13_Labor_Time'!$L:$L,'13_Labor_Time'!$B:$B,A70,'13_Labor_Time'!$C:$C,B70))</x:f>
      </x:c>
      <x:c r="M70" s="70" t="str">
        <x:f>IF(OR(K70="",H70="",J70="",L70=""),"",K70-H70-J70-L70)</x:f>
      </x:c>
      <x:c r="N70" s="140" t="str">
        <x:f>IF(C70=0,"",D70/C70)</x:f>
      </x:c>
    </x:row>
    <x:row r="71" ht="20" customHeight="1">
      <x:c r="A71" s="28"/>
      <x:c r="B71" s="15"/>
      <x:c r="C71" s="15" t="str">
        <x:f>IF(OR(A71="",B71=""),"",COUNTIFS('11_Intake_Daily'!$C:$C,A71,'11_Intake_Daily'!$D:$D,B71))</x:f>
      </x:c>
      <x:c r="D71" s="15" t="str">
        <x:f>IF(OR(A71="",B71=""),"",COUNTIFS('11_Intake_Daily'!$C:$C,A71,'11_Intake_Daily'!$D:$D,B71,'11_Intake_Daily'!$AA:$AA,"Yes"))</x:f>
      </x:c>
      <x:c r="E71" s="15" t="str">
        <x:f>IF(OR(A71="",B71=""),"",COUNTIFS('20_Proof_Queue'!$B:$B,A71,'20_Proof_Queue'!$C:$C,B71,'20_Proof_Queue'!$H:$H,"&lt;&gt;Closed"))</x:f>
      </x:c>
      <x:c r="F71" s="138" t="str">
        <x:f>IF(OR(A71="",B71=""),"",SUMIFS('12_Production_Log'!$H:$H,'12_Production_Log'!$B:$B,A71,'12_Production_Log'!$C:$C,B71))</x:f>
      </x:c>
      <x:c r="G71" s="136" t="str">
        <x:f>IF(OR(A71="",B71=""),"",SUMIFS('13_Labor_Time'!$J:$J,'13_Labor_Time'!$B:$B,A71,'13_Labor_Time'!$C:$C,B71))</x:f>
      </x:c>
      <x:c r="H71" s="70" t="str">
        <x:f>IF(OR(A71="",B71=""),"",SUMIFS('14_Materials_Log'!$I:$I,'14_Materials_Log'!$B:$B,A71,'14_Materials_Log'!$C:$C,B71))</x:f>
      </x:c>
      <x:c r="I71" s="136" t="str">
        <x:f>IF(OR(A71="",B71=""),"",SUMIFS('15_Equipment_Log'!$I:$I,'15_Equipment_Log'!$B:$B,A71,'15_Equipment_Log'!$C:$C,B71))</x:f>
      </x:c>
      <x:c r="J71" s="70" t="str">
        <x:f>IF(OR(A71="",B71=""),"",SUMIFS('15_Equipment_Log'!$M:$M,'15_Equipment_Log'!$B:$B,A71,'15_Equipment_Log'!$C:$C,B71))</x:f>
      </x:c>
      <x:c r="K71" s="70" t="str">
        <x:f>IF(OR(A71="",B71=""),"",SUMIFS('12_Production_Log'!$M:$M,'12_Production_Log'!$B:$B,A71,'12_Production_Log'!$C:$C,B71)+SUMIFS('14_Materials_Log'!$I:$I,'14_Materials_Log'!$B:$B,A71,'14_Materials_Log'!$C:$C,B71,'14_Materials_Log'!$J:$J,"Yes"))</x:f>
      </x:c>
      <x:c r="L71" s="70" t="str">
        <x:f>IF(OR(A71="",B71=""),"",SUMIFS('13_Labor_Time'!$L:$L,'13_Labor_Time'!$B:$B,A71,'13_Labor_Time'!$C:$C,B71))</x:f>
      </x:c>
      <x:c r="M71" s="70" t="str">
        <x:f>IF(OR(K71="",H71="",J71="",L71=""),"",K71-H71-J71-L71)</x:f>
      </x:c>
      <x:c r="N71" s="140" t="str">
        <x:f>IF(C71=0,"",D71/C71)</x:f>
      </x:c>
    </x:row>
    <x:row r="72" ht="20" customHeight="1">
      <x:c r="A72" s="28"/>
      <x:c r="B72" s="15"/>
      <x:c r="C72" s="15" t="str">
        <x:f>IF(OR(A72="",B72=""),"",COUNTIFS('11_Intake_Daily'!$C:$C,A72,'11_Intake_Daily'!$D:$D,B72))</x:f>
      </x:c>
      <x:c r="D72" s="15" t="str">
        <x:f>IF(OR(A72="",B72=""),"",COUNTIFS('11_Intake_Daily'!$C:$C,A72,'11_Intake_Daily'!$D:$D,B72,'11_Intake_Daily'!$AA:$AA,"Yes"))</x:f>
      </x:c>
      <x:c r="E72" s="15" t="str">
        <x:f>IF(OR(A72="",B72=""),"",COUNTIFS('20_Proof_Queue'!$B:$B,A72,'20_Proof_Queue'!$C:$C,B72,'20_Proof_Queue'!$H:$H,"&lt;&gt;Closed"))</x:f>
      </x:c>
      <x:c r="F72" s="138" t="str">
        <x:f>IF(OR(A72="",B72=""),"",SUMIFS('12_Production_Log'!$H:$H,'12_Production_Log'!$B:$B,A72,'12_Production_Log'!$C:$C,B72))</x:f>
      </x:c>
      <x:c r="G72" s="136" t="str">
        <x:f>IF(OR(A72="",B72=""),"",SUMIFS('13_Labor_Time'!$J:$J,'13_Labor_Time'!$B:$B,A72,'13_Labor_Time'!$C:$C,B72))</x:f>
      </x:c>
      <x:c r="H72" s="70" t="str">
        <x:f>IF(OR(A72="",B72=""),"",SUMIFS('14_Materials_Log'!$I:$I,'14_Materials_Log'!$B:$B,A72,'14_Materials_Log'!$C:$C,B72))</x:f>
      </x:c>
      <x:c r="I72" s="136" t="str">
        <x:f>IF(OR(A72="",B72=""),"",SUMIFS('15_Equipment_Log'!$I:$I,'15_Equipment_Log'!$B:$B,A72,'15_Equipment_Log'!$C:$C,B72))</x:f>
      </x:c>
      <x:c r="J72" s="70" t="str">
        <x:f>IF(OR(A72="",B72=""),"",SUMIFS('15_Equipment_Log'!$M:$M,'15_Equipment_Log'!$B:$B,A72,'15_Equipment_Log'!$C:$C,B72))</x:f>
      </x:c>
      <x:c r="K72" s="70" t="str">
        <x:f>IF(OR(A72="",B72=""),"",SUMIFS('12_Production_Log'!$M:$M,'12_Production_Log'!$B:$B,A72,'12_Production_Log'!$C:$C,B72)+SUMIFS('14_Materials_Log'!$I:$I,'14_Materials_Log'!$B:$B,A72,'14_Materials_Log'!$C:$C,B72,'14_Materials_Log'!$J:$J,"Yes"))</x:f>
      </x:c>
      <x:c r="L72" s="70" t="str">
        <x:f>IF(OR(A72="",B72=""),"",SUMIFS('13_Labor_Time'!$L:$L,'13_Labor_Time'!$B:$B,A72,'13_Labor_Time'!$C:$C,B72))</x:f>
      </x:c>
      <x:c r="M72" s="70" t="str">
        <x:f>IF(OR(K72="",H72="",J72="",L72=""),"",K72-H72-J72-L72)</x:f>
      </x:c>
      <x:c r="N72" s="140" t="str">
        <x:f>IF(C72=0,"",D72/C72)</x:f>
      </x:c>
    </x:row>
    <x:row r="73" ht="20" customHeight="1">
      <x:c r="A73" s="28"/>
      <x:c r="B73" s="15"/>
      <x:c r="C73" s="15" t="str">
        <x:f>IF(OR(A73="",B73=""),"",COUNTIFS('11_Intake_Daily'!$C:$C,A73,'11_Intake_Daily'!$D:$D,B73))</x:f>
      </x:c>
      <x:c r="D73" s="15" t="str">
        <x:f>IF(OR(A73="",B73=""),"",COUNTIFS('11_Intake_Daily'!$C:$C,A73,'11_Intake_Daily'!$D:$D,B73,'11_Intake_Daily'!$AA:$AA,"Yes"))</x:f>
      </x:c>
      <x:c r="E73" s="15" t="str">
        <x:f>IF(OR(A73="",B73=""),"",COUNTIFS('20_Proof_Queue'!$B:$B,A73,'20_Proof_Queue'!$C:$C,B73,'20_Proof_Queue'!$H:$H,"&lt;&gt;Closed"))</x:f>
      </x:c>
      <x:c r="F73" s="138" t="str">
        <x:f>IF(OR(A73="",B73=""),"",SUMIFS('12_Production_Log'!$H:$H,'12_Production_Log'!$B:$B,A73,'12_Production_Log'!$C:$C,B73))</x:f>
      </x:c>
      <x:c r="G73" s="136" t="str">
        <x:f>IF(OR(A73="",B73=""),"",SUMIFS('13_Labor_Time'!$J:$J,'13_Labor_Time'!$B:$B,A73,'13_Labor_Time'!$C:$C,B73))</x:f>
      </x:c>
      <x:c r="H73" s="70" t="str">
        <x:f>IF(OR(A73="",B73=""),"",SUMIFS('14_Materials_Log'!$I:$I,'14_Materials_Log'!$B:$B,A73,'14_Materials_Log'!$C:$C,B73))</x:f>
      </x:c>
      <x:c r="I73" s="136" t="str">
        <x:f>IF(OR(A73="",B73=""),"",SUMIFS('15_Equipment_Log'!$I:$I,'15_Equipment_Log'!$B:$B,A73,'15_Equipment_Log'!$C:$C,B73))</x:f>
      </x:c>
      <x:c r="J73" s="70" t="str">
        <x:f>IF(OR(A73="",B73=""),"",SUMIFS('15_Equipment_Log'!$M:$M,'15_Equipment_Log'!$B:$B,A73,'15_Equipment_Log'!$C:$C,B73))</x:f>
      </x:c>
      <x:c r="K73" s="70" t="str">
        <x:f>IF(OR(A73="",B73=""),"",SUMIFS('12_Production_Log'!$M:$M,'12_Production_Log'!$B:$B,A73,'12_Production_Log'!$C:$C,B73)+SUMIFS('14_Materials_Log'!$I:$I,'14_Materials_Log'!$B:$B,A73,'14_Materials_Log'!$C:$C,B73,'14_Materials_Log'!$J:$J,"Yes"))</x:f>
      </x:c>
      <x:c r="L73" s="70" t="str">
        <x:f>IF(OR(A73="",B73=""),"",SUMIFS('13_Labor_Time'!$L:$L,'13_Labor_Time'!$B:$B,A73,'13_Labor_Time'!$C:$C,B73))</x:f>
      </x:c>
      <x:c r="M73" s="70" t="str">
        <x:f>IF(OR(K73="",H73="",J73="",L73=""),"",K73-H73-J73-L73)</x:f>
      </x:c>
      <x:c r="N73" s="140" t="str">
        <x:f>IF(C73=0,"",D73/C73)</x:f>
      </x:c>
    </x:row>
    <x:row r="74" ht="20" customHeight="1">
      <x:c r="A74" s="28"/>
      <x:c r="B74" s="15"/>
      <x:c r="C74" s="15" t="str">
        <x:f>IF(OR(A74="",B74=""),"",COUNTIFS('11_Intake_Daily'!$C:$C,A74,'11_Intake_Daily'!$D:$D,B74))</x:f>
      </x:c>
      <x:c r="D74" s="15" t="str">
        <x:f>IF(OR(A74="",B74=""),"",COUNTIFS('11_Intake_Daily'!$C:$C,A74,'11_Intake_Daily'!$D:$D,B74,'11_Intake_Daily'!$AA:$AA,"Yes"))</x:f>
      </x:c>
      <x:c r="E74" s="15" t="str">
        <x:f>IF(OR(A74="",B74=""),"",COUNTIFS('20_Proof_Queue'!$B:$B,A74,'20_Proof_Queue'!$C:$C,B74,'20_Proof_Queue'!$H:$H,"&lt;&gt;Closed"))</x:f>
      </x:c>
      <x:c r="F74" s="138" t="str">
        <x:f>IF(OR(A74="",B74=""),"",SUMIFS('12_Production_Log'!$H:$H,'12_Production_Log'!$B:$B,A74,'12_Production_Log'!$C:$C,B74))</x:f>
      </x:c>
      <x:c r="G74" s="136" t="str">
        <x:f>IF(OR(A74="",B74=""),"",SUMIFS('13_Labor_Time'!$J:$J,'13_Labor_Time'!$B:$B,A74,'13_Labor_Time'!$C:$C,B74))</x:f>
      </x:c>
      <x:c r="H74" s="70" t="str">
        <x:f>IF(OR(A74="",B74=""),"",SUMIFS('14_Materials_Log'!$I:$I,'14_Materials_Log'!$B:$B,A74,'14_Materials_Log'!$C:$C,B74))</x:f>
      </x:c>
      <x:c r="I74" s="136" t="str">
        <x:f>IF(OR(A74="",B74=""),"",SUMIFS('15_Equipment_Log'!$I:$I,'15_Equipment_Log'!$B:$B,A74,'15_Equipment_Log'!$C:$C,B74))</x:f>
      </x:c>
      <x:c r="J74" s="70" t="str">
        <x:f>IF(OR(A74="",B74=""),"",SUMIFS('15_Equipment_Log'!$M:$M,'15_Equipment_Log'!$B:$B,A74,'15_Equipment_Log'!$C:$C,B74))</x:f>
      </x:c>
      <x:c r="K74" s="70" t="str">
        <x:f>IF(OR(A74="",B74=""),"",SUMIFS('12_Production_Log'!$M:$M,'12_Production_Log'!$B:$B,A74,'12_Production_Log'!$C:$C,B74)+SUMIFS('14_Materials_Log'!$I:$I,'14_Materials_Log'!$B:$B,A74,'14_Materials_Log'!$C:$C,B74,'14_Materials_Log'!$J:$J,"Yes"))</x:f>
      </x:c>
      <x:c r="L74" s="70" t="str">
        <x:f>IF(OR(A74="",B74=""),"",SUMIFS('13_Labor_Time'!$L:$L,'13_Labor_Time'!$B:$B,A74,'13_Labor_Time'!$C:$C,B74))</x:f>
      </x:c>
      <x:c r="M74" s="70" t="str">
        <x:f>IF(OR(K74="",H74="",J74="",L74=""),"",K74-H74-J74-L74)</x:f>
      </x:c>
      <x:c r="N74" s="140" t="str">
        <x:f>IF(C74=0,"",D74/C74)</x:f>
      </x:c>
    </x:row>
    <x:row r="75" ht="20" customHeight="1">
      <x:c r="A75" s="28"/>
      <x:c r="B75" s="15"/>
      <x:c r="C75" s="15" t="str">
        <x:f>IF(OR(A75="",B75=""),"",COUNTIFS('11_Intake_Daily'!$C:$C,A75,'11_Intake_Daily'!$D:$D,B75))</x:f>
      </x:c>
      <x:c r="D75" s="15" t="str">
        <x:f>IF(OR(A75="",B75=""),"",COUNTIFS('11_Intake_Daily'!$C:$C,A75,'11_Intake_Daily'!$D:$D,B75,'11_Intake_Daily'!$AA:$AA,"Yes"))</x:f>
      </x:c>
      <x:c r="E75" s="15" t="str">
        <x:f>IF(OR(A75="",B75=""),"",COUNTIFS('20_Proof_Queue'!$B:$B,A75,'20_Proof_Queue'!$C:$C,B75,'20_Proof_Queue'!$H:$H,"&lt;&gt;Closed"))</x:f>
      </x:c>
      <x:c r="F75" s="138" t="str">
        <x:f>IF(OR(A75="",B75=""),"",SUMIFS('12_Production_Log'!$H:$H,'12_Production_Log'!$B:$B,A75,'12_Production_Log'!$C:$C,B75))</x:f>
      </x:c>
      <x:c r="G75" s="136" t="str">
        <x:f>IF(OR(A75="",B75=""),"",SUMIFS('13_Labor_Time'!$J:$J,'13_Labor_Time'!$B:$B,A75,'13_Labor_Time'!$C:$C,B75))</x:f>
      </x:c>
      <x:c r="H75" s="70" t="str">
        <x:f>IF(OR(A75="",B75=""),"",SUMIFS('14_Materials_Log'!$I:$I,'14_Materials_Log'!$B:$B,A75,'14_Materials_Log'!$C:$C,B75))</x:f>
      </x:c>
      <x:c r="I75" s="136" t="str">
        <x:f>IF(OR(A75="",B75=""),"",SUMIFS('15_Equipment_Log'!$I:$I,'15_Equipment_Log'!$B:$B,A75,'15_Equipment_Log'!$C:$C,B75))</x:f>
      </x:c>
      <x:c r="J75" s="70" t="str">
        <x:f>IF(OR(A75="",B75=""),"",SUMIFS('15_Equipment_Log'!$M:$M,'15_Equipment_Log'!$B:$B,A75,'15_Equipment_Log'!$C:$C,B75))</x:f>
      </x:c>
      <x:c r="K75" s="70" t="str">
        <x:f>IF(OR(A75="",B75=""),"",SUMIFS('12_Production_Log'!$M:$M,'12_Production_Log'!$B:$B,A75,'12_Production_Log'!$C:$C,B75)+SUMIFS('14_Materials_Log'!$I:$I,'14_Materials_Log'!$B:$B,A75,'14_Materials_Log'!$C:$C,B75,'14_Materials_Log'!$J:$J,"Yes"))</x:f>
      </x:c>
      <x:c r="L75" s="70" t="str">
        <x:f>IF(OR(A75="",B75=""),"",SUMIFS('13_Labor_Time'!$L:$L,'13_Labor_Time'!$B:$B,A75,'13_Labor_Time'!$C:$C,B75))</x:f>
      </x:c>
      <x:c r="M75" s="70" t="str">
        <x:f>IF(OR(K75="",H75="",J75="",L75=""),"",K75-H75-J75-L75)</x:f>
      </x:c>
      <x:c r="N75" s="140" t="str">
        <x:f>IF(C75=0,"",D75/C75)</x:f>
      </x:c>
    </x:row>
    <x:row r="76" ht="20" customHeight="1">
      <x:c r="A76" s="28"/>
      <x:c r="B76" s="15"/>
      <x:c r="C76" s="15" t="str">
        <x:f>IF(OR(A76="",B76=""),"",COUNTIFS('11_Intake_Daily'!$C:$C,A76,'11_Intake_Daily'!$D:$D,B76))</x:f>
      </x:c>
      <x:c r="D76" s="15" t="str">
        <x:f>IF(OR(A76="",B76=""),"",COUNTIFS('11_Intake_Daily'!$C:$C,A76,'11_Intake_Daily'!$D:$D,B76,'11_Intake_Daily'!$AA:$AA,"Yes"))</x:f>
      </x:c>
      <x:c r="E76" s="15" t="str">
        <x:f>IF(OR(A76="",B76=""),"",COUNTIFS('20_Proof_Queue'!$B:$B,A76,'20_Proof_Queue'!$C:$C,B76,'20_Proof_Queue'!$H:$H,"&lt;&gt;Closed"))</x:f>
      </x:c>
      <x:c r="F76" s="138" t="str">
        <x:f>IF(OR(A76="",B76=""),"",SUMIFS('12_Production_Log'!$H:$H,'12_Production_Log'!$B:$B,A76,'12_Production_Log'!$C:$C,B76))</x:f>
      </x:c>
      <x:c r="G76" s="136" t="str">
        <x:f>IF(OR(A76="",B76=""),"",SUMIFS('13_Labor_Time'!$J:$J,'13_Labor_Time'!$B:$B,A76,'13_Labor_Time'!$C:$C,B76))</x:f>
      </x:c>
      <x:c r="H76" s="70" t="str">
        <x:f>IF(OR(A76="",B76=""),"",SUMIFS('14_Materials_Log'!$I:$I,'14_Materials_Log'!$B:$B,A76,'14_Materials_Log'!$C:$C,B76))</x:f>
      </x:c>
      <x:c r="I76" s="136" t="str">
        <x:f>IF(OR(A76="",B76=""),"",SUMIFS('15_Equipment_Log'!$I:$I,'15_Equipment_Log'!$B:$B,A76,'15_Equipment_Log'!$C:$C,B76))</x:f>
      </x:c>
      <x:c r="J76" s="70" t="str">
        <x:f>IF(OR(A76="",B76=""),"",SUMIFS('15_Equipment_Log'!$M:$M,'15_Equipment_Log'!$B:$B,A76,'15_Equipment_Log'!$C:$C,B76))</x:f>
      </x:c>
      <x:c r="K76" s="70" t="str">
        <x:f>IF(OR(A76="",B76=""),"",SUMIFS('12_Production_Log'!$M:$M,'12_Production_Log'!$B:$B,A76,'12_Production_Log'!$C:$C,B76)+SUMIFS('14_Materials_Log'!$I:$I,'14_Materials_Log'!$B:$B,A76,'14_Materials_Log'!$C:$C,B76,'14_Materials_Log'!$J:$J,"Yes"))</x:f>
      </x:c>
      <x:c r="L76" s="70" t="str">
        <x:f>IF(OR(A76="",B76=""),"",SUMIFS('13_Labor_Time'!$L:$L,'13_Labor_Time'!$B:$B,A76,'13_Labor_Time'!$C:$C,B76))</x:f>
      </x:c>
      <x:c r="M76" s="70" t="str">
        <x:f>IF(OR(K76="",H76="",J76="",L76=""),"",K76-H76-J76-L76)</x:f>
      </x:c>
      <x:c r="N76" s="140" t="str">
        <x:f>IF(C76=0,"",D76/C76)</x:f>
      </x:c>
    </x:row>
    <x:row r="77" ht="20" customHeight="1">
      <x:c r="A77" s="28"/>
      <x:c r="B77" s="15"/>
      <x:c r="C77" s="15" t="str">
        <x:f>IF(OR(A77="",B77=""),"",COUNTIFS('11_Intake_Daily'!$C:$C,A77,'11_Intake_Daily'!$D:$D,B77))</x:f>
      </x:c>
      <x:c r="D77" s="15" t="str">
        <x:f>IF(OR(A77="",B77=""),"",COUNTIFS('11_Intake_Daily'!$C:$C,A77,'11_Intake_Daily'!$D:$D,B77,'11_Intake_Daily'!$AA:$AA,"Yes"))</x:f>
      </x:c>
      <x:c r="E77" s="15" t="str">
        <x:f>IF(OR(A77="",B77=""),"",COUNTIFS('20_Proof_Queue'!$B:$B,A77,'20_Proof_Queue'!$C:$C,B77,'20_Proof_Queue'!$H:$H,"&lt;&gt;Closed"))</x:f>
      </x:c>
      <x:c r="F77" s="138" t="str">
        <x:f>IF(OR(A77="",B77=""),"",SUMIFS('12_Production_Log'!$H:$H,'12_Production_Log'!$B:$B,A77,'12_Production_Log'!$C:$C,B77))</x:f>
      </x:c>
      <x:c r="G77" s="136" t="str">
        <x:f>IF(OR(A77="",B77=""),"",SUMIFS('13_Labor_Time'!$J:$J,'13_Labor_Time'!$B:$B,A77,'13_Labor_Time'!$C:$C,B77))</x:f>
      </x:c>
      <x:c r="H77" s="70" t="str">
        <x:f>IF(OR(A77="",B77=""),"",SUMIFS('14_Materials_Log'!$I:$I,'14_Materials_Log'!$B:$B,A77,'14_Materials_Log'!$C:$C,B77))</x:f>
      </x:c>
      <x:c r="I77" s="136" t="str">
        <x:f>IF(OR(A77="",B77=""),"",SUMIFS('15_Equipment_Log'!$I:$I,'15_Equipment_Log'!$B:$B,A77,'15_Equipment_Log'!$C:$C,B77))</x:f>
      </x:c>
      <x:c r="J77" s="70" t="str">
        <x:f>IF(OR(A77="",B77=""),"",SUMIFS('15_Equipment_Log'!$M:$M,'15_Equipment_Log'!$B:$B,A77,'15_Equipment_Log'!$C:$C,B77))</x:f>
      </x:c>
      <x:c r="K77" s="70" t="str">
        <x:f>IF(OR(A77="",B77=""),"",SUMIFS('12_Production_Log'!$M:$M,'12_Production_Log'!$B:$B,A77,'12_Production_Log'!$C:$C,B77)+SUMIFS('14_Materials_Log'!$I:$I,'14_Materials_Log'!$B:$B,A77,'14_Materials_Log'!$C:$C,B77,'14_Materials_Log'!$J:$J,"Yes"))</x:f>
      </x:c>
      <x:c r="L77" s="70" t="str">
        <x:f>IF(OR(A77="",B77=""),"",SUMIFS('13_Labor_Time'!$L:$L,'13_Labor_Time'!$B:$B,A77,'13_Labor_Time'!$C:$C,B77))</x:f>
      </x:c>
      <x:c r="M77" s="70" t="str">
        <x:f>IF(OR(K77="",H77="",J77="",L77=""),"",K77-H77-J77-L77)</x:f>
      </x:c>
      <x:c r="N77" s="140" t="str">
        <x:f>IF(C77=0,"",D77/C77)</x:f>
      </x:c>
    </x:row>
    <x:row r="78" ht="20" customHeight="1">
      <x:c r="A78" s="28"/>
      <x:c r="B78" s="15"/>
      <x:c r="C78" s="15" t="str">
        <x:f>IF(OR(A78="",B78=""),"",COUNTIFS('11_Intake_Daily'!$C:$C,A78,'11_Intake_Daily'!$D:$D,B78))</x:f>
      </x:c>
      <x:c r="D78" s="15" t="str">
        <x:f>IF(OR(A78="",B78=""),"",COUNTIFS('11_Intake_Daily'!$C:$C,A78,'11_Intake_Daily'!$D:$D,B78,'11_Intake_Daily'!$AA:$AA,"Yes"))</x:f>
      </x:c>
      <x:c r="E78" s="15" t="str">
        <x:f>IF(OR(A78="",B78=""),"",COUNTIFS('20_Proof_Queue'!$B:$B,A78,'20_Proof_Queue'!$C:$C,B78,'20_Proof_Queue'!$H:$H,"&lt;&gt;Closed"))</x:f>
      </x:c>
      <x:c r="F78" s="138" t="str">
        <x:f>IF(OR(A78="",B78=""),"",SUMIFS('12_Production_Log'!$H:$H,'12_Production_Log'!$B:$B,A78,'12_Production_Log'!$C:$C,B78))</x:f>
      </x:c>
      <x:c r="G78" s="136" t="str">
        <x:f>IF(OR(A78="",B78=""),"",SUMIFS('13_Labor_Time'!$J:$J,'13_Labor_Time'!$B:$B,A78,'13_Labor_Time'!$C:$C,B78))</x:f>
      </x:c>
      <x:c r="H78" s="70" t="str">
        <x:f>IF(OR(A78="",B78=""),"",SUMIFS('14_Materials_Log'!$I:$I,'14_Materials_Log'!$B:$B,A78,'14_Materials_Log'!$C:$C,B78))</x:f>
      </x:c>
      <x:c r="I78" s="136" t="str">
        <x:f>IF(OR(A78="",B78=""),"",SUMIFS('15_Equipment_Log'!$I:$I,'15_Equipment_Log'!$B:$B,A78,'15_Equipment_Log'!$C:$C,B78))</x:f>
      </x:c>
      <x:c r="J78" s="70" t="str">
        <x:f>IF(OR(A78="",B78=""),"",SUMIFS('15_Equipment_Log'!$M:$M,'15_Equipment_Log'!$B:$B,A78,'15_Equipment_Log'!$C:$C,B78))</x:f>
      </x:c>
      <x:c r="K78" s="70" t="str">
        <x:f>IF(OR(A78="",B78=""),"",SUMIFS('12_Production_Log'!$M:$M,'12_Production_Log'!$B:$B,A78,'12_Production_Log'!$C:$C,B78)+SUMIFS('14_Materials_Log'!$I:$I,'14_Materials_Log'!$B:$B,A78,'14_Materials_Log'!$C:$C,B78,'14_Materials_Log'!$J:$J,"Yes"))</x:f>
      </x:c>
      <x:c r="L78" s="70" t="str">
        <x:f>IF(OR(A78="",B78=""),"",SUMIFS('13_Labor_Time'!$L:$L,'13_Labor_Time'!$B:$B,A78,'13_Labor_Time'!$C:$C,B78))</x:f>
      </x:c>
      <x:c r="M78" s="70" t="str">
        <x:f>IF(OR(K78="",H78="",J78="",L78=""),"",K78-H78-J78-L78)</x:f>
      </x:c>
      <x:c r="N78" s="140" t="str">
        <x:f>IF(C78=0,"",D78/C78)</x:f>
      </x:c>
    </x:row>
    <x:row r="79" ht="20" customHeight="1">
      <x:c r="A79" s="28"/>
      <x:c r="B79" s="15"/>
      <x:c r="C79" s="15" t="str">
        <x:f>IF(OR(A79="",B79=""),"",COUNTIFS('11_Intake_Daily'!$C:$C,A79,'11_Intake_Daily'!$D:$D,B79))</x:f>
      </x:c>
      <x:c r="D79" s="15" t="str">
        <x:f>IF(OR(A79="",B79=""),"",COUNTIFS('11_Intake_Daily'!$C:$C,A79,'11_Intake_Daily'!$D:$D,B79,'11_Intake_Daily'!$AA:$AA,"Yes"))</x:f>
      </x:c>
      <x:c r="E79" s="15" t="str">
        <x:f>IF(OR(A79="",B79=""),"",COUNTIFS('20_Proof_Queue'!$B:$B,A79,'20_Proof_Queue'!$C:$C,B79,'20_Proof_Queue'!$H:$H,"&lt;&gt;Closed"))</x:f>
      </x:c>
      <x:c r="F79" s="138" t="str">
        <x:f>IF(OR(A79="",B79=""),"",SUMIFS('12_Production_Log'!$H:$H,'12_Production_Log'!$B:$B,A79,'12_Production_Log'!$C:$C,B79))</x:f>
      </x:c>
      <x:c r="G79" s="136" t="str">
        <x:f>IF(OR(A79="",B79=""),"",SUMIFS('13_Labor_Time'!$J:$J,'13_Labor_Time'!$B:$B,A79,'13_Labor_Time'!$C:$C,B79))</x:f>
      </x:c>
      <x:c r="H79" s="70" t="str">
        <x:f>IF(OR(A79="",B79=""),"",SUMIFS('14_Materials_Log'!$I:$I,'14_Materials_Log'!$B:$B,A79,'14_Materials_Log'!$C:$C,B79))</x:f>
      </x:c>
      <x:c r="I79" s="136" t="str">
        <x:f>IF(OR(A79="",B79=""),"",SUMIFS('15_Equipment_Log'!$I:$I,'15_Equipment_Log'!$B:$B,A79,'15_Equipment_Log'!$C:$C,B79))</x:f>
      </x:c>
      <x:c r="J79" s="70" t="str">
        <x:f>IF(OR(A79="",B79=""),"",SUMIFS('15_Equipment_Log'!$M:$M,'15_Equipment_Log'!$B:$B,A79,'15_Equipment_Log'!$C:$C,B79))</x:f>
      </x:c>
      <x:c r="K79" s="70" t="str">
        <x:f>IF(OR(A79="",B79=""),"",SUMIFS('12_Production_Log'!$M:$M,'12_Production_Log'!$B:$B,A79,'12_Production_Log'!$C:$C,B79)+SUMIFS('14_Materials_Log'!$I:$I,'14_Materials_Log'!$B:$B,A79,'14_Materials_Log'!$C:$C,B79,'14_Materials_Log'!$J:$J,"Yes"))</x:f>
      </x:c>
      <x:c r="L79" s="70" t="str">
        <x:f>IF(OR(A79="",B79=""),"",SUMIFS('13_Labor_Time'!$L:$L,'13_Labor_Time'!$B:$B,A79,'13_Labor_Time'!$C:$C,B79))</x:f>
      </x:c>
      <x:c r="M79" s="70" t="str">
        <x:f>IF(OR(K79="",H79="",J79="",L79=""),"",K79-H79-J79-L79)</x:f>
      </x:c>
      <x:c r="N79" s="140" t="str">
        <x:f>IF(C79=0,"",D79/C79)</x:f>
      </x:c>
    </x:row>
    <x:row r="80" ht="20" customHeight="1">
      <x:c r="A80" s="28"/>
      <x:c r="B80" s="15"/>
      <x:c r="C80" s="15" t="str">
        <x:f>IF(OR(A80="",B80=""),"",COUNTIFS('11_Intake_Daily'!$C:$C,A80,'11_Intake_Daily'!$D:$D,B80))</x:f>
      </x:c>
      <x:c r="D80" s="15" t="str">
        <x:f>IF(OR(A80="",B80=""),"",COUNTIFS('11_Intake_Daily'!$C:$C,A80,'11_Intake_Daily'!$D:$D,B80,'11_Intake_Daily'!$AA:$AA,"Yes"))</x:f>
      </x:c>
      <x:c r="E80" s="15" t="str">
        <x:f>IF(OR(A80="",B80=""),"",COUNTIFS('20_Proof_Queue'!$B:$B,A80,'20_Proof_Queue'!$C:$C,B80,'20_Proof_Queue'!$H:$H,"&lt;&gt;Closed"))</x:f>
      </x:c>
      <x:c r="F80" s="138" t="str">
        <x:f>IF(OR(A80="",B80=""),"",SUMIFS('12_Production_Log'!$H:$H,'12_Production_Log'!$B:$B,A80,'12_Production_Log'!$C:$C,B80))</x:f>
      </x:c>
      <x:c r="G80" s="136" t="str">
        <x:f>IF(OR(A80="",B80=""),"",SUMIFS('13_Labor_Time'!$J:$J,'13_Labor_Time'!$B:$B,A80,'13_Labor_Time'!$C:$C,B80))</x:f>
      </x:c>
      <x:c r="H80" s="70" t="str">
        <x:f>IF(OR(A80="",B80=""),"",SUMIFS('14_Materials_Log'!$I:$I,'14_Materials_Log'!$B:$B,A80,'14_Materials_Log'!$C:$C,B80))</x:f>
      </x:c>
      <x:c r="I80" s="136" t="str">
        <x:f>IF(OR(A80="",B80=""),"",SUMIFS('15_Equipment_Log'!$I:$I,'15_Equipment_Log'!$B:$B,A80,'15_Equipment_Log'!$C:$C,B80))</x:f>
      </x:c>
      <x:c r="J80" s="70" t="str">
        <x:f>IF(OR(A80="",B80=""),"",SUMIFS('15_Equipment_Log'!$M:$M,'15_Equipment_Log'!$B:$B,A80,'15_Equipment_Log'!$C:$C,B80))</x:f>
      </x:c>
      <x:c r="K80" s="70" t="str">
        <x:f>IF(OR(A80="",B80=""),"",SUMIFS('12_Production_Log'!$M:$M,'12_Production_Log'!$B:$B,A80,'12_Production_Log'!$C:$C,B80)+SUMIFS('14_Materials_Log'!$I:$I,'14_Materials_Log'!$B:$B,A80,'14_Materials_Log'!$C:$C,B80,'14_Materials_Log'!$J:$J,"Yes"))</x:f>
      </x:c>
      <x:c r="L80" s="70" t="str">
        <x:f>IF(OR(A80="",B80=""),"",SUMIFS('13_Labor_Time'!$L:$L,'13_Labor_Time'!$B:$B,A80,'13_Labor_Time'!$C:$C,B80))</x:f>
      </x:c>
      <x:c r="M80" s="70" t="str">
        <x:f>IF(OR(K80="",H80="",J80="",L80=""),"",K80-H80-J80-L80)</x:f>
      </x:c>
      <x:c r="N80" s="140" t="str">
        <x:f>IF(C80=0,"",D80/C80)</x:f>
      </x:c>
    </x:row>
    <x:row r="81" ht="20" customHeight="1">
      <x:c r="A81" s="28"/>
      <x:c r="B81" s="15"/>
      <x:c r="C81" s="15" t="str">
        <x:f>IF(OR(A81="",B81=""),"",COUNTIFS('11_Intake_Daily'!$C:$C,A81,'11_Intake_Daily'!$D:$D,B81))</x:f>
      </x:c>
      <x:c r="D81" s="15" t="str">
        <x:f>IF(OR(A81="",B81=""),"",COUNTIFS('11_Intake_Daily'!$C:$C,A81,'11_Intake_Daily'!$D:$D,B81,'11_Intake_Daily'!$AA:$AA,"Yes"))</x:f>
      </x:c>
      <x:c r="E81" s="15" t="str">
        <x:f>IF(OR(A81="",B81=""),"",COUNTIFS('20_Proof_Queue'!$B:$B,A81,'20_Proof_Queue'!$C:$C,B81,'20_Proof_Queue'!$H:$H,"&lt;&gt;Closed"))</x:f>
      </x:c>
      <x:c r="F81" s="138" t="str">
        <x:f>IF(OR(A81="",B81=""),"",SUMIFS('12_Production_Log'!$H:$H,'12_Production_Log'!$B:$B,A81,'12_Production_Log'!$C:$C,B81))</x:f>
      </x:c>
      <x:c r="G81" s="136" t="str">
        <x:f>IF(OR(A81="",B81=""),"",SUMIFS('13_Labor_Time'!$J:$J,'13_Labor_Time'!$B:$B,A81,'13_Labor_Time'!$C:$C,B81))</x:f>
      </x:c>
      <x:c r="H81" s="70" t="str">
        <x:f>IF(OR(A81="",B81=""),"",SUMIFS('14_Materials_Log'!$I:$I,'14_Materials_Log'!$B:$B,A81,'14_Materials_Log'!$C:$C,B81))</x:f>
      </x:c>
      <x:c r="I81" s="136" t="str">
        <x:f>IF(OR(A81="",B81=""),"",SUMIFS('15_Equipment_Log'!$I:$I,'15_Equipment_Log'!$B:$B,A81,'15_Equipment_Log'!$C:$C,B81))</x:f>
      </x:c>
      <x:c r="J81" s="70" t="str">
        <x:f>IF(OR(A81="",B81=""),"",SUMIFS('15_Equipment_Log'!$M:$M,'15_Equipment_Log'!$B:$B,A81,'15_Equipment_Log'!$C:$C,B81))</x:f>
      </x:c>
      <x:c r="K81" s="70" t="str">
        <x:f>IF(OR(A81="",B81=""),"",SUMIFS('12_Production_Log'!$M:$M,'12_Production_Log'!$B:$B,A81,'12_Production_Log'!$C:$C,B81)+SUMIFS('14_Materials_Log'!$I:$I,'14_Materials_Log'!$B:$B,A81,'14_Materials_Log'!$C:$C,B81,'14_Materials_Log'!$J:$J,"Yes"))</x:f>
      </x:c>
      <x:c r="L81" s="70" t="str">
        <x:f>IF(OR(A81="",B81=""),"",SUMIFS('13_Labor_Time'!$L:$L,'13_Labor_Time'!$B:$B,A81,'13_Labor_Time'!$C:$C,B81))</x:f>
      </x:c>
      <x:c r="M81" s="70" t="str">
        <x:f>IF(OR(K81="",H81="",J81="",L81=""),"",K81-H81-J81-L81)</x:f>
      </x:c>
      <x:c r="N81" s="140" t="str">
        <x:f>IF(C81=0,"",D81/C81)</x:f>
      </x:c>
    </x:row>
    <x:row r="82" ht="20" customHeight="1">
      <x:c r="A82" s="28"/>
      <x:c r="B82" s="15"/>
      <x:c r="C82" s="15" t="str">
        <x:f>IF(OR(A82="",B82=""),"",COUNTIFS('11_Intake_Daily'!$C:$C,A82,'11_Intake_Daily'!$D:$D,B82))</x:f>
      </x:c>
      <x:c r="D82" s="15" t="str">
        <x:f>IF(OR(A82="",B82=""),"",COUNTIFS('11_Intake_Daily'!$C:$C,A82,'11_Intake_Daily'!$D:$D,B82,'11_Intake_Daily'!$AA:$AA,"Yes"))</x:f>
      </x:c>
      <x:c r="E82" s="15" t="str">
        <x:f>IF(OR(A82="",B82=""),"",COUNTIFS('20_Proof_Queue'!$B:$B,A82,'20_Proof_Queue'!$C:$C,B82,'20_Proof_Queue'!$H:$H,"&lt;&gt;Closed"))</x:f>
      </x:c>
      <x:c r="F82" s="138" t="str">
        <x:f>IF(OR(A82="",B82=""),"",SUMIFS('12_Production_Log'!$H:$H,'12_Production_Log'!$B:$B,A82,'12_Production_Log'!$C:$C,B82))</x:f>
      </x:c>
      <x:c r="G82" s="136" t="str">
        <x:f>IF(OR(A82="",B82=""),"",SUMIFS('13_Labor_Time'!$J:$J,'13_Labor_Time'!$B:$B,A82,'13_Labor_Time'!$C:$C,B82))</x:f>
      </x:c>
      <x:c r="H82" s="70" t="str">
        <x:f>IF(OR(A82="",B82=""),"",SUMIFS('14_Materials_Log'!$I:$I,'14_Materials_Log'!$B:$B,A82,'14_Materials_Log'!$C:$C,B82))</x:f>
      </x:c>
      <x:c r="I82" s="136" t="str">
        <x:f>IF(OR(A82="",B82=""),"",SUMIFS('15_Equipment_Log'!$I:$I,'15_Equipment_Log'!$B:$B,A82,'15_Equipment_Log'!$C:$C,B82))</x:f>
      </x:c>
      <x:c r="J82" s="70" t="str">
        <x:f>IF(OR(A82="",B82=""),"",SUMIFS('15_Equipment_Log'!$M:$M,'15_Equipment_Log'!$B:$B,A82,'15_Equipment_Log'!$C:$C,B82))</x:f>
      </x:c>
      <x:c r="K82" s="70" t="str">
        <x:f>IF(OR(A82="",B82=""),"",SUMIFS('12_Production_Log'!$M:$M,'12_Production_Log'!$B:$B,A82,'12_Production_Log'!$C:$C,B82)+SUMIFS('14_Materials_Log'!$I:$I,'14_Materials_Log'!$B:$B,A82,'14_Materials_Log'!$C:$C,B82,'14_Materials_Log'!$J:$J,"Yes"))</x:f>
      </x:c>
      <x:c r="L82" s="70" t="str">
        <x:f>IF(OR(A82="",B82=""),"",SUMIFS('13_Labor_Time'!$L:$L,'13_Labor_Time'!$B:$B,A82,'13_Labor_Time'!$C:$C,B82))</x:f>
      </x:c>
      <x:c r="M82" s="70" t="str">
        <x:f>IF(OR(K82="",H82="",J82="",L82=""),"",K82-H82-J82-L82)</x:f>
      </x:c>
      <x:c r="N82" s="140" t="str">
        <x:f>IF(C82=0,"",D82/C82)</x:f>
      </x:c>
    </x:row>
    <x:row r="83" ht="20" customHeight="1">
      <x:c r="A83" s="28"/>
      <x:c r="B83" s="15"/>
      <x:c r="C83" s="15" t="str">
        <x:f>IF(OR(A83="",B83=""),"",COUNTIFS('11_Intake_Daily'!$C:$C,A83,'11_Intake_Daily'!$D:$D,B83))</x:f>
      </x:c>
      <x:c r="D83" s="15" t="str">
        <x:f>IF(OR(A83="",B83=""),"",COUNTIFS('11_Intake_Daily'!$C:$C,A83,'11_Intake_Daily'!$D:$D,B83,'11_Intake_Daily'!$AA:$AA,"Yes"))</x:f>
      </x:c>
      <x:c r="E83" s="15" t="str">
        <x:f>IF(OR(A83="",B83=""),"",COUNTIFS('20_Proof_Queue'!$B:$B,A83,'20_Proof_Queue'!$C:$C,B83,'20_Proof_Queue'!$H:$H,"&lt;&gt;Closed"))</x:f>
      </x:c>
      <x:c r="F83" s="138" t="str">
        <x:f>IF(OR(A83="",B83=""),"",SUMIFS('12_Production_Log'!$H:$H,'12_Production_Log'!$B:$B,A83,'12_Production_Log'!$C:$C,B83))</x:f>
      </x:c>
      <x:c r="G83" s="136" t="str">
        <x:f>IF(OR(A83="",B83=""),"",SUMIFS('13_Labor_Time'!$J:$J,'13_Labor_Time'!$B:$B,A83,'13_Labor_Time'!$C:$C,B83))</x:f>
      </x:c>
      <x:c r="H83" s="70" t="str">
        <x:f>IF(OR(A83="",B83=""),"",SUMIFS('14_Materials_Log'!$I:$I,'14_Materials_Log'!$B:$B,A83,'14_Materials_Log'!$C:$C,B83))</x:f>
      </x:c>
      <x:c r="I83" s="136" t="str">
        <x:f>IF(OR(A83="",B83=""),"",SUMIFS('15_Equipment_Log'!$I:$I,'15_Equipment_Log'!$B:$B,A83,'15_Equipment_Log'!$C:$C,B83))</x:f>
      </x:c>
      <x:c r="J83" s="70" t="str">
        <x:f>IF(OR(A83="",B83=""),"",SUMIFS('15_Equipment_Log'!$M:$M,'15_Equipment_Log'!$B:$B,A83,'15_Equipment_Log'!$C:$C,B83))</x:f>
      </x:c>
      <x:c r="K83" s="70" t="str">
        <x:f>IF(OR(A83="",B83=""),"",SUMIFS('12_Production_Log'!$M:$M,'12_Production_Log'!$B:$B,A83,'12_Production_Log'!$C:$C,B83)+SUMIFS('14_Materials_Log'!$I:$I,'14_Materials_Log'!$B:$B,A83,'14_Materials_Log'!$C:$C,B83,'14_Materials_Log'!$J:$J,"Yes"))</x:f>
      </x:c>
      <x:c r="L83" s="70" t="str">
        <x:f>IF(OR(A83="",B83=""),"",SUMIFS('13_Labor_Time'!$L:$L,'13_Labor_Time'!$B:$B,A83,'13_Labor_Time'!$C:$C,B83))</x:f>
      </x:c>
      <x:c r="M83" s="70" t="str">
        <x:f>IF(OR(K83="",H83="",J83="",L83=""),"",K83-H83-J83-L83)</x:f>
      </x:c>
      <x:c r="N83" s="140" t="str">
        <x:f>IF(C83=0,"",D83/C83)</x:f>
      </x:c>
    </x:row>
    <x:row r="84" ht="20" customHeight="1">
      <x:c r="A84" s="28"/>
      <x:c r="B84" s="15"/>
      <x:c r="C84" s="15" t="str">
        <x:f>IF(OR(A84="",B84=""),"",COUNTIFS('11_Intake_Daily'!$C:$C,A84,'11_Intake_Daily'!$D:$D,B84))</x:f>
      </x:c>
      <x:c r="D84" s="15" t="str">
        <x:f>IF(OR(A84="",B84=""),"",COUNTIFS('11_Intake_Daily'!$C:$C,A84,'11_Intake_Daily'!$D:$D,B84,'11_Intake_Daily'!$AA:$AA,"Yes"))</x:f>
      </x:c>
      <x:c r="E84" s="15" t="str">
        <x:f>IF(OR(A84="",B84=""),"",COUNTIFS('20_Proof_Queue'!$B:$B,A84,'20_Proof_Queue'!$C:$C,B84,'20_Proof_Queue'!$H:$H,"&lt;&gt;Closed"))</x:f>
      </x:c>
      <x:c r="F84" s="138" t="str">
        <x:f>IF(OR(A84="",B84=""),"",SUMIFS('12_Production_Log'!$H:$H,'12_Production_Log'!$B:$B,A84,'12_Production_Log'!$C:$C,B84))</x:f>
      </x:c>
      <x:c r="G84" s="136" t="str">
        <x:f>IF(OR(A84="",B84=""),"",SUMIFS('13_Labor_Time'!$J:$J,'13_Labor_Time'!$B:$B,A84,'13_Labor_Time'!$C:$C,B84))</x:f>
      </x:c>
      <x:c r="H84" s="70" t="str">
        <x:f>IF(OR(A84="",B84=""),"",SUMIFS('14_Materials_Log'!$I:$I,'14_Materials_Log'!$B:$B,A84,'14_Materials_Log'!$C:$C,B84))</x:f>
      </x:c>
      <x:c r="I84" s="136" t="str">
        <x:f>IF(OR(A84="",B84=""),"",SUMIFS('15_Equipment_Log'!$I:$I,'15_Equipment_Log'!$B:$B,A84,'15_Equipment_Log'!$C:$C,B84))</x:f>
      </x:c>
      <x:c r="J84" s="70" t="str">
        <x:f>IF(OR(A84="",B84=""),"",SUMIFS('15_Equipment_Log'!$M:$M,'15_Equipment_Log'!$B:$B,A84,'15_Equipment_Log'!$C:$C,B84))</x:f>
      </x:c>
      <x:c r="K84" s="70" t="str">
        <x:f>IF(OR(A84="",B84=""),"",SUMIFS('12_Production_Log'!$M:$M,'12_Production_Log'!$B:$B,A84,'12_Production_Log'!$C:$C,B84)+SUMIFS('14_Materials_Log'!$I:$I,'14_Materials_Log'!$B:$B,A84,'14_Materials_Log'!$C:$C,B84,'14_Materials_Log'!$J:$J,"Yes"))</x:f>
      </x:c>
      <x:c r="L84" s="70" t="str">
        <x:f>IF(OR(A84="",B84=""),"",SUMIFS('13_Labor_Time'!$L:$L,'13_Labor_Time'!$B:$B,A84,'13_Labor_Time'!$C:$C,B84))</x:f>
      </x:c>
      <x:c r="M84" s="70" t="str">
        <x:f>IF(OR(K84="",H84="",J84="",L84=""),"",K84-H84-J84-L84)</x:f>
      </x:c>
      <x:c r="N84" s="140" t="str">
        <x:f>IF(C84=0,"",D84/C84)</x:f>
      </x:c>
    </x:row>
    <x:row r="85" ht="20" customHeight="1">
      <x:c r="A85" s="28"/>
      <x:c r="B85" s="15"/>
      <x:c r="C85" s="15" t="str">
        <x:f>IF(OR(A85="",B85=""),"",COUNTIFS('11_Intake_Daily'!$C:$C,A85,'11_Intake_Daily'!$D:$D,B85))</x:f>
      </x:c>
      <x:c r="D85" s="15" t="str">
        <x:f>IF(OR(A85="",B85=""),"",COUNTIFS('11_Intake_Daily'!$C:$C,A85,'11_Intake_Daily'!$D:$D,B85,'11_Intake_Daily'!$AA:$AA,"Yes"))</x:f>
      </x:c>
      <x:c r="E85" s="15" t="str">
        <x:f>IF(OR(A85="",B85=""),"",COUNTIFS('20_Proof_Queue'!$B:$B,A85,'20_Proof_Queue'!$C:$C,B85,'20_Proof_Queue'!$H:$H,"&lt;&gt;Closed"))</x:f>
      </x:c>
      <x:c r="F85" s="138" t="str">
        <x:f>IF(OR(A85="",B85=""),"",SUMIFS('12_Production_Log'!$H:$H,'12_Production_Log'!$B:$B,A85,'12_Production_Log'!$C:$C,B85))</x:f>
      </x:c>
      <x:c r="G85" s="136" t="str">
        <x:f>IF(OR(A85="",B85=""),"",SUMIFS('13_Labor_Time'!$J:$J,'13_Labor_Time'!$B:$B,A85,'13_Labor_Time'!$C:$C,B85))</x:f>
      </x:c>
      <x:c r="H85" s="70" t="str">
        <x:f>IF(OR(A85="",B85=""),"",SUMIFS('14_Materials_Log'!$I:$I,'14_Materials_Log'!$B:$B,A85,'14_Materials_Log'!$C:$C,B85))</x:f>
      </x:c>
      <x:c r="I85" s="136" t="str">
        <x:f>IF(OR(A85="",B85=""),"",SUMIFS('15_Equipment_Log'!$I:$I,'15_Equipment_Log'!$B:$B,A85,'15_Equipment_Log'!$C:$C,B85))</x:f>
      </x:c>
      <x:c r="J85" s="70" t="str">
        <x:f>IF(OR(A85="",B85=""),"",SUMIFS('15_Equipment_Log'!$M:$M,'15_Equipment_Log'!$B:$B,A85,'15_Equipment_Log'!$C:$C,B85))</x:f>
      </x:c>
      <x:c r="K85" s="70" t="str">
        <x:f>IF(OR(A85="",B85=""),"",SUMIFS('12_Production_Log'!$M:$M,'12_Production_Log'!$B:$B,A85,'12_Production_Log'!$C:$C,B85)+SUMIFS('14_Materials_Log'!$I:$I,'14_Materials_Log'!$B:$B,A85,'14_Materials_Log'!$C:$C,B85,'14_Materials_Log'!$J:$J,"Yes"))</x:f>
      </x:c>
      <x:c r="L85" s="70" t="str">
        <x:f>IF(OR(A85="",B85=""),"",SUMIFS('13_Labor_Time'!$L:$L,'13_Labor_Time'!$B:$B,A85,'13_Labor_Time'!$C:$C,B85))</x:f>
      </x:c>
      <x:c r="M85" s="70" t="str">
        <x:f>IF(OR(K85="",H85="",J85="",L85=""),"",K85-H85-J85-L85)</x:f>
      </x:c>
      <x:c r="N85" s="140" t="str">
        <x:f>IF(C85=0,"",D85/C85)</x:f>
      </x:c>
    </x:row>
    <x:row r="86" ht="20" customHeight="1">
      <x:c r="A86" s="28"/>
      <x:c r="B86" s="15"/>
      <x:c r="C86" s="15" t="str">
        <x:f>IF(OR(A86="",B86=""),"",COUNTIFS('11_Intake_Daily'!$C:$C,A86,'11_Intake_Daily'!$D:$D,B86))</x:f>
      </x:c>
      <x:c r="D86" s="15" t="str">
        <x:f>IF(OR(A86="",B86=""),"",COUNTIFS('11_Intake_Daily'!$C:$C,A86,'11_Intake_Daily'!$D:$D,B86,'11_Intake_Daily'!$AA:$AA,"Yes"))</x:f>
      </x:c>
      <x:c r="E86" s="15" t="str">
        <x:f>IF(OR(A86="",B86=""),"",COUNTIFS('20_Proof_Queue'!$B:$B,A86,'20_Proof_Queue'!$C:$C,B86,'20_Proof_Queue'!$H:$H,"&lt;&gt;Closed"))</x:f>
      </x:c>
      <x:c r="F86" s="138" t="str">
        <x:f>IF(OR(A86="",B86=""),"",SUMIFS('12_Production_Log'!$H:$H,'12_Production_Log'!$B:$B,A86,'12_Production_Log'!$C:$C,B86))</x:f>
      </x:c>
      <x:c r="G86" s="136" t="str">
        <x:f>IF(OR(A86="",B86=""),"",SUMIFS('13_Labor_Time'!$J:$J,'13_Labor_Time'!$B:$B,A86,'13_Labor_Time'!$C:$C,B86))</x:f>
      </x:c>
      <x:c r="H86" s="70" t="str">
        <x:f>IF(OR(A86="",B86=""),"",SUMIFS('14_Materials_Log'!$I:$I,'14_Materials_Log'!$B:$B,A86,'14_Materials_Log'!$C:$C,B86))</x:f>
      </x:c>
      <x:c r="I86" s="136" t="str">
        <x:f>IF(OR(A86="",B86=""),"",SUMIFS('15_Equipment_Log'!$I:$I,'15_Equipment_Log'!$B:$B,A86,'15_Equipment_Log'!$C:$C,B86))</x:f>
      </x:c>
      <x:c r="J86" s="70" t="str">
        <x:f>IF(OR(A86="",B86=""),"",SUMIFS('15_Equipment_Log'!$M:$M,'15_Equipment_Log'!$B:$B,A86,'15_Equipment_Log'!$C:$C,B86))</x:f>
      </x:c>
      <x:c r="K86" s="70" t="str">
        <x:f>IF(OR(A86="",B86=""),"",SUMIFS('12_Production_Log'!$M:$M,'12_Production_Log'!$B:$B,A86,'12_Production_Log'!$C:$C,B86)+SUMIFS('14_Materials_Log'!$I:$I,'14_Materials_Log'!$B:$B,A86,'14_Materials_Log'!$C:$C,B86,'14_Materials_Log'!$J:$J,"Yes"))</x:f>
      </x:c>
      <x:c r="L86" s="70" t="str">
        <x:f>IF(OR(A86="",B86=""),"",SUMIFS('13_Labor_Time'!$L:$L,'13_Labor_Time'!$B:$B,A86,'13_Labor_Time'!$C:$C,B86))</x:f>
      </x:c>
      <x:c r="M86" s="70" t="str">
        <x:f>IF(OR(K86="",H86="",J86="",L86=""),"",K86-H86-J86-L86)</x:f>
      </x:c>
      <x:c r="N86" s="140" t="str">
        <x:f>IF(C86=0,"",D86/C86)</x:f>
      </x:c>
    </x:row>
    <x:row r="87" ht="20" customHeight="1">
      <x:c r="A87" s="28"/>
      <x:c r="B87" s="15"/>
      <x:c r="C87" s="15" t="str">
        <x:f>IF(OR(A87="",B87=""),"",COUNTIFS('11_Intake_Daily'!$C:$C,A87,'11_Intake_Daily'!$D:$D,B87))</x:f>
      </x:c>
      <x:c r="D87" s="15" t="str">
        <x:f>IF(OR(A87="",B87=""),"",COUNTIFS('11_Intake_Daily'!$C:$C,A87,'11_Intake_Daily'!$D:$D,B87,'11_Intake_Daily'!$AA:$AA,"Yes"))</x:f>
      </x:c>
      <x:c r="E87" s="15" t="str">
        <x:f>IF(OR(A87="",B87=""),"",COUNTIFS('20_Proof_Queue'!$B:$B,A87,'20_Proof_Queue'!$C:$C,B87,'20_Proof_Queue'!$H:$H,"&lt;&gt;Closed"))</x:f>
      </x:c>
      <x:c r="F87" s="138" t="str">
        <x:f>IF(OR(A87="",B87=""),"",SUMIFS('12_Production_Log'!$H:$H,'12_Production_Log'!$B:$B,A87,'12_Production_Log'!$C:$C,B87))</x:f>
      </x:c>
      <x:c r="G87" s="136" t="str">
        <x:f>IF(OR(A87="",B87=""),"",SUMIFS('13_Labor_Time'!$J:$J,'13_Labor_Time'!$B:$B,A87,'13_Labor_Time'!$C:$C,B87))</x:f>
      </x:c>
      <x:c r="H87" s="70" t="str">
        <x:f>IF(OR(A87="",B87=""),"",SUMIFS('14_Materials_Log'!$I:$I,'14_Materials_Log'!$B:$B,A87,'14_Materials_Log'!$C:$C,B87))</x:f>
      </x:c>
      <x:c r="I87" s="136" t="str">
        <x:f>IF(OR(A87="",B87=""),"",SUMIFS('15_Equipment_Log'!$I:$I,'15_Equipment_Log'!$B:$B,A87,'15_Equipment_Log'!$C:$C,B87))</x:f>
      </x:c>
      <x:c r="J87" s="70" t="str">
        <x:f>IF(OR(A87="",B87=""),"",SUMIFS('15_Equipment_Log'!$M:$M,'15_Equipment_Log'!$B:$B,A87,'15_Equipment_Log'!$C:$C,B87))</x:f>
      </x:c>
      <x:c r="K87" s="70" t="str">
        <x:f>IF(OR(A87="",B87=""),"",SUMIFS('12_Production_Log'!$M:$M,'12_Production_Log'!$B:$B,A87,'12_Production_Log'!$C:$C,B87)+SUMIFS('14_Materials_Log'!$I:$I,'14_Materials_Log'!$B:$B,A87,'14_Materials_Log'!$C:$C,B87,'14_Materials_Log'!$J:$J,"Yes"))</x:f>
      </x:c>
      <x:c r="L87" s="70" t="str">
        <x:f>IF(OR(A87="",B87=""),"",SUMIFS('13_Labor_Time'!$L:$L,'13_Labor_Time'!$B:$B,A87,'13_Labor_Time'!$C:$C,B87))</x:f>
      </x:c>
      <x:c r="M87" s="70" t="str">
        <x:f>IF(OR(K87="",H87="",J87="",L87=""),"",K87-H87-J87-L87)</x:f>
      </x:c>
      <x:c r="N87" s="140" t="str">
        <x:f>IF(C87=0,"",D87/C87)</x:f>
      </x:c>
    </x:row>
    <x:row r="88" ht="20" customHeight="1">
      <x:c r="A88" s="28"/>
      <x:c r="B88" s="15"/>
      <x:c r="C88" s="15" t="str">
        <x:f>IF(OR(A88="",B88=""),"",COUNTIFS('11_Intake_Daily'!$C:$C,A88,'11_Intake_Daily'!$D:$D,B88))</x:f>
      </x:c>
      <x:c r="D88" s="15" t="str">
        <x:f>IF(OR(A88="",B88=""),"",COUNTIFS('11_Intake_Daily'!$C:$C,A88,'11_Intake_Daily'!$D:$D,B88,'11_Intake_Daily'!$AA:$AA,"Yes"))</x:f>
      </x:c>
      <x:c r="E88" s="15" t="str">
        <x:f>IF(OR(A88="",B88=""),"",COUNTIFS('20_Proof_Queue'!$B:$B,A88,'20_Proof_Queue'!$C:$C,B88,'20_Proof_Queue'!$H:$H,"&lt;&gt;Closed"))</x:f>
      </x:c>
      <x:c r="F88" s="138" t="str">
        <x:f>IF(OR(A88="",B88=""),"",SUMIFS('12_Production_Log'!$H:$H,'12_Production_Log'!$B:$B,A88,'12_Production_Log'!$C:$C,B88))</x:f>
      </x:c>
      <x:c r="G88" s="136" t="str">
        <x:f>IF(OR(A88="",B88=""),"",SUMIFS('13_Labor_Time'!$J:$J,'13_Labor_Time'!$B:$B,A88,'13_Labor_Time'!$C:$C,B88))</x:f>
      </x:c>
      <x:c r="H88" s="70" t="str">
        <x:f>IF(OR(A88="",B88=""),"",SUMIFS('14_Materials_Log'!$I:$I,'14_Materials_Log'!$B:$B,A88,'14_Materials_Log'!$C:$C,B88))</x:f>
      </x:c>
      <x:c r="I88" s="136" t="str">
        <x:f>IF(OR(A88="",B88=""),"",SUMIFS('15_Equipment_Log'!$I:$I,'15_Equipment_Log'!$B:$B,A88,'15_Equipment_Log'!$C:$C,B88))</x:f>
      </x:c>
      <x:c r="J88" s="70" t="str">
        <x:f>IF(OR(A88="",B88=""),"",SUMIFS('15_Equipment_Log'!$M:$M,'15_Equipment_Log'!$B:$B,A88,'15_Equipment_Log'!$C:$C,B88))</x:f>
      </x:c>
      <x:c r="K88" s="70" t="str">
        <x:f>IF(OR(A88="",B88=""),"",SUMIFS('12_Production_Log'!$M:$M,'12_Production_Log'!$B:$B,A88,'12_Production_Log'!$C:$C,B88)+SUMIFS('14_Materials_Log'!$I:$I,'14_Materials_Log'!$B:$B,A88,'14_Materials_Log'!$C:$C,B88,'14_Materials_Log'!$J:$J,"Yes"))</x:f>
      </x:c>
      <x:c r="L88" s="70" t="str">
        <x:f>IF(OR(A88="",B88=""),"",SUMIFS('13_Labor_Time'!$L:$L,'13_Labor_Time'!$B:$B,A88,'13_Labor_Time'!$C:$C,B88))</x:f>
      </x:c>
      <x:c r="M88" s="70" t="str">
        <x:f>IF(OR(K88="",H88="",J88="",L88=""),"",K88-H88-J88-L88)</x:f>
      </x:c>
      <x:c r="N88" s="140" t="str">
        <x:f>IF(C88=0,"",D88/C88)</x:f>
      </x:c>
    </x:row>
    <x:row r="89" ht="20" customHeight="1">
      <x:c r="A89" s="28"/>
      <x:c r="B89" s="15"/>
      <x:c r="C89" s="15" t="str">
        <x:f>IF(OR(A89="",B89=""),"",COUNTIFS('11_Intake_Daily'!$C:$C,A89,'11_Intake_Daily'!$D:$D,B89))</x:f>
      </x:c>
      <x:c r="D89" s="15" t="str">
        <x:f>IF(OR(A89="",B89=""),"",COUNTIFS('11_Intake_Daily'!$C:$C,A89,'11_Intake_Daily'!$D:$D,B89,'11_Intake_Daily'!$AA:$AA,"Yes"))</x:f>
      </x:c>
      <x:c r="E89" s="15" t="str">
        <x:f>IF(OR(A89="",B89=""),"",COUNTIFS('20_Proof_Queue'!$B:$B,A89,'20_Proof_Queue'!$C:$C,B89,'20_Proof_Queue'!$H:$H,"&lt;&gt;Closed"))</x:f>
      </x:c>
      <x:c r="F89" s="138" t="str">
        <x:f>IF(OR(A89="",B89=""),"",SUMIFS('12_Production_Log'!$H:$H,'12_Production_Log'!$B:$B,A89,'12_Production_Log'!$C:$C,B89))</x:f>
      </x:c>
      <x:c r="G89" s="136" t="str">
        <x:f>IF(OR(A89="",B89=""),"",SUMIFS('13_Labor_Time'!$J:$J,'13_Labor_Time'!$B:$B,A89,'13_Labor_Time'!$C:$C,B89))</x:f>
      </x:c>
      <x:c r="H89" s="70" t="str">
        <x:f>IF(OR(A89="",B89=""),"",SUMIFS('14_Materials_Log'!$I:$I,'14_Materials_Log'!$B:$B,A89,'14_Materials_Log'!$C:$C,B89))</x:f>
      </x:c>
      <x:c r="I89" s="136" t="str">
        <x:f>IF(OR(A89="",B89=""),"",SUMIFS('15_Equipment_Log'!$I:$I,'15_Equipment_Log'!$B:$B,A89,'15_Equipment_Log'!$C:$C,B89))</x:f>
      </x:c>
      <x:c r="J89" s="70" t="str">
        <x:f>IF(OR(A89="",B89=""),"",SUMIFS('15_Equipment_Log'!$M:$M,'15_Equipment_Log'!$B:$B,A89,'15_Equipment_Log'!$C:$C,B89))</x:f>
      </x:c>
      <x:c r="K89" s="70" t="str">
        <x:f>IF(OR(A89="",B89=""),"",SUMIFS('12_Production_Log'!$M:$M,'12_Production_Log'!$B:$B,A89,'12_Production_Log'!$C:$C,B89)+SUMIFS('14_Materials_Log'!$I:$I,'14_Materials_Log'!$B:$B,A89,'14_Materials_Log'!$C:$C,B89,'14_Materials_Log'!$J:$J,"Yes"))</x:f>
      </x:c>
      <x:c r="L89" s="70" t="str">
        <x:f>IF(OR(A89="",B89=""),"",SUMIFS('13_Labor_Time'!$L:$L,'13_Labor_Time'!$B:$B,A89,'13_Labor_Time'!$C:$C,B89))</x:f>
      </x:c>
      <x:c r="M89" s="70" t="str">
        <x:f>IF(OR(K89="",H89="",J89="",L89=""),"",K89-H89-J89-L89)</x:f>
      </x:c>
      <x:c r="N89" s="140" t="str">
        <x:f>IF(C89=0,"",D89/C89)</x:f>
      </x:c>
    </x:row>
    <x:row r="90" ht="20" customHeight="1">
      <x:c r="A90" s="28"/>
      <x:c r="B90" s="15"/>
      <x:c r="C90" s="15" t="str">
        <x:f>IF(OR(A90="",B90=""),"",COUNTIFS('11_Intake_Daily'!$C:$C,A90,'11_Intake_Daily'!$D:$D,B90))</x:f>
      </x:c>
      <x:c r="D90" s="15" t="str">
        <x:f>IF(OR(A90="",B90=""),"",COUNTIFS('11_Intake_Daily'!$C:$C,A90,'11_Intake_Daily'!$D:$D,B90,'11_Intake_Daily'!$AA:$AA,"Yes"))</x:f>
      </x:c>
      <x:c r="E90" s="15" t="str">
        <x:f>IF(OR(A90="",B90=""),"",COUNTIFS('20_Proof_Queue'!$B:$B,A90,'20_Proof_Queue'!$C:$C,B90,'20_Proof_Queue'!$H:$H,"&lt;&gt;Closed"))</x:f>
      </x:c>
      <x:c r="F90" s="138" t="str">
        <x:f>IF(OR(A90="",B90=""),"",SUMIFS('12_Production_Log'!$H:$H,'12_Production_Log'!$B:$B,A90,'12_Production_Log'!$C:$C,B90))</x:f>
      </x:c>
      <x:c r="G90" s="136" t="str">
        <x:f>IF(OR(A90="",B90=""),"",SUMIFS('13_Labor_Time'!$J:$J,'13_Labor_Time'!$B:$B,A90,'13_Labor_Time'!$C:$C,B90))</x:f>
      </x:c>
      <x:c r="H90" s="70" t="str">
        <x:f>IF(OR(A90="",B90=""),"",SUMIFS('14_Materials_Log'!$I:$I,'14_Materials_Log'!$B:$B,A90,'14_Materials_Log'!$C:$C,B90))</x:f>
      </x:c>
      <x:c r="I90" s="136" t="str">
        <x:f>IF(OR(A90="",B90=""),"",SUMIFS('15_Equipment_Log'!$I:$I,'15_Equipment_Log'!$B:$B,A90,'15_Equipment_Log'!$C:$C,B90))</x:f>
      </x:c>
      <x:c r="J90" s="70" t="str">
        <x:f>IF(OR(A90="",B90=""),"",SUMIFS('15_Equipment_Log'!$M:$M,'15_Equipment_Log'!$B:$B,A90,'15_Equipment_Log'!$C:$C,B90))</x:f>
      </x:c>
      <x:c r="K90" s="70" t="str">
        <x:f>IF(OR(A90="",B90=""),"",SUMIFS('12_Production_Log'!$M:$M,'12_Production_Log'!$B:$B,A90,'12_Production_Log'!$C:$C,B90)+SUMIFS('14_Materials_Log'!$I:$I,'14_Materials_Log'!$B:$B,A90,'14_Materials_Log'!$C:$C,B90,'14_Materials_Log'!$J:$J,"Yes"))</x:f>
      </x:c>
      <x:c r="L90" s="70" t="str">
        <x:f>IF(OR(A90="",B90=""),"",SUMIFS('13_Labor_Time'!$L:$L,'13_Labor_Time'!$B:$B,A90,'13_Labor_Time'!$C:$C,B90))</x:f>
      </x:c>
      <x:c r="M90" s="70" t="str">
        <x:f>IF(OR(K90="",H90="",J90="",L90=""),"",K90-H90-J90-L90)</x:f>
      </x:c>
      <x:c r="N90" s="140" t="str">
        <x:f>IF(C90=0,"",D90/C90)</x:f>
      </x:c>
    </x:row>
    <x:row r="91" ht="20" customHeight="1">
      <x:c r="A91" s="28"/>
      <x:c r="B91" s="15"/>
      <x:c r="C91" s="15" t="str">
        <x:f>IF(OR(A91="",B91=""),"",COUNTIFS('11_Intake_Daily'!$C:$C,A91,'11_Intake_Daily'!$D:$D,B91))</x:f>
      </x:c>
      <x:c r="D91" s="15" t="str">
        <x:f>IF(OR(A91="",B91=""),"",COUNTIFS('11_Intake_Daily'!$C:$C,A91,'11_Intake_Daily'!$D:$D,B91,'11_Intake_Daily'!$AA:$AA,"Yes"))</x:f>
      </x:c>
      <x:c r="E91" s="15" t="str">
        <x:f>IF(OR(A91="",B91=""),"",COUNTIFS('20_Proof_Queue'!$B:$B,A91,'20_Proof_Queue'!$C:$C,B91,'20_Proof_Queue'!$H:$H,"&lt;&gt;Closed"))</x:f>
      </x:c>
      <x:c r="F91" s="138" t="str">
        <x:f>IF(OR(A91="",B91=""),"",SUMIFS('12_Production_Log'!$H:$H,'12_Production_Log'!$B:$B,A91,'12_Production_Log'!$C:$C,B91))</x:f>
      </x:c>
      <x:c r="G91" s="136" t="str">
        <x:f>IF(OR(A91="",B91=""),"",SUMIFS('13_Labor_Time'!$J:$J,'13_Labor_Time'!$B:$B,A91,'13_Labor_Time'!$C:$C,B91))</x:f>
      </x:c>
      <x:c r="H91" s="70" t="str">
        <x:f>IF(OR(A91="",B91=""),"",SUMIFS('14_Materials_Log'!$I:$I,'14_Materials_Log'!$B:$B,A91,'14_Materials_Log'!$C:$C,B91))</x:f>
      </x:c>
      <x:c r="I91" s="136" t="str">
        <x:f>IF(OR(A91="",B91=""),"",SUMIFS('15_Equipment_Log'!$I:$I,'15_Equipment_Log'!$B:$B,A91,'15_Equipment_Log'!$C:$C,B91))</x:f>
      </x:c>
      <x:c r="J91" s="70" t="str">
        <x:f>IF(OR(A91="",B91=""),"",SUMIFS('15_Equipment_Log'!$M:$M,'15_Equipment_Log'!$B:$B,A91,'15_Equipment_Log'!$C:$C,B91))</x:f>
      </x:c>
      <x:c r="K91" s="70" t="str">
        <x:f>IF(OR(A91="",B91=""),"",SUMIFS('12_Production_Log'!$M:$M,'12_Production_Log'!$B:$B,A91,'12_Production_Log'!$C:$C,B91)+SUMIFS('14_Materials_Log'!$I:$I,'14_Materials_Log'!$B:$B,A91,'14_Materials_Log'!$C:$C,B91,'14_Materials_Log'!$J:$J,"Yes"))</x:f>
      </x:c>
      <x:c r="L91" s="70" t="str">
        <x:f>IF(OR(A91="",B91=""),"",SUMIFS('13_Labor_Time'!$L:$L,'13_Labor_Time'!$B:$B,A91,'13_Labor_Time'!$C:$C,B91))</x:f>
      </x:c>
      <x:c r="M91" s="70" t="str">
        <x:f>IF(OR(K91="",H91="",J91="",L91=""),"",K91-H91-J91-L91)</x:f>
      </x:c>
      <x:c r="N91" s="140" t="str">
        <x:f>IF(C91=0,"",D91/C91)</x:f>
      </x:c>
    </x:row>
    <x:row r="92" ht="20" customHeight="1">
      <x:c r="A92" s="28"/>
      <x:c r="B92" s="15"/>
      <x:c r="C92" s="15" t="str">
        <x:f>IF(OR(A92="",B92=""),"",COUNTIFS('11_Intake_Daily'!$C:$C,A92,'11_Intake_Daily'!$D:$D,B92))</x:f>
      </x:c>
      <x:c r="D92" s="15" t="str">
        <x:f>IF(OR(A92="",B92=""),"",COUNTIFS('11_Intake_Daily'!$C:$C,A92,'11_Intake_Daily'!$D:$D,B92,'11_Intake_Daily'!$AA:$AA,"Yes"))</x:f>
      </x:c>
      <x:c r="E92" s="15" t="str">
        <x:f>IF(OR(A92="",B92=""),"",COUNTIFS('20_Proof_Queue'!$B:$B,A92,'20_Proof_Queue'!$C:$C,B92,'20_Proof_Queue'!$H:$H,"&lt;&gt;Closed"))</x:f>
      </x:c>
      <x:c r="F92" s="138" t="str">
        <x:f>IF(OR(A92="",B92=""),"",SUMIFS('12_Production_Log'!$H:$H,'12_Production_Log'!$B:$B,A92,'12_Production_Log'!$C:$C,B92))</x:f>
      </x:c>
      <x:c r="G92" s="136" t="str">
        <x:f>IF(OR(A92="",B92=""),"",SUMIFS('13_Labor_Time'!$J:$J,'13_Labor_Time'!$B:$B,A92,'13_Labor_Time'!$C:$C,B92))</x:f>
      </x:c>
      <x:c r="H92" s="70" t="str">
        <x:f>IF(OR(A92="",B92=""),"",SUMIFS('14_Materials_Log'!$I:$I,'14_Materials_Log'!$B:$B,A92,'14_Materials_Log'!$C:$C,B92))</x:f>
      </x:c>
      <x:c r="I92" s="136" t="str">
        <x:f>IF(OR(A92="",B92=""),"",SUMIFS('15_Equipment_Log'!$I:$I,'15_Equipment_Log'!$B:$B,A92,'15_Equipment_Log'!$C:$C,B92))</x:f>
      </x:c>
      <x:c r="J92" s="70" t="str">
        <x:f>IF(OR(A92="",B92=""),"",SUMIFS('15_Equipment_Log'!$M:$M,'15_Equipment_Log'!$B:$B,A92,'15_Equipment_Log'!$C:$C,B92))</x:f>
      </x:c>
      <x:c r="K92" s="70" t="str">
        <x:f>IF(OR(A92="",B92=""),"",SUMIFS('12_Production_Log'!$M:$M,'12_Production_Log'!$B:$B,A92,'12_Production_Log'!$C:$C,B92)+SUMIFS('14_Materials_Log'!$I:$I,'14_Materials_Log'!$B:$B,A92,'14_Materials_Log'!$C:$C,B92,'14_Materials_Log'!$J:$J,"Yes"))</x:f>
      </x:c>
      <x:c r="L92" s="70" t="str">
        <x:f>IF(OR(A92="",B92=""),"",SUMIFS('13_Labor_Time'!$L:$L,'13_Labor_Time'!$B:$B,A92,'13_Labor_Time'!$C:$C,B92))</x:f>
      </x:c>
      <x:c r="M92" s="70" t="str">
        <x:f>IF(OR(K92="",H92="",J92="",L92=""),"",K92-H92-J92-L92)</x:f>
      </x:c>
      <x:c r="N92" s="140" t="str">
        <x:f>IF(C92=0,"",D92/C92)</x:f>
      </x:c>
    </x:row>
    <x:row r="93" ht="20" customHeight="1">
      <x:c r="A93" s="28"/>
      <x:c r="B93" s="15"/>
      <x:c r="C93" s="15" t="str">
        <x:f>IF(OR(A93="",B93=""),"",COUNTIFS('11_Intake_Daily'!$C:$C,A93,'11_Intake_Daily'!$D:$D,B93))</x:f>
      </x:c>
      <x:c r="D93" s="15" t="str">
        <x:f>IF(OR(A93="",B93=""),"",COUNTIFS('11_Intake_Daily'!$C:$C,A93,'11_Intake_Daily'!$D:$D,B93,'11_Intake_Daily'!$AA:$AA,"Yes"))</x:f>
      </x:c>
      <x:c r="E93" s="15" t="str">
        <x:f>IF(OR(A93="",B93=""),"",COUNTIFS('20_Proof_Queue'!$B:$B,A93,'20_Proof_Queue'!$C:$C,B93,'20_Proof_Queue'!$H:$H,"&lt;&gt;Closed"))</x:f>
      </x:c>
      <x:c r="F93" s="138" t="str">
        <x:f>IF(OR(A93="",B93=""),"",SUMIFS('12_Production_Log'!$H:$H,'12_Production_Log'!$B:$B,A93,'12_Production_Log'!$C:$C,B93))</x:f>
      </x:c>
      <x:c r="G93" s="136" t="str">
        <x:f>IF(OR(A93="",B93=""),"",SUMIFS('13_Labor_Time'!$J:$J,'13_Labor_Time'!$B:$B,A93,'13_Labor_Time'!$C:$C,B93))</x:f>
      </x:c>
      <x:c r="H93" s="70" t="str">
        <x:f>IF(OR(A93="",B93=""),"",SUMIFS('14_Materials_Log'!$I:$I,'14_Materials_Log'!$B:$B,A93,'14_Materials_Log'!$C:$C,B93))</x:f>
      </x:c>
      <x:c r="I93" s="136" t="str">
        <x:f>IF(OR(A93="",B93=""),"",SUMIFS('15_Equipment_Log'!$I:$I,'15_Equipment_Log'!$B:$B,A93,'15_Equipment_Log'!$C:$C,B93))</x:f>
      </x:c>
      <x:c r="J93" s="70" t="str">
        <x:f>IF(OR(A93="",B93=""),"",SUMIFS('15_Equipment_Log'!$M:$M,'15_Equipment_Log'!$B:$B,A93,'15_Equipment_Log'!$C:$C,B93))</x:f>
      </x:c>
      <x:c r="K93" s="70" t="str">
        <x:f>IF(OR(A93="",B93=""),"",SUMIFS('12_Production_Log'!$M:$M,'12_Production_Log'!$B:$B,A93,'12_Production_Log'!$C:$C,B93)+SUMIFS('14_Materials_Log'!$I:$I,'14_Materials_Log'!$B:$B,A93,'14_Materials_Log'!$C:$C,B93,'14_Materials_Log'!$J:$J,"Yes"))</x:f>
      </x:c>
      <x:c r="L93" s="70" t="str">
        <x:f>IF(OR(A93="",B93=""),"",SUMIFS('13_Labor_Time'!$L:$L,'13_Labor_Time'!$B:$B,A93,'13_Labor_Time'!$C:$C,B93))</x:f>
      </x:c>
      <x:c r="M93" s="70" t="str">
        <x:f>IF(OR(K93="",H93="",J93="",L93=""),"",K93-H93-J93-L93)</x:f>
      </x:c>
      <x:c r="N93" s="140" t="str">
        <x:f>IF(C93=0,"",D93/C93)</x:f>
      </x:c>
    </x:row>
    <x:row r="94" ht="20" customHeight="1">
      <x:c r="A94" s="28"/>
      <x:c r="B94" s="15"/>
      <x:c r="C94" s="15" t="str">
        <x:f>IF(OR(A94="",B94=""),"",COUNTIFS('11_Intake_Daily'!$C:$C,A94,'11_Intake_Daily'!$D:$D,B94))</x:f>
      </x:c>
      <x:c r="D94" s="15" t="str">
        <x:f>IF(OR(A94="",B94=""),"",COUNTIFS('11_Intake_Daily'!$C:$C,A94,'11_Intake_Daily'!$D:$D,B94,'11_Intake_Daily'!$AA:$AA,"Yes"))</x:f>
      </x:c>
      <x:c r="E94" s="15" t="str">
        <x:f>IF(OR(A94="",B94=""),"",COUNTIFS('20_Proof_Queue'!$B:$B,A94,'20_Proof_Queue'!$C:$C,B94,'20_Proof_Queue'!$H:$H,"&lt;&gt;Closed"))</x:f>
      </x:c>
      <x:c r="F94" s="138" t="str">
        <x:f>IF(OR(A94="",B94=""),"",SUMIFS('12_Production_Log'!$H:$H,'12_Production_Log'!$B:$B,A94,'12_Production_Log'!$C:$C,B94))</x:f>
      </x:c>
      <x:c r="G94" s="136" t="str">
        <x:f>IF(OR(A94="",B94=""),"",SUMIFS('13_Labor_Time'!$J:$J,'13_Labor_Time'!$B:$B,A94,'13_Labor_Time'!$C:$C,B94))</x:f>
      </x:c>
      <x:c r="H94" s="70" t="str">
        <x:f>IF(OR(A94="",B94=""),"",SUMIFS('14_Materials_Log'!$I:$I,'14_Materials_Log'!$B:$B,A94,'14_Materials_Log'!$C:$C,B94))</x:f>
      </x:c>
      <x:c r="I94" s="136" t="str">
        <x:f>IF(OR(A94="",B94=""),"",SUMIFS('15_Equipment_Log'!$I:$I,'15_Equipment_Log'!$B:$B,A94,'15_Equipment_Log'!$C:$C,B94))</x:f>
      </x:c>
      <x:c r="J94" s="70" t="str">
        <x:f>IF(OR(A94="",B94=""),"",SUMIFS('15_Equipment_Log'!$M:$M,'15_Equipment_Log'!$B:$B,A94,'15_Equipment_Log'!$C:$C,B94))</x:f>
      </x:c>
      <x:c r="K94" s="70" t="str">
        <x:f>IF(OR(A94="",B94=""),"",SUMIFS('12_Production_Log'!$M:$M,'12_Production_Log'!$B:$B,A94,'12_Production_Log'!$C:$C,B94)+SUMIFS('14_Materials_Log'!$I:$I,'14_Materials_Log'!$B:$B,A94,'14_Materials_Log'!$C:$C,B94,'14_Materials_Log'!$J:$J,"Yes"))</x:f>
      </x:c>
      <x:c r="L94" s="70" t="str">
        <x:f>IF(OR(A94="",B94=""),"",SUMIFS('13_Labor_Time'!$L:$L,'13_Labor_Time'!$B:$B,A94,'13_Labor_Time'!$C:$C,B94))</x:f>
      </x:c>
      <x:c r="M94" s="70" t="str">
        <x:f>IF(OR(K94="",H94="",J94="",L94=""),"",K94-H94-J94-L94)</x:f>
      </x:c>
      <x:c r="N94" s="140" t="str">
        <x:f>IF(C94=0,"",D94/C94)</x:f>
      </x:c>
    </x:row>
    <x:row r="95" ht="20" customHeight="1">
      <x:c r="A95" s="28"/>
      <x:c r="B95" s="15"/>
      <x:c r="C95" s="15" t="str">
        <x:f>IF(OR(A95="",B95=""),"",COUNTIFS('11_Intake_Daily'!$C:$C,A95,'11_Intake_Daily'!$D:$D,B95))</x:f>
      </x:c>
      <x:c r="D95" s="15" t="str">
        <x:f>IF(OR(A95="",B95=""),"",COUNTIFS('11_Intake_Daily'!$C:$C,A95,'11_Intake_Daily'!$D:$D,B95,'11_Intake_Daily'!$AA:$AA,"Yes"))</x:f>
      </x:c>
      <x:c r="E95" s="15" t="str">
        <x:f>IF(OR(A95="",B95=""),"",COUNTIFS('20_Proof_Queue'!$B:$B,A95,'20_Proof_Queue'!$C:$C,B95,'20_Proof_Queue'!$H:$H,"&lt;&gt;Closed"))</x:f>
      </x:c>
      <x:c r="F95" s="138" t="str">
        <x:f>IF(OR(A95="",B95=""),"",SUMIFS('12_Production_Log'!$H:$H,'12_Production_Log'!$B:$B,A95,'12_Production_Log'!$C:$C,B95))</x:f>
      </x:c>
      <x:c r="G95" s="136" t="str">
        <x:f>IF(OR(A95="",B95=""),"",SUMIFS('13_Labor_Time'!$J:$J,'13_Labor_Time'!$B:$B,A95,'13_Labor_Time'!$C:$C,B95))</x:f>
      </x:c>
      <x:c r="H95" s="70" t="str">
        <x:f>IF(OR(A95="",B95=""),"",SUMIFS('14_Materials_Log'!$I:$I,'14_Materials_Log'!$B:$B,A95,'14_Materials_Log'!$C:$C,B95))</x:f>
      </x:c>
      <x:c r="I95" s="136" t="str">
        <x:f>IF(OR(A95="",B95=""),"",SUMIFS('15_Equipment_Log'!$I:$I,'15_Equipment_Log'!$B:$B,A95,'15_Equipment_Log'!$C:$C,B95))</x:f>
      </x:c>
      <x:c r="J95" s="70" t="str">
        <x:f>IF(OR(A95="",B95=""),"",SUMIFS('15_Equipment_Log'!$M:$M,'15_Equipment_Log'!$B:$B,A95,'15_Equipment_Log'!$C:$C,B95))</x:f>
      </x:c>
      <x:c r="K95" s="70" t="str">
        <x:f>IF(OR(A95="",B95=""),"",SUMIFS('12_Production_Log'!$M:$M,'12_Production_Log'!$B:$B,A95,'12_Production_Log'!$C:$C,B95)+SUMIFS('14_Materials_Log'!$I:$I,'14_Materials_Log'!$B:$B,A95,'14_Materials_Log'!$C:$C,B95,'14_Materials_Log'!$J:$J,"Yes"))</x:f>
      </x:c>
      <x:c r="L95" s="70" t="str">
        <x:f>IF(OR(A95="",B95=""),"",SUMIFS('13_Labor_Time'!$L:$L,'13_Labor_Time'!$B:$B,A95,'13_Labor_Time'!$C:$C,B95))</x:f>
      </x:c>
      <x:c r="M95" s="70" t="str">
        <x:f>IF(OR(K95="",H95="",J95="",L95=""),"",K95-H95-J95-L95)</x:f>
      </x:c>
      <x:c r="N95" s="140" t="str">
        <x:f>IF(C95=0,"",D95/C95)</x:f>
      </x:c>
    </x:row>
    <x:row r="96" ht="20" customHeight="1">
      <x:c r="A96" s="28"/>
      <x:c r="B96" s="15"/>
      <x:c r="C96" s="15" t="str">
        <x:f>IF(OR(A96="",B96=""),"",COUNTIFS('11_Intake_Daily'!$C:$C,A96,'11_Intake_Daily'!$D:$D,B96))</x:f>
      </x:c>
      <x:c r="D96" s="15" t="str">
        <x:f>IF(OR(A96="",B96=""),"",COUNTIFS('11_Intake_Daily'!$C:$C,A96,'11_Intake_Daily'!$D:$D,B96,'11_Intake_Daily'!$AA:$AA,"Yes"))</x:f>
      </x:c>
      <x:c r="E96" s="15" t="str">
        <x:f>IF(OR(A96="",B96=""),"",COUNTIFS('20_Proof_Queue'!$B:$B,A96,'20_Proof_Queue'!$C:$C,B96,'20_Proof_Queue'!$H:$H,"&lt;&gt;Closed"))</x:f>
      </x:c>
      <x:c r="F96" s="138" t="str">
        <x:f>IF(OR(A96="",B96=""),"",SUMIFS('12_Production_Log'!$H:$H,'12_Production_Log'!$B:$B,A96,'12_Production_Log'!$C:$C,B96))</x:f>
      </x:c>
      <x:c r="G96" s="136" t="str">
        <x:f>IF(OR(A96="",B96=""),"",SUMIFS('13_Labor_Time'!$J:$J,'13_Labor_Time'!$B:$B,A96,'13_Labor_Time'!$C:$C,B96))</x:f>
      </x:c>
      <x:c r="H96" s="70" t="str">
        <x:f>IF(OR(A96="",B96=""),"",SUMIFS('14_Materials_Log'!$I:$I,'14_Materials_Log'!$B:$B,A96,'14_Materials_Log'!$C:$C,B96))</x:f>
      </x:c>
      <x:c r="I96" s="136" t="str">
        <x:f>IF(OR(A96="",B96=""),"",SUMIFS('15_Equipment_Log'!$I:$I,'15_Equipment_Log'!$B:$B,A96,'15_Equipment_Log'!$C:$C,B96))</x:f>
      </x:c>
      <x:c r="J96" s="70" t="str">
        <x:f>IF(OR(A96="",B96=""),"",SUMIFS('15_Equipment_Log'!$M:$M,'15_Equipment_Log'!$B:$B,A96,'15_Equipment_Log'!$C:$C,B96))</x:f>
      </x:c>
      <x:c r="K96" s="70" t="str">
        <x:f>IF(OR(A96="",B96=""),"",SUMIFS('12_Production_Log'!$M:$M,'12_Production_Log'!$B:$B,A96,'12_Production_Log'!$C:$C,B96)+SUMIFS('14_Materials_Log'!$I:$I,'14_Materials_Log'!$B:$B,A96,'14_Materials_Log'!$C:$C,B96,'14_Materials_Log'!$J:$J,"Yes"))</x:f>
      </x:c>
      <x:c r="L96" s="70" t="str">
        <x:f>IF(OR(A96="",B96=""),"",SUMIFS('13_Labor_Time'!$L:$L,'13_Labor_Time'!$B:$B,A96,'13_Labor_Time'!$C:$C,B96))</x:f>
      </x:c>
      <x:c r="M96" s="70" t="str">
        <x:f>IF(OR(K96="",H96="",J96="",L96=""),"",K96-H96-J96-L96)</x:f>
      </x:c>
      <x:c r="N96" s="140" t="str">
        <x:f>IF(C96=0,"",D96/C96)</x:f>
      </x:c>
    </x:row>
    <x:row r="97" ht="20" customHeight="1">
      <x:c r="A97" s="28"/>
      <x:c r="B97" s="15"/>
      <x:c r="C97" s="15" t="str">
        <x:f>IF(OR(A97="",B97=""),"",COUNTIFS('11_Intake_Daily'!$C:$C,A97,'11_Intake_Daily'!$D:$D,B97))</x:f>
      </x:c>
      <x:c r="D97" s="15" t="str">
        <x:f>IF(OR(A97="",B97=""),"",COUNTIFS('11_Intake_Daily'!$C:$C,A97,'11_Intake_Daily'!$D:$D,B97,'11_Intake_Daily'!$AA:$AA,"Yes"))</x:f>
      </x:c>
      <x:c r="E97" s="15" t="str">
        <x:f>IF(OR(A97="",B97=""),"",COUNTIFS('20_Proof_Queue'!$B:$B,A97,'20_Proof_Queue'!$C:$C,B97,'20_Proof_Queue'!$H:$H,"&lt;&gt;Closed"))</x:f>
      </x:c>
      <x:c r="F97" s="138" t="str">
        <x:f>IF(OR(A97="",B97=""),"",SUMIFS('12_Production_Log'!$H:$H,'12_Production_Log'!$B:$B,A97,'12_Production_Log'!$C:$C,B97))</x:f>
      </x:c>
      <x:c r="G97" s="136" t="str">
        <x:f>IF(OR(A97="",B97=""),"",SUMIFS('13_Labor_Time'!$J:$J,'13_Labor_Time'!$B:$B,A97,'13_Labor_Time'!$C:$C,B97))</x:f>
      </x:c>
      <x:c r="H97" s="70" t="str">
        <x:f>IF(OR(A97="",B97=""),"",SUMIFS('14_Materials_Log'!$I:$I,'14_Materials_Log'!$B:$B,A97,'14_Materials_Log'!$C:$C,B97))</x:f>
      </x:c>
      <x:c r="I97" s="136" t="str">
        <x:f>IF(OR(A97="",B97=""),"",SUMIFS('15_Equipment_Log'!$I:$I,'15_Equipment_Log'!$B:$B,A97,'15_Equipment_Log'!$C:$C,B97))</x:f>
      </x:c>
      <x:c r="J97" s="70" t="str">
        <x:f>IF(OR(A97="",B97=""),"",SUMIFS('15_Equipment_Log'!$M:$M,'15_Equipment_Log'!$B:$B,A97,'15_Equipment_Log'!$C:$C,B97))</x:f>
      </x:c>
      <x:c r="K97" s="70" t="str">
        <x:f>IF(OR(A97="",B97=""),"",SUMIFS('12_Production_Log'!$M:$M,'12_Production_Log'!$B:$B,A97,'12_Production_Log'!$C:$C,B97)+SUMIFS('14_Materials_Log'!$I:$I,'14_Materials_Log'!$B:$B,A97,'14_Materials_Log'!$C:$C,B97,'14_Materials_Log'!$J:$J,"Yes"))</x:f>
      </x:c>
      <x:c r="L97" s="70" t="str">
        <x:f>IF(OR(A97="",B97=""),"",SUMIFS('13_Labor_Time'!$L:$L,'13_Labor_Time'!$B:$B,A97,'13_Labor_Time'!$C:$C,B97))</x:f>
      </x:c>
      <x:c r="M97" s="70" t="str">
        <x:f>IF(OR(K97="",H97="",J97="",L97=""),"",K97-H97-J97-L97)</x:f>
      </x:c>
      <x:c r="N97" s="140" t="str">
        <x:f>IF(C97=0,"",D97/C97)</x:f>
      </x:c>
    </x:row>
    <x:row r="98" ht="20" customHeight="1">
      <x:c r="A98" s="28"/>
      <x:c r="B98" s="15"/>
      <x:c r="C98" s="15" t="str">
        <x:f>IF(OR(A98="",B98=""),"",COUNTIFS('11_Intake_Daily'!$C:$C,A98,'11_Intake_Daily'!$D:$D,B98))</x:f>
      </x:c>
      <x:c r="D98" s="15" t="str">
        <x:f>IF(OR(A98="",B98=""),"",COUNTIFS('11_Intake_Daily'!$C:$C,A98,'11_Intake_Daily'!$D:$D,B98,'11_Intake_Daily'!$AA:$AA,"Yes"))</x:f>
      </x:c>
      <x:c r="E98" s="15" t="str">
        <x:f>IF(OR(A98="",B98=""),"",COUNTIFS('20_Proof_Queue'!$B:$B,A98,'20_Proof_Queue'!$C:$C,B98,'20_Proof_Queue'!$H:$H,"&lt;&gt;Closed"))</x:f>
      </x:c>
      <x:c r="F98" s="138" t="str">
        <x:f>IF(OR(A98="",B98=""),"",SUMIFS('12_Production_Log'!$H:$H,'12_Production_Log'!$B:$B,A98,'12_Production_Log'!$C:$C,B98))</x:f>
      </x:c>
      <x:c r="G98" s="136" t="str">
        <x:f>IF(OR(A98="",B98=""),"",SUMIFS('13_Labor_Time'!$J:$J,'13_Labor_Time'!$B:$B,A98,'13_Labor_Time'!$C:$C,B98))</x:f>
      </x:c>
      <x:c r="H98" s="70" t="str">
        <x:f>IF(OR(A98="",B98=""),"",SUMIFS('14_Materials_Log'!$I:$I,'14_Materials_Log'!$B:$B,A98,'14_Materials_Log'!$C:$C,B98))</x:f>
      </x:c>
      <x:c r="I98" s="136" t="str">
        <x:f>IF(OR(A98="",B98=""),"",SUMIFS('15_Equipment_Log'!$I:$I,'15_Equipment_Log'!$B:$B,A98,'15_Equipment_Log'!$C:$C,B98))</x:f>
      </x:c>
      <x:c r="J98" s="70" t="str">
        <x:f>IF(OR(A98="",B98=""),"",SUMIFS('15_Equipment_Log'!$M:$M,'15_Equipment_Log'!$B:$B,A98,'15_Equipment_Log'!$C:$C,B98))</x:f>
      </x:c>
      <x:c r="K98" s="70" t="str">
        <x:f>IF(OR(A98="",B98=""),"",SUMIFS('12_Production_Log'!$M:$M,'12_Production_Log'!$B:$B,A98,'12_Production_Log'!$C:$C,B98)+SUMIFS('14_Materials_Log'!$I:$I,'14_Materials_Log'!$B:$B,A98,'14_Materials_Log'!$C:$C,B98,'14_Materials_Log'!$J:$J,"Yes"))</x:f>
      </x:c>
      <x:c r="L98" s="70" t="str">
        <x:f>IF(OR(A98="",B98=""),"",SUMIFS('13_Labor_Time'!$L:$L,'13_Labor_Time'!$B:$B,A98,'13_Labor_Time'!$C:$C,B98))</x:f>
      </x:c>
      <x:c r="M98" s="70" t="str">
        <x:f>IF(OR(K98="",H98="",J98="",L98=""),"",K98-H98-J98-L98)</x:f>
      </x:c>
      <x:c r="N98" s="140" t="str">
        <x:f>IF(C98=0,"",D98/C98)</x:f>
      </x:c>
    </x:row>
    <x:row r="99" ht="20" customHeight="1">
      <x:c r="A99" s="28"/>
      <x:c r="B99" s="15"/>
      <x:c r="C99" s="15" t="str">
        <x:f>IF(OR(A99="",B99=""),"",COUNTIFS('11_Intake_Daily'!$C:$C,A99,'11_Intake_Daily'!$D:$D,B99))</x:f>
      </x:c>
      <x:c r="D99" s="15" t="str">
        <x:f>IF(OR(A99="",B99=""),"",COUNTIFS('11_Intake_Daily'!$C:$C,A99,'11_Intake_Daily'!$D:$D,B99,'11_Intake_Daily'!$AA:$AA,"Yes"))</x:f>
      </x:c>
      <x:c r="E99" s="15" t="str">
        <x:f>IF(OR(A99="",B99=""),"",COUNTIFS('20_Proof_Queue'!$B:$B,A99,'20_Proof_Queue'!$C:$C,B99,'20_Proof_Queue'!$H:$H,"&lt;&gt;Closed"))</x:f>
      </x:c>
      <x:c r="F99" s="138" t="str">
        <x:f>IF(OR(A99="",B99=""),"",SUMIFS('12_Production_Log'!$H:$H,'12_Production_Log'!$B:$B,A99,'12_Production_Log'!$C:$C,B99))</x:f>
      </x:c>
      <x:c r="G99" s="136" t="str">
        <x:f>IF(OR(A99="",B99=""),"",SUMIFS('13_Labor_Time'!$J:$J,'13_Labor_Time'!$B:$B,A99,'13_Labor_Time'!$C:$C,B99))</x:f>
      </x:c>
      <x:c r="H99" s="70" t="str">
        <x:f>IF(OR(A99="",B99=""),"",SUMIFS('14_Materials_Log'!$I:$I,'14_Materials_Log'!$B:$B,A99,'14_Materials_Log'!$C:$C,B99))</x:f>
      </x:c>
      <x:c r="I99" s="136" t="str">
        <x:f>IF(OR(A99="",B99=""),"",SUMIFS('15_Equipment_Log'!$I:$I,'15_Equipment_Log'!$B:$B,A99,'15_Equipment_Log'!$C:$C,B99))</x:f>
      </x:c>
      <x:c r="J99" s="70" t="str">
        <x:f>IF(OR(A99="",B99=""),"",SUMIFS('15_Equipment_Log'!$M:$M,'15_Equipment_Log'!$B:$B,A99,'15_Equipment_Log'!$C:$C,B99))</x:f>
      </x:c>
      <x:c r="K99" s="70" t="str">
        <x:f>IF(OR(A99="",B99=""),"",SUMIFS('12_Production_Log'!$M:$M,'12_Production_Log'!$B:$B,A99,'12_Production_Log'!$C:$C,B99)+SUMIFS('14_Materials_Log'!$I:$I,'14_Materials_Log'!$B:$B,A99,'14_Materials_Log'!$C:$C,B99,'14_Materials_Log'!$J:$J,"Yes"))</x:f>
      </x:c>
      <x:c r="L99" s="70" t="str">
        <x:f>IF(OR(A99="",B99=""),"",SUMIFS('13_Labor_Time'!$L:$L,'13_Labor_Time'!$B:$B,A99,'13_Labor_Time'!$C:$C,B99))</x:f>
      </x:c>
      <x:c r="M99" s="70" t="str">
        <x:f>IF(OR(K99="",H99="",J99="",L99=""),"",K99-H99-J99-L99)</x:f>
      </x:c>
      <x:c r="N99" s="140" t="str">
        <x:f>IF(C99=0,"",D99/C99)</x:f>
      </x:c>
    </x:row>
    <x:row r="100" ht="20" customHeight="1">
      <x:c r="A100" s="28"/>
      <x:c r="B100" s="15"/>
      <x:c r="C100" s="15" t="str">
        <x:f>IF(OR(A100="",B100=""),"",COUNTIFS('11_Intake_Daily'!$C:$C,A100,'11_Intake_Daily'!$D:$D,B100))</x:f>
      </x:c>
      <x:c r="D100" s="15" t="str">
        <x:f>IF(OR(A100="",B100=""),"",COUNTIFS('11_Intake_Daily'!$C:$C,A100,'11_Intake_Daily'!$D:$D,B100,'11_Intake_Daily'!$AA:$AA,"Yes"))</x:f>
      </x:c>
      <x:c r="E100" s="15" t="str">
        <x:f>IF(OR(A100="",B100=""),"",COUNTIFS('20_Proof_Queue'!$B:$B,A100,'20_Proof_Queue'!$C:$C,B100,'20_Proof_Queue'!$H:$H,"&lt;&gt;Closed"))</x:f>
      </x:c>
      <x:c r="F100" s="138" t="str">
        <x:f>IF(OR(A100="",B100=""),"",SUMIFS('12_Production_Log'!$H:$H,'12_Production_Log'!$B:$B,A100,'12_Production_Log'!$C:$C,B100))</x:f>
      </x:c>
      <x:c r="G100" s="136" t="str">
        <x:f>IF(OR(A100="",B100=""),"",SUMIFS('13_Labor_Time'!$J:$J,'13_Labor_Time'!$B:$B,A100,'13_Labor_Time'!$C:$C,B100))</x:f>
      </x:c>
      <x:c r="H100" s="70" t="str">
        <x:f>IF(OR(A100="",B100=""),"",SUMIFS('14_Materials_Log'!$I:$I,'14_Materials_Log'!$B:$B,A100,'14_Materials_Log'!$C:$C,B100))</x:f>
      </x:c>
      <x:c r="I100" s="136" t="str">
        <x:f>IF(OR(A100="",B100=""),"",SUMIFS('15_Equipment_Log'!$I:$I,'15_Equipment_Log'!$B:$B,A100,'15_Equipment_Log'!$C:$C,B100))</x:f>
      </x:c>
      <x:c r="J100" s="70" t="str">
        <x:f>IF(OR(A100="",B100=""),"",SUMIFS('15_Equipment_Log'!$M:$M,'15_Equipment_Log'!$B:$B,A100,'15_Equipment_Log'!$C:$C,B100))</x:f>
      </x:c>
      <x:c r="K100" s="70" t="str">
        <x:f>IF(OR(A100="",B100=""),"",SUMIFS('12_Production_Log'!$M:$M,'12_Production_Log'!$B:$B,A100,'12_Production_Log'!$C:$C,B100)+SUMIFS('14_Materials_Log'!$I:$I,'14_Materials_Log'!$B:$B,A100,'14_Materials_Log'!$C:$C,B100,'14_Materials_Log'!$J:$J,"Yes"))</x:f>
      </x:c>
      <x:c r="L100" s="70" t="str">
        <x:f>IF(OR(A100="",B100=""),"",SUMIFS('13_Labor_Time'!$L:$L,'13_Labor_Time'!$B:$B,A100,'13_Labor_Time'!$C:$C,B100))</x:f>
      </x:c>
      <x:c r="M100" s="70" t="str">
        <x:f>IF(OR(K100="",H100="",J100="",L100=""),"",K100-H100-J100-L100)</x:f>
      </x:c>
      <x:c r="N100" s="140" t="str">
        <x:f>IF(C100=0,"",D100/C100)</x:f>
      </x:c>
    </x:row>
    <x:row r="101" ht="20" customHeight="1">
      <x:c r="A101" s="28"/>
      <x:c r="B101" s="15"/>
      <x:c r="C101" s="15" t="str">
        <x:f>IF(OR(A101="",B101=""),"",COUNTIFS('11_Intake_Daily'!$C:$C,A101,'11_Intake_Daily'!$D:$D,B101))</x:f>
      </x:c>
      <x:c r="D101" s="15" t="str">
        <x:f>IF(OR(A101="",B101=""),"",COUNTIFS('11_Intake_Daily'!$C:$C,A101,'11_Intake_Daily'!$D:$D,B101,'11_Intake_Daily'!$AA:$AA,"Yes"))</x:f>
      </x:c>
      <x:c r="E101" s="15" t="str">
        <x:f>IF(OR(A101="",B101=""),"",COUNTIFS('20_Proof_Queue'!$B:$B,A101,'20_Proof_Queue'!$C:$C,B101,'20_Proof_Queue'!$H:$H,"&lt;&gt;Closed"))</x:f>
      </x:c>
      <x:c r="F101" s="138" t="str">
        <x:f>IF(OR(A101="",B101=""),"",SUMIFS('12_Production_Log'!$H:$H,'12_Production_Log'!$B:$B,A101,'12_Production_Log'!$C:$C,B101))</x:f>
      </x:c>
      <x:c r="G101" s="136" t="str">
        <x:f>IF(OR(A101="",B101=""),"",SUMIFS('13_Labor_Time'!$J:$J,'13_Labor_Time'!$B:$B,A101,'13_Labor_Time'!$C:$C,B101))</x:f>
      </x:c>
      <x:c r="H101" s="70" t="str">
        <x:f>IF(OR(A101="",B101=""),"",SUMIFS('14_Materials_Log'!$I:$I,'14_Materials_Log'!$B:$B,A101,'14_Materials_Log'!$C:$C,B101))</x:f>
      </x:c>
      <x:c r="I101" s="136" t="str">
        <x:f>IF(OR(A101="",B101=""),"",SUMIFS('15_Equipment_Log'!$I:$I,'15_Equipment_Log'!$B:$B,A101,'15_Equipment_Log'!$C:$C,B101))</x:f>
      </x:c>
      <x:c r="J101" s="70" t="str">
        <x:f>IF(OR(A101="",B101=""),"",SUMIFS('15_Equipment_Log'!$M:$M,'15_Equipment_Log'!$B:$B,A101,'15_Equipment_Log'!$C:$C,B101))</x:f>
      </x:c>
      <x:c r="K101" s="70" t="str">
        <x:f>IF(OR(A101="",B101=""),"",SUMIFS('12_Production_Log'!$M:$M,'12_Production_Log'!$B:$B,A101,'12_Production_Log'!$C:$C,B101)+SUMIFS('14_Materials_Log'!$I:$I,'14_Materials_Log'!$B:$B,A101,'14_Materials_Log'!$C:$C,B101,'14_Materials_Log'!$J:$J,"Yes"))</x:f>
      </x:c>
      <x:c r="L101" s="70" t="str">
        <x:f>IF(OR(A101="",B101=""),"",SUMIFS('13_Labor_Time'!$L:$L,'13_Labor_Time'!$B:$B,A101,'13_Labor_Time'!$C:$C,B101))</x:f>
      </x:c>
      <x:c r="M101" s="70" t="str">
        <x:f>IF(OR(K101="",H101="",J101="",L101=""),"",K101-H101-J101-L101)</x:f>
      </x:c>
      <x:c r="N101" s="140" t="str">
        <x:f>IF(C101=0,"",D101/C101)</x:f>
      </x:c>
    </x:row>
    <x:row r="102" ht="20" customHeight="1">
      <x:c r="A102" s="28"/>
      <x:c r="B102" s="15"/>
      <x:c r="C102" s="15" t="str">
        <x:f>IF(OR(A102="",B102=""),"",COUNTIFS('11_Intake_Daily'!$C:$C,A102,'11_Intake_Daily'!$D:$D,B102))</x:f>
      </x:c>
      <x:c r="D102" s="15" t="str">
        <x:f>IF(OR(A102="",B102=""),"",COUNTIFS('11_Intake_Daily'!$C:$C,A102,'11_Intake_Daily'!$D:$D,B102,'11_Intake_Daily'!$AA:$AA,"Yes"))</x:f>
      </x:c>
      <x:c r="E102" s="15" t="str">
        <x:f>IF(OR(A102="",B102=""),"",COUNTIFS('20_Proof_Queue'!$B:$B,A102,'20_Proof_Queue'!$C:$C,B102,'20_Proof_Queue'!$H:$H,"&lt;&gt;Closed"))</x:f>
      </x:c>
      <x:c r="F102" s="138" t="str">
        <x:f>IF(OR(A102="",B102=""),"",SUMIFS('12_Production_Log'!$H:$H,'12_Production_Log'!$B:$B,A102,'12_Production_Log'!$C:$C,B102))</x:f>
      </x:c>
      <x:c r="G102" s="136" t="str">
        <x:f>IF(OR(A102="",B102=""),"",SUMIFS('13_Labor_Time'!$J:$J,'13_Labor_Time'!$B:$B,A102,'13_Labor_Time'!$C:$C,B102))</x:f>
      </x:c>
      <x:c r="H102" s="70" t="str">
        <x:f>IF(OR(A102="",B102=""),"",SUMIFS('14_Materials_Log'!$I:$I,'14_Materials_Log'!$B:$B,A102,'14_Materials_Log'!$C:$C,B102))</x:f>
      </x:c>
      <x:c r="I102" s="136" t="str">
        <x:f>IF(OR(A102="",B102=""),"",SUMIFS('15_Equipment_Log'!$I:$I,'15_Equipment_Log'!$B:$B,A102,'15_Equipment_Log'!$C:$C,B102))</x:f>
      </x:c>
      <x:c r="J102" s="70" t="str">
        <x:f>IF(OR(A102="",B102=""),"",SUMIFS('15_Equipment_Log'!$M:$M,'15_Equipment_Log'!$B:$B,A102,'15_Equipment_Log'!$C:$C,B102))</x:f>
      </x:c>
      <x:c r="K102" s="70" t="str">
        <x:f>IF(OR(A102="",B102=""),"",SUMIFS('12_Production_Log'!$M:$M,'12_Production_Log'!$B:$B,A102,'12_Production_Log'!$C:$C,B102)+SUMIFS('14_Materials_Log'!$I:$I,'14_Materials_Log'!$B:$B,A102,'14_Materials_Log'!$C:$C,B102,'14_Materials_Log'!$J:$J,"Yes"))</x:f>
      </x:c>
      <x:c r="L102" s="70" t="str">
        <x:f>IF(OR(A102="",B102=""),"",SUMIFS('13_Labor_Time'!$L:$L,'13_Labor_Time'!$B:$B,A102,'13_Labor_Time'!$C:$C,B102))</x:f>
      </x:c>
      <x:c r="M102" s="70" t="str">
        <x:f>IF(OR(K102="",H102="",J102="",L102=""),"",K102-H102-J102-L102)</x:f>
      </x:c>
      <x:c r="N102" s="140" t="str">
        <x:f>IF(C102=0,"",D102/C102)</x:f>
      </x:c>
    </x:row>
    <x:row r="103" ht="20" customHeight="1">
      <x:c r="A103" s="28"/>
      <x:c r="B103" s="15"/>
      <x:c r="C103" s="15" t="str">
        <x:f>IF(OR(A103="",B103=""),"",COUNTIFS('11_Intake_Daily'!$C:$C,A103,'11_Intake_Daily'!$D:$D,B103))</x:f>
      </x:c>
      <x:c r="D103" s="15" t="str">
        <x:f>IF(OR(A103="",B103=""),"",COUNTIFS('11_Intake_Daily'!$C:$C,A103,'11_Intake_Daily'!$D:$D,B103,'11_Intake_Daily'!$AA:$AA,"Yes"))</x:f>
      </x:c>
      <x:c r="E103" s="15" t="str">
        <x:f>IF(OR(A103="",B103=""),"",COUNTIFS('20_Proof_Queue'!$B:$B,A103,'20_Proof_Queue'!$C:$C,B103,'20_Proof_Queue'!$H:$H,"&lt;&gt;Closed"))</x:f>
      </x:c>
      <x:c r="F103" s="138" t="str">
        <x:f>IF(OR(A103="",B103=""),"",SUMIFS('12_Production_Log'!$H:$H,'12_Production_Log'!$B:$B,A103,'12_Production_Log'!$C:$C,B103))</x:f>
      </x:c>
      <x:c r="G103" s="136" t="str">
        <x:f>IF(OR(A103="",B103=""),"",SUMIFS('13_Labor_Time'!$J:$J,'13_Labor_Time'!$B:$B,A103,'13_Labor_Time'!$C:$C,B103))</x:f>
      </x:c>
      <x:c r="H103" s="70" t="str">
        <x:f>IF(OR(A103="",B103=""),"",SUMIFS('14_Materials_Log'!$I:$I,'14_Materials_Log'!$B:$B,A103,'14_Materials_Log'!$C:$C,B103))</x:f>
      </x:c>
      <x:c r="I103" s="136" t="str">
        <x:f>IF(OR(A103="",B103=""),"",SUMIFS('15_Equipment_Log'!$I:$I,'15_Equipment_Log'!$B:$B,A103,'15_Equipment_Log'!$C:$C,B103))</x:f>
      </x:c>
      <x:c r="J103" s="70" t="str">
        <x:f>IF(OR(A103="",B103=""),"",SUMIFS('15_Equipment_Log'!$M:$M,'15_Equipment_Log'!$B:$B,A103,'15_Equipment_Log'!$C:$C,B103))</x:f>
      </x:c>
      <x:c r="K103" s="70" t="str">
        <x:f>IF(OR(A103="",B103=""),"",SUMIFS('12_Production_Log'!$M:$M,'12_Production_Log'!$B:$B,A103,'12_Production_Log'!$C:$C,B103)+SUMIFS('14_Materials_Log'!$I:$I,'14_Materials_Log'!$B:$B,A103,'14_Materials_Log'!$C:$C,B103,'14_Materials_Log'!$J:$J,"Yes"))</x:f>
      </x:c>
      <x:c r="L103" s="70" t="str">
        <x:f>IF(OR(A103="",B103=""),"",SUMIFS('13_Labor_Time'!$L:$L,'13_Labor_Time'!$B:$B,A103,'13_Labor_Time'!$C:$C,B103))</x:f>
      </x:c>
      <x:c r="M103" s="70" t="str">
        <x:f>IF(OR(K103="",H103="",J103="",L103=""),"",K103-H103-J103-L103)</x:f>
      </x:c>
      <x:c r="N103" s="140" t="str">
        <x:f>IF(C103=0,"",D103/C103)</x:f>
      </x:c>
    </x:row>
    <x:row r="104" ht="20" customHeight="1">
      <x:c r="A104" s="28"/>
      <x:c r="B104" s="15"/>
      <x:c r="C104" s="15" t="str">
        <x:f>IF(OR(A104="",B104=""),"",COUNTIFS('11_Intake_Daily'!$C:$C,A104,'11_Intake_Daily'!$D:$D,B104))</x:f>
      </x:c>
      <x:c r="D104" s="15" t="str">
        <x:f>IF(OR(A104="",B104=""),"",COUNTIFS('11_Intake_Daily'!$C:$C,A104,'11_Intake_Daily'!$D:$D,B104,'11_Intake_Daily'!$AA:$AA,"Yes"))</x:f>
      </x:c>
      <x:c r="E104" s="15" t="str">
        <x:f>IF(OR(A104="",B104=""),"",COUNTIFS('20_Proof_Queue'!$B:$B,A104,'20_Proof_Queue'!$C:$C,B104,'20_Proof_Queue'!$H:$H,"&lt;&gt;Closed"))</x:f>
      </x:c>
      <x:c r="F104" s="138" t="str">
        <x:f>IF(OR(A104="",B104=""),"",SUMIFS('12_Production_Log'!$H:$H,'12_Production_Log'!$B:$B,A104,'12_Production_Log'!$C:$C,B104))</x:f>
      </x:c>
      <x:c r="G104" s="136" t="str">
        <x:f>IF(OR(A104="",B104=""),"",SUMIFS('13_Labor_Time'!$J:$J,'13_Labor_Time'!$B:$B,A104,'13_Labor_Time'!$C:$C,B104))</x:f>
      </x:c>
      <x:c r="H104" s="70" t="str">
        <x:f>IF(OR(A104="",B104=""),"",SUMIFS('14_Materials_Log'!$I:$I,'14_Materials_Log'!$B:$B,A104,'14_Materials_Log'!$C:$C,B104))</x:f>
      </x:c>
      <x:c r="I104" s="136" t="str">
        <x:f>IF(OR(A104="",B104=""),"",SUMIFS('15_Equipment_Log'!$I:$I,'15_Equipment_Log'!$B:$B,A104,'15_Equipment_Log'!$C:$C,B104))</x:f>
      </x:c>
      <x:c r="J104" s="70" t="str">
        <x:f>IF(OR(A104="",B104=""),"",SUMIFS('15_Equipment_Log'!$M:$M,'15_Equipment_Log'!$B:$B,A104,'15_Equipment_Log'!$C:$C,B104))</x:f>
      </x:c>
      <x:c r="K104" s="70" t="str">
        <x:f>IF(OR(A104="",B104=""),"",SUMIFS('12_Production_Log'!$M:$M,'12_Production_Log'!$B:$B,A104,'12_Production_Log'!$C:$C,B104)+SUMIFS('14_Materials_Log'!$I:$I,'14_Materials_Log'!$B:$B,A104,'14_Materials_Log'!$C:$C,B104,'14_Materials_Log'!$J:$J,"Yes"))</x:f>
      </x:c>
      <x:c r="L104" s="70" t="str">
        <x:f>IF(OR(A104="",B104=""),"",SUMIFS('13_Labor_Time'!$L:$L,'13_Labor_Time'!$B:$B,A104,'13_Labor_Time'!$C:$C,B104))</x:f>
      </x:c>
      <x:c r="M104" s="70" t="str">
        <x:f>IF(OR(K104="",H104="",J104="",L104=""),"",K104-H104-J104-L104)</x:f>
      </x:c>
      <x:c r="N104" s="140" t="str">
        <x:f>IF(C104=0,"",D104/C104)</x:f>
      </x:c>
    </x:row>
    <x:row r="105" ht="20" customHeight="1">
      <x:c r="A105" s="28"/>
      <x:c r="B105" s="15"/>
      <x:c r="C105" s="15" t="str">
        <x:f>IF(OR(A105="",B105=""),"",COUNTIFS('11_Intake_Daily'!$C:$C,A105,'11_Intake_Daily'!$D:$D,B105))</x:f>
      </x:c>
      <x:c r="D105" s="15" t="str">
        <x:f>IF(OR(A105="",B105=""),"",COUNTIFS('11_Intake_Daily'!$C:$C,A105,'11_Intake_Daily'!$D:$D,B105,'11_Intake_Daily'!$AA:$AA,"Yes"))</x:f>
      </x:c>
      <x:c r="E105" s="15" t="str">
        <x:f>IF(OR(A105="",B105=""),"",COUNTIFS('20_Proof_Queue'!$B:$B,A105,'20_Proof_Queue'!$C:$C,B105,'20_Proof_Queue'!$H:$H,"&lt;&gt;Closed"))</x:f>
      </x:c>
      <x:c r="F105" s="138" t="str">
        <x:f>IF(OR(A105="",B105=""),"",SUMIFS('12_Production_Log'!$H:$H,'12_Production_Log'!$B:$B,A105,'12_Production_Log'!$C:$C,B105))</x:f>
      </x:c>
      <x:c r="G105" s="136" t="str">
        <x:f>IF(OR(A105="",B105=""),"",SUMIFS('13_Labor_Time'!$J:$J,'13_Labor_Time'!$B:$B,A105,'13_Labor_Time'!$C:$C,B105))</x:f>
      </x:c>
      <x:c r="H105" s="70" t="str">
        <x:f>IF(OR(A105="",B105=""),"",SUMIFS('14_Materials_Log'!$I:$I,'14_Materials_Log'!$B:$B,A105,'14_Materials_Log'!$C:$C,B105))</x:f>
      </x:c>
      <x:c r="I105" s="136" t="str">
        <x:f>IF(OR(A105="",B105=""),"",SUMIFS('15_Equipment_Log'!$I:$I,'15_Equipment_Log'!$B:$B,A105,'15_Equipment_Log'!$C:$C,B105))</x:f>
      </x:c>
      <x:c r="J105" s="70" t="str">
        <x:f>IF(OR(A105="",B105=""),"",SUMIFS('15_Equipment_Log'!$M:$M,'15_Equipment_Log'!$B:$B,A105,'15_Equipment_Log'!$C:$C,B105))</x:f>
      </x:c>
      <x:c r="K105" s="70" t="str">
        <x:f>IF(OR(A105="",B105=""),"",SUMIFS('12_Production_Log'!$M:$M,'12_Production_Log'!$B:$B,A105,'12_Production_Log'!$C:$C,B105)+SUMIFS('14_Materials_Log'!$I:$I,'14_Materials_Log'!$B:$B,A105,'14_Materials_Log'!$C:$C,B105,'14_Materials_Log'!$J:$J,"Yes"))</x:f>
      </x:c>
      <x:c r="L105" s="70" t="str">
        <x:f>IF(OR(A105="",B105=""),"",SUMIFS('13_Labor_Time'!$L:$L,'13_Labor_Time'!$B:$B,A105,'13_Labor_Time'!$C:$C,B105))</x:f>
      </x:c>
      <x:c r="M105" s="70" t="str">
        <x:f>IF(OR(K105="",H105="",J105="",L105=""),"",K105-H105-J105-L105)</x:f>
      </x:c>
      <x:c r="N105" s="140" t="str">
        <x:f>IF(C105=0,"",D105/C105)</x:f>
      </x:c>
    </x:row>
    <x:row r="106" ht="20" customHeight="1">
      <x:c r="A106" s="28"/>
      <x:c r="B106" s="15"/>
      <x:c r="C106" s="15" t="str">
        <x:f>IF(OR(A106="",B106=""),"",COUNTIFS('11_Intake_Daily'!$C:$C,A106,'11_Intake_Daily'!$D:$D,B106))</x:f>
      </x:c>
      <x:c r="D106" s="15" t="str">
        <x:f>IF(OR(A106="",B106=""),"",COUNTIFS('11_Intake_Daily'!$C:$C,A106,'11_Intake_Daily'!$D:$D,B106,'11_Intake_Daily'!$AA:$AA,"Yes"))</x:f>
      </x:c>
      <x:c r="E106" s="15" t="str">
        <x:f>IF(OR(A106="",B106=""),"",COUNTIFS('20_Proof_Queue'!$B:$B,A106,'20_Proof_Queue'!$C:$C,B106,'20_Proof_Queue'!$H:$H,"&lt;&gt;Closed"))</x:f>
      </x:c>
      <x:c r="F106" s="138" t="str">
        <x:f>IF(OR(A106="",B106=""),"",SUMIFS('12_Production_Log'!$H:$H,'12_Production_Log'!$B:$B,A106,'12_Production_Log'!$C:$C,B106))</x:f>
      </x:c>
      <x:c r="G106" s="136" t="str">
        <x:f>IF(OR(A106="",B106=""),"",SUMIFS('13_Labor_Time'!$J:$J,'13_Labor_Time'!$B:$B,A106,'13_Labor_Time'!$C:$C,B106))</x:f>
      </x:c>
      <x:c r="H106" s="70" t="str">
        <x:f>IF(OR(A106="",B106=""),"",SUMIFS('14_Materials_Log'!$I:$I,'14_Materials_Log'!$B:$B,A106,'14_Materials_Log'!$C:$C,B106))</x:f>
      </x:c>
      <x:c r="I106" s="136" t="str">
        <x:f>IF(OR(A106="",B106=""),"",SUMIFS('15_Equipment_Log'!$I:$I,'15_Equipment_Log'!$B:$B,A106,'15_Equipment_Log'!$C:$C,B106))</x:f>
      </x:c>
      <x:c r="J106" s="70" t="str">
        <x:f>IF(OR(A106="",B106=""),"",SUMIFS('15_Equipment_Log'!$M:$M,'15_Equipment_Log'!$B:$B,A106,'15_Equipment_Log'!$C:$C,B106))</x:f>
      </x:c>
      <x:c r="K106" s="70" t="str">
        <x:f>IF(OR(A106="",B106=""),"",SUMIFS('12_Production_Log'!$M:$M,'12_Production_Log'!$B:$B,A106,'12_Production_Log'!$C:$C,B106)+SUMIFS('14_Materials_Log'!$I:$I,'14_Materials_Log'!$B:$B,A106,'14_Materials_Log'!$C:$C,B106,'14_Materials_Log'!$J:$J,"Yes"))</x:f>
      </x:c>
      <x:c r="L106" s="70" t="str">
        <x:f>IF(OR(A106="",B106=""),"",SUMIFS('13_Labor_Time'!$L:$L,'13_Labor_Time'!$B:$B,A106,'13_Labor_Time'!$C:$C,B106))</x:f>
      </x:c>
      <x:c r="M106" s="70" t="str">
        <x:f>IF(OR(K106="",H106="",J106="",L106=""),"",K106-H106-J106-L106)</x:f>
      </x:c>
      <x:c r="N106" s="140" t="str">
        <x:f>IF(C106=0,"",D106/C106)</x:f>
      </x:c>
    </x:row>
    <x:row r="107" ht="20" customHeight="1">
      <x:c r="A107" s="28"/>
      <x:c r="B107" s="15"/>
      <x:c r="C107" s="15" t="str">
        <x:f>IF(OR(A107="",B107=""),"",COUNTIFS('11_Intake_Daily'!$C:$C,A107,'11_Intake_Daily'!$D:$D,B107))</x:f>
      </x:c>
      <x:c r="D107" s="15" t="str">
        <x:f>IF(OR(A107="",B107=""),"",COUNTIFS('11_Intake_Daily'!$C:$C,A107,'11_Intake_Daily'!$D:$D,B107,'11_Intake_Daily'!$AA:$AA,"Yes"))</x:f>
      </x:c>
      <x:c r="E107" s="15" t="str">
        <x:f>IF(OR(A107="",B107=""),"",COUNTIFS('20_Proof_Queue'!$B:$B,A107,'20_Proof_Queue'!$C:$C,B107,'20_Proof_Queue'!$H:$H,"&lt;&gt;Closed"))</x:f>
      </x:c>
      <x:c r="F107" s="138" t="str">
        <x:f>IF(OR(A107="",B107=""),"",SUMIFS('12_Production_Log'!$H:$H,'12_Production_Log'!$B:$B,A107,'12_Production_Log'!$C:$C,B107))</x:f>
      </x:c>
      <x:c r="G107" s="136" t="str">
        <x:f>IF(OR(A107="",B107=""),"",SUMIFS('13_Labor_Time'!$J:$J,'13_Labor_Time'!$B:$B,A107,'13_Labor_Time'!$C:$C,B107))</x:f>
      </x:c>
      <x:c r="H107" s="70" t="str">
        <x:f>IF(OR(A107="",B107=""),"",SUMIFS('14_Materials_Log'!$I:$I,'14_Materials_Log'!$B:$B,A107,'14_Materials_Log'!$C:$C,B107))</x:f>
      </x:c>
      <x:c r="I107" s="136" t="str">
        <x:f>IF(OR(A107="",B107=""),"",SUMIFS('15_Equipment_Log'!$I:$I,'15_Equipment_Log'!$B:$B,A107,'15_Equipment_Log'!$C:$C,B107))</x:f>
      </x:c>
      <x:c r="J107" s="70" t="str">
        <x:f>IF(OR(A107="",B107=""),"",SUMIFS('15_Equipment_Log'!$M:$M,'15_Equipment_Log'!$B:$B,A107,'15_Equipment_Log'!$C:$C,B107))</x:f>
      </x:c>
      <x:c r="K107" s="70" t="str">
        <x:f>IF(OR(A107="",B107=""),"",SUMIFS('12_Production_Log'!$M:$M,'12_Production_Log'!$B:$B,A107,'12_Production_Log'!$C:$C,B107)+SUMIFS('14_Materials_Log'!$I:$I,'14_Materials_Log'!$B:$B,A107,'14_Materials_Log'!$C:$C,B107,'14_Materials_Log'!$J:$J,"Yes"))</x:f>
      </x:c>
      <x:c r="L107" s="70" t="str">
        <x:f>IF(OR(A107="",B107=""),"",SUMIFS('13_Labor_Time'!$L:$L,'13_Labor_Time'!$B:$B,A107,'13_Labor_Time'!$C:$C,B107))</x:f>
      </x:c>
      <x:c r="M107" s="70" t="str">
        <x:f>IF(OR(K107="",H107="",J107="",L107=""),"",K107-H107-J107-L107)</x:f>
      </x:c>
      <x:c r="N107" s="140" t="str">
        <x:f>IF(C107=0,"",D107/C107)</x:f>
      </x:c>
    </x:row>
    <x:row r="108" ht="20" customHeight="1">
      <x:c r="A108" s="28"/>
      <x:c r="B108" s="15"/>
      <x:c r="C108" s="15" t="str">
        <x:f>IF(OR(A108="",B108=""),"",COUNTIFS('11_Intake_Daily'!$C:$C,A108,'11_Intake_Daily'!$D:$D,B108))</x:f>
      </x:c>
      <x:c r="D108" s="15" t="str">
        <x:f>IF(OR(A108="",B108=""),"",COUNTIFS('11_Intake_Daily'!$C:$C,A108,'11_Intake_Daily'!$D:$D,B108,'11_Intake_Daily'!$AA:$AA,"Yes"))</x:f>
      </x:c>
      <x:c r="E108" s="15" t="str">
        <x:f>IF(OR(A108="",B108=""),"",COUNTIFS('20_Proof_Queue'!$B:$B,A108,'20_Proof_Queue'!$C:$C,B108,'20_Proof_Queue'!$H:$H,"&lt;&gt;Closed"))</x:f>
      </x:c>
      <x:c r="F108" s="138" t="str">
        <x:f>IF(OR(A108="",B108=""),"",SUMIFS('12_Production_Log'!$H:$H,'12_Production_Log'!$B:$B,A108,'12_Production_Log'!$C:$C,B108))</x:f>
      </x:c>
      <x:c r="G108" s="136" t="str">
        <x:f>IF(OR(A108="",B108=""),"",SUMIFS('13_Labor_Time'!$J:$J,'13_Labor_Time'!$B:$B,A108,'13_Labor_Time'!$C:$C,B108))</x:f>
      </x:c>
      <x:c r="H108" s="70" t="str">
        <x:f>IF(OR(A108="",B108=""),"",SUMIFS('14_Materials_Log'!$I:$I,'14_Materials_Log'!$B:$B,A108,'14_Materials_Log'!$C:$C,B108))</x:f>
      </x:c>
      <x:c r="I108" s="136" t="str">
        <x:f>IF(OR(A108="",B108=""),"",SUMIFS('15_Equipment_Log'!$I:$I,'15_Equipment_Log'!$B:$B,A108,'15_Equipment_Log'!$C:$C,B108))</x:f>
      </x:c>
      <x:c r="J108" s="70" t="str">
        <x:f>IF(OR(A108="",B108=""),"",SUMIFS('15_Equipment_Log'!$M:$M,'15_Equipment_Log'!$B:$B,A108,'15_Equipment_Log'!$C:$C,B108))</x:f>
      </x:c>
      <x:c r="K108" s="70" t="str">
        <x:f>IF(OR(A108="",B108=""),"",SUMIFS('12_Production_Log'!$M:$M,'12_Production_Log'!$B:$B,A108,'12_Production_Log'!$C:$C,B108)+SUMIFS('14_Materials_Log'!$I:$I,'14_Materials_Log'!$B:$B,A108,'14_Materials_Log'!$C:$C,B108,'14_Materials_Log'!$J:$J,"Yes"))</x:f>
      </x:c>
      <x:c r="L108" s="70" t="str">
        <x:f>IF(OR(A108="",B108=""),"",SUMIFS('13_Labor_Time'!$L:$L,'13_Labor_Time'!$B:$B,A108,'13_Labor_Time'!$C:$C,B108))</x:f>
      </x:c>
      <x:c r="M108" s="70" t="str">
        <x:f>IF(OR(K108="",H108="",J108="",L108=""),"",K108-H108-J108-L108)</x:f>
      </x:c>
      <x:c r="N108" s="140" t="str">
        <x:f>IF(C108=0,"",D108/C108)</x:f>
      </x:c>
    </x:row>
    <x:row r="109" ht="20" customHeight="1">
      <x:c r="A109" s="28"/>
      <x:c r="B109" s="15"/>
      <x:c r="C109" s="15" t="str">
        <x:f>IF(OR(A109="",B109=""),"",COUNTIFS('11_Intake_Daily'!$C:$C,A109,'11_Intake_Daily'!$D:$D,B109))</x:f>
      </x:c>
      <x:c r="D109" s="15" t="str">
        <x:f>IF(OR(A109="",B109=""),"",COUNTIFS('11_Intake_Daily'!$C:$C,A109,'11_Intake_Daily'!$D:$D,B109,'11_Intake_Daily'!$AA:$AA,"Yes"))</x:f>
      </x:c>
      <x:c r="E109" s="15" t="str">
        <x:f>IF(OR(A109="",B109=""),"",COUNTIFS('20_Proof_Queue'!$B:$B,A109,'20_Proof_Queue'!$C:$C,B109,'20_Proof_Queue'!$H:$H,"&lt;&gt;Closed"))</x:f>
      </x:c>
      <x:c r="F109" s="138" t="str">
        <x:f>IF(OR(A109="",B109=""),"",SUMIFS('12_Production_Log'!$H:$H,'12_Production_Log'!$B:$B,A109,'12_Production_Log'!$C:$C,B109))</x:f>
      </x:c>
      <x:c r="G109" s="136" t="str">
        <x:f>IF(OR(A109="",B109=""),"",SUMIFS('13_Labor_Time'!$J:$J,'13_Labor_Time'!$B:$B,A109,'13_Labor_Time'!$C:$C,B109))</x:f>
      </x:c>
      <x:c r="H109" s="70" t="str">
        <x:f>IF(OR(A109="",B109=""),"",SUMIFS('14_Materials_Log'!$I:$I,'14_Materials_Log'!$B:$B,A109,'14_Materials_Log'!$C:$C,B109))</x:f>
      </x:c>
      <x:c r="I109" s="136" t="str">
        <x:f>IF(OR(A109="",B109=""),"",SUMIFS('15_Equipment_Log'!$I:$I,'15_Equipment_Log'!$B:$B,A109,'15_Equipment_Log'!$C:$C,B109))</x:f>
      </x:c>
      <x:c r="J109" s="70" t="str">
        <x:f>IF(OR(A109="",B109=""),"",SUMIFS('15_Equipment_Log'!$M:$M,'15_Equipment_Log'!$B:$B,A109,'15_Equipment_Log'!$C:$C,B109))</x:f>
      </x:c>
      <x:c r="K109" s="70" t="str">
        <x:f>IF(OR(A109="",B109=""),"",SUMIFS('12_Production_Log'!$M:$M,'12_Production_Log'!$B:$B,A109,'12_Production_Log'!$C:$C,B109)+SUMIFS('14_Materials_Log'!$I:$I,'14_Materials_Log'!$B:$B,A109,'14_Materials_Log'!$C:$C,B109,'14_Materials_Log'!$J:$J,"Yes"))</x:f>
      </x:c>
      <x:c r="L109" s="70" t="str">
        <x:f>IF(OR(A109="",B109=""),"",SUMIFS('13_Labor_Time'!$L:$L,'13_Labor_Time'!$B:$B,A109,'13_Labor_Time'!$C:$C,B109))</x:f>
      </x:c>
      <x:c r="M109" s="70" t="str">
        <x:f>IF(OR(K109="",H109="",J109="",L109=""),"",K109-H109-J109-L109)</x:f>
      </x:c>
      <x:c r="N109" s="140" t="str">
        <x:f>IF(C109=0,"",D109/C109)</x:f>
      </x:c>
    </x:row>
    <x:row r="110" ht="20" customHeight="1">
      <x:c r="A110" s="28"/>
      <x:c r="B110" s="15"/>
      <x:c r="C110" s="15" t="str">
        <x:f>IF(OR(A110="",B110=""),"",COUNTIFS('11_Intake_Daily'!$C:$C,A110,'11_Intake_Daily'!$D:$D,B110))</x:f>
      </x:c>
      <x:c r="D110" s="15" t="str">
        <x:f>IF(OR(A110="",B110=""),"",COUNTIFS('11_Intake_Daily'!$C:$C,A110,'11_Intake_Daily'!$D:$D,B110,'11_Intake_Daily'!$AA:$AA,"Yes"))</x:f>
      </x:c>
      <x:c r="E110" s="15" t="str">
        <x:f>IF(OR(A110="",B110=""),"",COUNTIFS('20_Proof_Queue'!$B:$B,A110,'20_Proof_Queue'!$C:$C,B110,'20_Proof_Queue'!$H:$H,"&lt;&gt;Closed"))</x:f>
      </x:c>
      <x:c r="F110" s="138" t="str">
        <x:f>IF(OR(A110="",B110=""),"",SUMIFS('12_Production_Log'!$H:$H,'12_Production_Log'!$B:$B,A110,'12_Production_Log'!$C:$C,B110))</x:f>
      </x:c>
      <x:c r="G110" s="136" t="str">
        <x:f>IF(OR(A110="",B110=""),"",SUMIFS('13_Labor_Time'!$J:$J,'13_Labor_Time'!$B:$B,A110,'13_Labor_Time'!$C:$C,B110))</x:f>
      </x:c>
      <x:c r="H110" s="70" t="str">
        <x:f>IF(OR(A110="",B110=""),"",SUMIFS('14_Materials_Log'!$I:$I,'14_Materials_Log'!$B:$B,A110,'14_Materials_Log'!$C:$C,B110))</x:f>
      </x:c>
      <x:c r="I110" s="136" t="str">
        <x:f>IF(OR(A110="",B110=""),"",SUMIFS('15_Equipment_Log'!$I:$I,'15_Equipment_Log'!$B:$B,A110,'15_Equipment_Log'!$C:$C,B110))</x:f>
      </x:c>
      <x:c r="J110" s="70" t="str">
        <x:f>IF(OR(A110="",B110=""),"",SUMIFS('15_Equipment_Log'!$M:$M,'15_Equipment_Log'!$B:$B,A110,'15_Equipment_Log'!$C:$C,B110))</x:f>
      </x:c>
      <x:c r="K110" s="70" t="str">
        <x:f>IF(OR(A110="",B110=""),"",SUMIFS('12_Production_Log'!$M:$M,'12_Production_Log'!$B:$B,A110,'12_Production_Log'!$C:$C,B110)+SUMIFS('14_Materials_Log'!$I:$I,'14_Materials_Log'!$B:$B,A110,'14_Materials_Log'!$C:$C,B110,'14_Materials_Log'!$J:$J,"Yes"))</x:f>
      </x:c>
      <x:c r="L110" s="70" t="str">
        <x:f>IF(OR(A110="",B110=""),"",SUMIFS('13_Labor_Time'!$L:$L,'13_Labor_Time'!$B:$B,A110,'13_Labor_Time'!$C:$C,B110))</x:f>
      </x:c>
      <x:c r="M110" s="70" t="str">
        <x:f>IF(OR(K110="",H110="",J110="",L110=""),"",K110-H110-J110-L110)</x:f>
      </x:c>
      <x:c r="N110" s="140" t="str">
        <x:f>IF(C110=0,"",D110/C110)</x:f>
      </x:c>
    </x:row>
    <x:row r="111" ht="20" customHeight="1">
      <x:c r="A111" s="28"/>
      <x:c r="B111" s="15"/>
      <x:c r="C111" s="15" t="str">
        <x:f>IF(OR(A111="",B111=""),"",COUNTIFS('11_Intake_Daily'!$C:$C,A111,'11_Intake_Daily'!$D:$D,B111))</x:f>
      </x:c>
      <x:c r="D111" s="15" t="str">
        <x:f>IF(OR(A111="",B111=""),"",COUNTIFS('11_Intake_Daily'!$C:$C,A111,'11_Intake_Daily'!$D:$D,B111,'11_Intake_Daily'!$AA:$AA,"Yes"))</x:f>
      </x:c>
      <x:c r="E111" s="15" t="str">
        <x:f>IF(OR(A111="",B111=""),"",COUNTIFS('20_Proof_Queue'!$B:$B,A111,'20_Proof_Queue'!$C:$C,B111,'20_Proof_Queue'!$H:$H,"&lt;&gt;Closed"))</x:f>
      </x:c>
      <x:c r="F111" s="138" t="str">
        <x:f>IF(OR(A111="",B111=""),"",SUMIFS('12_Production_Log'!$H:$H,'12_Production_Log'!$B:$B,A111,'12_Production_Log'!$C:$C,B111))</x:f>
      </x:c>
      <x:c r="G111" s="136" t="str">
        <x:f>IF(OR(A111="",B111=""),"",SUMIFS('13_Labor_Time'!$J:$J,'13_Labor_Time'!$B:$B,A111,'13_Labor_Time'!$C:$C,B111))</x:f>
      </x:c>
      <x:c r="H111" s="70" t="str">
        <x:f>IF(OR(A111="",B111=""),"",SUMIFS('14_Materials_Log'!$I:$I,'14_Materials_Log'!$B:$B,A111,'14_Materials_Log'!$C:$C,B111))</x:f>
      </x:c>
      <x:c r="I111" s="136" t="str">
        <x:f>IF(OR(A111="",B111=""),"",SUMIFS('15_Equipment_Log'!$I:$I,'15_Equipment_Log'!$B:$B,A111,'15_Equipment_Log'!$C:$C,B111))</x:f>
      </x:c>
      <x:c r="J111" s="70" t="str">
        <x:f>IF(OR(A111="",B111=""),"",SUMIFS('15_Equipment_Log'!$M:$M,'15_Equipment_Log'!$B:$B,A111,'15_Equipment_Log'!$C:$C,B111))</x:f>
      </x:c>
      <x:c r="K111" s="70" t="str">
        <x:f>IF(OR(A111="",B111=""),"",SUMIFS('12_Production_Log'!$M:$M,'12_Production_Log'!$B:$B,A111,'12_Production_Log'!$C:$C,B111)+SUMIFS('14_Materials_Log'!$I:$I,'14_Materials_Log'!$B:$B,A111,'14_Materials_Log'!$C:$C,B111,'14_Materials_Log'!$J:$J,"Yes"))</x:f>
      </x:c>
      <x:c r="L111" s="70" t="str">
        <x:f>IF(OR(A111="",B111=""),"",SUMIFS('13_Labor_Time'!$L:$L,'13_Labor_Time'!$B:$B,A111,'13_Labor_Time'!$C:$C,B111))</x:f>
      </x:c>
      <x:c r="M111" s="70" t="str">
        <x:f>IF(OR(K111="",H111="",J111="",L111=""),"",K111-H111-J111-L111)</x:f>
      </x:c>
      <x:c r="N111" s="140" t="str">
        <x:f>IF(C111=0,"",D111/C111)</x:f>
      </x:c>
    </x:row>
    <x:row r="112" ht="20" customHeight="1">
      <x:c r="A112" s="28"/>
      <x:c r="B112" s="15"/>
      <x:c r="C112" s="15" t="str">
        <x:f>IF(OR(A112="",B112=""),"",COUNTIFS('11_Intake_Daily'!$C:$C,A112,'11_Intake_Daily'!$D:$D,B112))</x:f>
      </x:c>
      <x:c r="D112" s="15" t="str">
        <x:f>IF(OR(A112="",B112=""),"",COUNTIFS('11_Intake_Daily'!$C:$C,A112,'11_Intake_Daily'!$D:$D,B112,'11_Intake_Daily'!$AA:$AA,"Yes"))</x:f>
      </x:c>
      <x:c r="E112" s="15" t="str">
        <x:f>IF(OR(A112="",B112=""),"",COUNTIFS('20_Proof_Queue'!$B:$B,A112,'20_Proof_Queue'!$C:$C,B112,'20_Proof_Queue'!$H:$H,"&lt;&gt;Closed"))</x:f>
      </x:c>
      <x:c r="F112" s="138" t="str">
        <x:f>IF(OR(A112="",B112=""),"",SUMIFS('12_Production_Log'!$H:$H,'12_Production_Log'!$B:$B,A112,'12_Production_Log'!$C:$C,B112))</x:f>
      </x:c>
      <x:c r="G112" s="136" t="str">
        <x:f>IF(OR(A112="",B112=""),"",SUMIFS('13_Labor_Time'!$J:$J,'13_Labor_Time'!$B:$B,A112,'13_Labor_Time'!$C:$C,B112))</x:f>
      </x:c>
      <x:c r="H112" s="70" t="str">
        <x:f>IF(OR(A112="",B112=""),"",SUMIFS('14_Materials_Log'!$I:$I,'14_Materials_Log'!$B:$B,A112,'14_Materials_Log'!$C:$C,B112))</x:f>
      </x:c>
      <x:c r="I112" s="136" t="str">
        <x:f>IF(OR(A112="",B112=""),"",SUMIFS('15_Equipment_Log'!$I:$I,'15_Equipment_Log'!$B:$B,A112,'15_Equipment_Log'!$C:$C,B112))</x:f>
      </x:c>
      <x:c r="J112" s="70" t="str">
        <x:f>IF(OR(A112="",B112=""),"",SUMIFS('15_Equipment_Log'!$M:$M,'15_Equipment_Log'!$B:$B,A112,'15_Equipment_Log'!$C:$C,B112))</x:f>
      </x:c>
      <x:c r="K112" s="70" t="str">
        <x:f>IF(OR(A112="",B112=""),"",SUMIFS('12_Production_Log'!$M:$M,'12_Production_Log'!$B:$B,A112,'12_Production_Log'!$C:$C,B112)+SUMIFS('14_Materials_Log'!$I:$I,'14_Materials_Log'!$B:$B,A112,'14_Materials_Log'!$C:$C,B112,'14_Materials_Log'!$J:$J,"Yes"))</x:f>
      </x:c>
      <x:c r="L112" s="70" t="str">
        <x:f>IF(OR(A112="",B112=""),"",SUMIFS('13_Labor_Time'!$L:$L,'13_Labor_Time'!$B:$B,A112,'13_Labor_Time'!$C:$C,B112))</x:f>
      </x:c>
      <x:c r="M112" s="70" t="str">
        <x:f>IF(OR(K112="",H112="",J112="",L112=""),"",K112-H112-J112-L112)</x:f>
      </x:c>
      <x:c r="N112" s="140" t="str">
        <x:f>IF(C112=0,"",D112/C112)</x:f>
      </x:c>
    </x:row>
    <x:row r="113" ht="20" customHeight="1">
      <x:c r="A113" s="28"/>
      <x:c r="B113" s="15"/>
      <x:c r="C113" s="15" t="str">
        <x:f>IF(OR(A113="",B113=""),"",COUNTIFS('11_Intake_Daily'!$C:$C,A113,'11_Intake_Daily'!$D:$D,B113))</x:f>
      </x:c>
      <x:c r="D113" s="15" t="str">
        <x:f>IF(OR(A113="",B113=""),"",COUNTIFS('11_Intake_Daily'!$C:$C,A113,'11_Intake_Daily'!$D:$D,B113,'11_Intake_Daily'!$AA:$AA,"Yes"))</x:f>
      </x:c>
      <x:c r="E113" s="15" t="str">
        <x:f>IF(OR(A113="",B113=""),"",COUNTIFS('20_Proof_Queue'!$B:$B,A113,'20_Proof_Queue'!$C:$C,B113,'20_Proof_Queue'!$H:$H,"&lt;&gt;Closed"))</x:f>
      </x:c>
      <x:c r="F113" s="138" t="str">
        <x:f>IF(OR(A113="",B113=""),"",SUMIFS('12_Production_Log'!$H:$H,'12_Production_Log'!$B:$B,A113,'12_Production_Log'!$C:$C,B113))</x:f>
      </x:c>
      <x:c r="G113" s="136" t="str">
        <x:f>IF(OR(A113="",B113=""),"",SUMIFS('13_Labor_Time'!$J:$J,'13_Labor_Time'!$B:$B,A113,'13_Labor_Time'!$C:$C,B113))</x:f>
      </x:c>
      <x:c r="H113" s="70" t="str">
        <x:f>IF(OR(A113="",B113=""),"",SUMIFS('14_Materials_Log'!$I:$I,'14_Materials_Log'!$B:$B,A113,'14_Materials_Log'!$C:$C,B113))</x:f>
      </x:c>
      <x:c r="I113" s="136" t="str">
        <x:f>IF(OR(A113="",B113=""),"",SUMIFS('15_Equipment_Log'!$I:$I,'15_Equipment_Log'!$B:$B,A113,'15_Equipment_Log'!$C:$C,B113))</x:f>
      </x:c>
      <x:c r="J113" s="70" t="str">
        <x:f>IF(OR(A113="",B113=""),"",SUMIFS('15_Equipment_Log'!$M:$M,'15_Equipment_Log'!$B:$B,A113,'15_Equipment_Log'!$C:$C,B113))</x:f>
      </x:c>
      <x:c r="K113" s="70" t="str">
        <x:f>IF(OR(A113="",B113=""),"",SUMIFS('12_Production_Log'!$M:$M,'12_Production_Log'!$B:$B,A113,'12_Production_Log'!$C:$C,B113)+SUMIFS('14_Materials_Log'!$I:$I,'14_Materials_Log'!$B:$B,A113,'14_Materials_Log'!$C:$C,B113,'14_Materials_Log'!$J:$J,"Yes"))</x:f>
      </x:c>
      <x:c r="L113" s="70" t="str">
        <x:f>IF(OR(A113="",B113=""),"",SUMIFS('13_Labor_Time'!$L:$L,'13_Labor_Time'!$B:$B,A113,'13_Labor_Time'!$C:$C,B113))</x:f>
      </x:c>
      <x:c r="M113" s="70" t="str">
        <x:f>IF(OR(K113="",H113="",J113="",L113=""),"",K113-H113-J113-L113)</x:f>
      </x:c>
      <x:c r="N113" s="140" t="str">
        <x:f>IF(C113=0,"",D113/C113)</x:f>
      </x:c>
    </x:row>
    <x:row r="114" ht="20" customHeight="1">
      <x:c r="A114" s="28"/>
      <x:c r="B114" s="15"/>
      <x:c r="C114" s="15" t="str">
        <x:f>IF(OR(A114="",B114=""),"",COUNTIFS('11_Intake_Daily'!$C:$C,A114,'11_Intake_Daily'!$D:$D,B114))</x:f>
      </x:c>
      <x:c r="D114" s="15" t="str">
        <x:f>IF(OR(A114="",B114=""),"",COUNTIFS('11_Intake_Daily'!$C:$C,A114,'11_Intake_Daily'!$D:$D,B114,'11_Intake_Daily'!$AA:$AA,"Yes"))</x:f>
      </x:c>
      <x:c r="E114" s="15" t="str">
        <x:f>IF(OR(A114="",B114=""),"",COUNTIFS('20_Proof_Queue'!$B:$B,A114,'20_Proof_Queue'!$C:$C,B114,'20_Proof_Queue'!$H:$H,"&lt;&gt;Closed"))</x:f>
      </x:c>
      <x:c r="F114" s="138" t="str">
        <x:f>IF(OR(A114="",B114=""),"",SUMIFS('12_Production_Log'!$H:$H,'12_Production_Log'!$B:$B,A114,'12_Production_Log'!$C:$C,B114))</x:f>
      </x:c>
      <x:c r="G114" s="136" t="str">
        <x:f>IF(OR(A114="",B114=""),"",SUMIFS('13_Labor_Time'!$J:$J,'13_Labor_Time'!$B:$B,A114,'13_Labor_Time'!$C:$C,B114))</x:f>
      </x:c>
      <x:c r="H114" s="70" t="str">
        <x:f>IF(OR(A114="",B114=""),"",SUMIFS('14_Materials_Log'!$I:$I,'14_Materials_Log'!$B:$B,A114,'14_Materials_Log'!$C:$C,B114))</x:f>
      </x:c>
      <x:c r="I114" s="136" t="str">
        <x:f>IF(OR(A114="",B114=""),"",SUMIFS('15_Equipment_Log'!$I:$I,'15_Equipment_Log'!$B:$B,A114,'15_Equipment_Log'!$C:$C,B114))</x:f>
      </x:c>
      <x:c r="J114" s="70" t="str">
        <x:f>IF(OR(A114="",B114=""),"",SUMIFS('15_Equipment_Log'!$M:$M,'15_Equipment_Log'!$B:$B,A114,'15_Equipment_Log'!$C:$C,B114))</x:f>
      </x:c>
      <x:c r="K114" s="70" t="str">
        <x:f>IF(OR(A114="",B114=""),"",SUMIFS('12_Production_Log'!$M:$M,'12_Production_Log'!$B:$B,A114,'12_Production_Log'!$C:$C,B114)+SUMIFS('14_Materials_Log'!$I:$I,'14_Materials_Log'!$B:$B,A114,'14_Materials_Log'!$C:$C,B114,'14_Materials_Log'!$J:$J,"Yes"))</x:f>
      </x:c>
      <x:c r="L114" s="70" t="str">
        <x:f>IF(OR(A114="",B114=""),"",SUMIFS('13_Labor_Time'!$L:$L,'13_Labor_Time'!$B:$B,A114,'13_Labor_Time'!$C:$C,B114))</x:f>
      </x:c>
      <x:c r="M114" s="70" t="str">
        <x:f>IF(OR(K114="",H114="",J114="",L114=""),"",K114-H114-J114-L114)</x:f>
      </x:c>
      <x:c r="N114" s="140" t="str">
        <x:f>IF(C114=0,"",D114/C114)</x:f>
      </x:c>
    </x:row>
    <x:row r="115" ht="20" customHeight="1">
      <x:c r="A115" s="28"/>
      <x:c r="B115" s="15"/>
      <x:c r="C115" s="15" t="str">
        <x:f>IF(OR(A115="",B115=""),"",COUNTIFS('11_Intake_Daily'!$C:$C,A115,'11_Intake_Daily'!$D:$D,B115))</x:f>
      </x:c>
      <x:c r="D115" s="15" t="str">
        <x:f>IF(OR(A115="",B115=""),"",COUNTIFS('11_Intake_Daily'!$C:$C,A115,'11_Intake_Daily'!$D:$D,B115,'11_Intake_Daily'!$AA:$AA,"Yes"))</x:f>
      </x:c>
      <x:c r="E115" s="15" t="str">
        <x:f>IF(OR(A115="",B115=""),"",COUNTIFS('20_Proof_Queue'!$B:$B,A115,'20_Proof_Queue'!$C:$C,B115,'20_Proof_Queue'!$H:$H,"&lt;&gt;Closed"))</x:f>
      </x:c>
      <x:c r="F115" s="138" t="str">
        <x:f>IF(OR(A115="",B115=""),"",SUMIFS('12_Production_Log'!$H:$H,'12_Production_Log'!$B:$B,A115,'12_Production_Log'!$C:$C,B115))</x:f>
      </x:c>
      <x:c r="G115" s="136" t="str">
        <x:f>IF(OR(A115="",B115=""),"",SUMIFS('13_Labor_Time'!$J:$J,'13_Labor_Time'!$B:$B,A115,'13_Labor_Time'!$C:$C,B115))</x:f>
      </x:c>
      <x:c r="H115" s="70" t="str">
        <x:f>IF(OR(A115="",B115=""),"",SUMIFS('14_Materials_Log'!$I:$I,'14_Materials_Log'!$B:$B,A115,'14_Materials_Log'!$C:$C,B115))</x:f>
      </x:c>
      <x:c r="I115" s="136" t="str">
        <x:f>IF(OR(A115="",B115=""),"",SUMIFS('15_Equipment_Log'!$I:$I,'15_Equipment_Log'!$B:$B,A115,'15_Equipment_Log'!$C:$C,B115))</x:f>
      </x:c>
      <x:c r="J115" s="70" t="str">
        <x:f>IF(OR(A115="",B115=""),"",SUMIFS('15_Equipment_Log'!$M:$M,'15_Equipment_Log'!$B:$B,A115,'15_Equipment_Log'!$C:$C,B115))</x:f>
      </x:c>
      <x:c r="K115" s="70" t="str">
        <x:f>IF(OR(A115="",B115=""),"",SUMIFS('12_Production_Log'!$M:$M,'12_Production_Log'!$B:$B,A115,'12_Production_Log'!$C:$C,B115)+SUMIFS('14_Materials_Log'!$I:$I,'14_Materials_Log'!$B:$B,A115,'14_Materials_Log'!$C:$C,B115,'14_Materials_Log'!$J:$J,"Yes"))</x:f>
      </x:c>
      <x:c r="L115" s="70" t="str">
        <x:f>IF(OR(A115="",B115=""),"",SUMIFS('13_Labor_Time'!$L:$L,'13_Labor_Time'!$B:$B,A115,'13_Labor_Time'!$C:$C,B115))</x:f>
      </x:c>
      <x:c r="M115" s="70" t="str">
        <x:f>IF(OR(K115="",H115="",J115="",L115=""),"",K115-H115-J115-L115)</x:f>
      </x:c>
      <x:c r="N115" s="140" t="str">
        <x:f>IF(C115=0,"",D115/C115)</x:f>
      </x:c>
    </x:row>
    <x:row r="116" ht="20" customHeight="1">
      <x:c r="A116" s="28"/>
      <x:c r="B116" s="15"/>
      <x:c r="C116" s="15" t="str">
        <x:f>IF(OR(A116="",B116=""),"",COUNTIFS('11_Intake_Daily'!$C:$C,A116,'11_Intake_Daily'!$D:$D,B116))</x:f>
      </x:c>
      <x:c r="D116" s="15" t="str">
        <x:f>IF(OR(A116="",B116=""),"",COUNTIFS('11_Intake_Daily'!$C:$C,A116,'11_Intake_Daily'!$D:$D,B116,'11_Intake_Daily'!$AA:$AA,"Yes"))</x:f>
      </x:c>
      <x:c r="E116" s="15" t="str">
        <x:f>IF(OR(A116="",B116=""),"",COUNTIFS('20_Proof_Queue'!$B:$B,A116,'20_Proof_Queue'!$C:$C,B116,'20_Proof_Queue'!$H:$H,"&lt;&gt;Closed"))</x:f>
      </x:c>
      <x:c r="F116" s="138" t="str">
        <x:f>IF(OR(A116="",B116=""),"",SUMIFS('12_Production_Log'!$H:$H,'12_Production_Log'!$B:$B,A116,'12_Production_Log'!$C:$C,B116))</x:f>
      </x:c>
      <x:c r="G116" s="136" t="str">
        <x:f>IF(OR(A116="",B116=""),"",SUMIFS('13_Labor_Time'!$J:$J,'13_Labor_Time'!$B:$B,A116,'13_Labor_Time'!$C:$C,B116))</x:f>
      </x:c>
      <x:c r="H116" s="70" t="str">
        <x:f>IF(OR(A116="",B116=""),"",SUMIFS('14_Materials_Log'!$I:$I,'14_Materials_Log'!$B:$B,A116,'14_Materials_Log'!$C:$C,B116))</x:f>
      </x:c>
      <x:c r="I116" s="136" t="str">
        <x:f>IF(OR(A116="",B116=""),"",SUMIFS('15_Equipment_Log'!$I:$I,'15_Equipment_Log'!$B:$B,A116,'15_Equipment_Log'!$C:$C,B116))</x:f>
      </x:c>
      <x:c r="J116" s="70" t="str">
        <x:f>IF(OR(A116="",B116=""),"",SUMIFS('15_Equipment_Log'!$M:$M,'15_Equipment_Log'!$B:$B,A116,'15_Equipment_Log'!$C:$C,B116))</x:f>
      </x:c>
      <x:c r="K116" s="70" t="str">
        <x:f>IF(OR(A116="",B116=""),"",SUMIFS('12_Production_Log'!$M:$M,'12_Production_Log'!$B:$B,A116,'12_Production_Log'!$C:$C,B116)+SUMIFS('14_Materials_Log'!$I:$I,'14_Materials_Log'!$B:$B,A116,'14_Materials_Log'!$C:$C,B116,'14_Materials_Log'!$J:$J,"Yes"))</x:f>
      </x:c>
      <x:c r="L116" s="70" t="str">
        <x:f>IF(OR(A116="",B116=""),"",SUMIFS('13_Labor_Time'!$L:$L,'13_Labor_Time'!$B:$B,A116,'13_Labor_Time'!$C:$C,B116))</x:f>
      </x:c>
      <x:c r="M116" s="70" t="str">
        <x:f>IF(OR(K116="",H116="",J116="",L116=""),"",K116-H116-J116-L116)</x:f>
      </x:c>
      <x:c r="N116" s="140" t="str">
        <x:f>IF(C116=0,"",D116/C116)</x:f>
      </x:c>
    </x:row>
    <x:row r="117" ht="20" customHeight="1">
      <x:c r="A117" s="28"/>
      <x:c r="B117" s="15"/>
      <x:c r="C117" s="15" t="str">
        <x:f>IF(OR(A117="",B117=""),"",COUNTIFS('11_Intake_Daily'!$C:$C,A117,'11_Intake_Daily'!$D:$D,B117))</x:f>
      </x:c>
      <x:c r="D117" s="15" t="str">
        <x:f>IF(OR(A117="",B117=""),"",COUNTIFS('11_Intake_Daily'!$C:$C,A117,'11_Intake_Daily'!$D:$D,B117,'11_Intake_Daily'!$AA:$AA,"Yes"))</x:f>
      </x:c>
      <x:c r="E117" s="15" t="str">
        <x:f>IF(OR(A117="",B117=""),"",COUNTIFS('20_Proof_Queue'!$B:$B,A117,'20_Proof_Queue'!$C:$C,B117,'20_Proof_Queue'!$H:$H,"&lt;&gt;Closed"))</x:f>
      </x:c>
      <x:c r="F117" s="138" t="str">
        <x:f>IF(OR(A117="",B117=""),"",SUMIFS('12_Production_Log'!$H:$H,'12_Production_Log'!$B:$B,A117,'12_Production_Log'!$C:$C,B117))</x:f>
      </x:c>
      <x:c r="G117" s="136" t="str">
        <x:f>IF(OR(A117="",B117=""),"",SUMIFS('13_Labor_Time'!$J:$J,'13_Labor_Time'!$B:$B,A117,'13_Labor_Time'!$C:$C,B117))</x:f>
      </x:c>
      <x:c r="H117" s="70" t="str">
        <x:f>IF(OR(A117="",B117=""),"",SUMIFS('14_Materials_Log'!$I:$I,'14_Materials_Log'!$B:$B,A117,'14_Materials_Log'!$C:$C,B117))</x:f>
      </x:c>
      <x:c r="I117" s="136" t="str">
        <x:f>IF(OR(A117="",B117=""),"",SUMIFS('15_Equipment_Log'!$I:$I,'15_Equipment_Log'!$B:$B,A117,'15_Equipment_Log'!$C:$C,B117))</x:f>
      </x:c>
      <x:c r="J117" s="70" t="str">
        <x:f>IF(OR(A117="",B117=""),"",SUMIFS('15_Equipment_Log'!$M:$M,'15_Equipment_Log'!$B:$B,A117,'15_Equipment_Log'!$C:$C,B117))</x:f>
      </x:c>
      <x:c r="K117" s="70" t="str">
        <x:f>IF(OR(A117="",B117=""),"",SUMIFS('12_Production_Log'!$M:$M,'12_Production_Log'!$B:$B,A117,'12_Production_Log'!$C:$C,B117)+SUMIFS('14_Materials_Log'!$I:$I,'14_Materials_Log'!$B:$B,A117,'14_Materials_Log'!$C:$C,B117,'14_Materials_Log'!$J:$J,"Yes"))</x:f>
      </x:c>
      <x:c r="L117" s="70" t="str">
        <x:f>IF(OR(A117="",B117=""),"",SUMIFS('13_Labor_Time'!$L:$L,'13_Labor_Time'!$B:$B,A117,'13_Labor_Time'!$C:$C,B117))</x:f>
      </x:c>
      <x:c r="M117" s="70" t="str">
        <x:f>IF(OR(K117="",H117="",J117="",L117=""),"",K117-H117-J117-L117)</x:f>
      </x:c>
      <x:c r="N117" s="140" t="str">
        <x:f>IF(C117=0,"",D117/C117)</x:f>
      </x:c>
    </x:row>
    <x:row r="118" ht="20" customHeight="1">
      <x:c r="A118" s="28"/>
      <x:c r="B118" s="15"/>
      <x:c r="C118" s="15" t="str">
        <x:f>IF(OR(A118="",B118=""),"",COUNTIFS('11_Intake_Daily'!$C:$C,A118,'11_Intake_Daily'!$D:$D,B118))</x:f>
      </x:c>
      <x:c r="D118" s="15" t="str">
        <x:f>IF(OR(A118="",B118=""),"",COUNTIFS('11_Intake_Daily'!$C:$C,A118,'11_Intake_Daily'!$D:$D,B118,'11_Intake_Daily'!$AA:$AA,"Yes"))</x:f>
      </x:c>
      <x:c r="E118" s="15" t="str">
        <x:f>IF(OR(A118="",B118=""),"",COUNTIFS('20_Proof_Queue'!$B:$B,A118,'20_Proof_Queue'!$C:$C,B118,'20_Proof_Queue'!$H:$H,"&lt;&gt;Closed"))</x:f>
      </x:c>
      <x:c r="F118" s="138" t="str">
        <x:f>IF(OR(A118="",B118=""),"",SUMIFS('12_Production_Log'!$H:$H,'12_Production_Log'!$B:$B,A118,'12_Production_Log'!$C:$C,B118))</x:f>
      </x:c>
      <x:c r="G118" s="136" t="str">
        <x:f>IF(OR(A118="",B118=""),"",SUMIFS('13_Labor_Time'!$J:$J,'13_Labor_Time'!$B:$B,A118,'13_Labor_Time'!$C:$C,B118))</x:f>
      </x:c>
      <x:c r="H118" s="70" t="str">
        <x:f>IF(OR(A118="",B118=""),"",SUMIFS('14_Materials_Log'!$I:$I,'14_Materials_Log'!$B:$B,A118,'14_Materials_Log'!$C:$C,B118))</x:f>
      </x:c>
      <x:c r="I118" s="136" t="str">
        <x:f>IF(OR(A118="",B118=""),"",SUMIFS('15_Equipment_Log'!$I:$I,'15_Equipment_Log'!$B:$B,A118,'15_Equipment_Log'!$C:$C,B118))</x:f>
      </x:c>
      <x:c r="J118" s="70" t="str">
        <x:f>IF(OR(A118="",B118=""),"",SUMIFS('15_Equipment_Log'!$M:$M,'15_Equipment_Log'!$B:$B,A118,'15_Equipment_Log'!$C:$C,B118))</x:f>
      </x:c>
      <x:c r="K118" s="70" t="str">
        <x:f>IF(OR(A118="",B118=""),"",SUMIFS('12_Production_Log'!$M:$M,'12_Production_Log'!$B:$B,A118,'12_Production_Log'!$C:$C,B118)+SUMIFS('14_Materials_Log'!$I:$I,'14_Materials_Log'!$B:$B,A118,'14_Materials_Log'!$C:$C,B118,'14_Materials_Log'!$J:$J,"Yes"))</x:f>
      </x:c>
      <x:c r="L118" s="70" t="str">
        <x:f>IF(OR(A118="",B118=""),"",SUMIFS('13_Labor_Time'!$L:$L,'13_Labor_Time'!$B:$B,A118,'13_Labor_Time'!$C:$C,B118))</x:f>
      </x:c>
      <x:c r="M118" s="70" t="str">
        <x:f>IF(OR(K118="",H118="",J118="",L118=""),"",K118-H118-J118-L118)</x:f>
      </x:c>
      <x:c r="N118" s="140" t="str">
        <x:f>IF(C118=0,"",D118/C118)</x:f>
      </x:c>
    </x:row>
    <x:row r="119" ht="20" customHeight="1">
      <x:c r="A119" s="28"/>
      <x:c r="B119" s="15"/>
      <x:c r="C119" s="15" t="str">
        <x:f>IF(OR(A119="",B119=""),"",COUNTIFS('11_Intake_Daily'!$C:$C,A119,'11_Intake_Daily'!$D:$D,B119))</x:f>
      </x:c>
      <x:c r="D119" s="15" t="str">
        <x:f>IF(OR(A119="",B119=""),"",COUNTIFS('11_Intake_Daily'!$C:$C,A119,'11_Intake_Daily'!$D:$D,B119,'11_Intake_Daily'!$AA:$AA,"Yes"))</x:f>
      </x:c>
      <x:c r="E119" s="15" t="str">
        <x:f>IF(OR(A119="",B119=""),"",COUNTIFS('20_Proof_Queue'!$B:$B,A119,'20_Proof_Queue'!$C:$C,B119,'20_Proof_Queue'!$H:$H,"&lt;&gt;Closed"))</x:f>
      </x:c>
      <x:c r="F119" s="138" t="str">
        <x:f>IF(OR(A119="",B119=""),"",SUMIFS('12_Production_Log'!$H:$H,'12_Production_Log'!$B:$B,A119,'12_Production_Log'!$C:$C,B119))</x:f>
      </x:c>
      <x:c r="G119" s="136" t="str">
        <x:f>IF(OR(A119="",B119=""),"",SUMIFS('13_Labor_Time'!$J:$J,'13_Labor_Time'!$B:$B,A119,'13_Labor_Time'!$C:$C,B119))</x:f>
      </x:c>
      <x:c r="H119" s="70" t="str">
        <x:f>IF(OR(A119="",B119=""),"",SUMIFS('14_Materials_Log'!$I:$I,'14_Materials_Log'!$B:$B,A119,'14_Materials_Log'!$C:$C,B119))</x:f>
      </x:c>
      <x:c r="I119" s="136" t="str">
        <x:f>IF(OR(A119="",B119=""),"",SUMIFS('15_Equipment_Log'!$I:$I,'15_Equipment_Log'!$B:$B,A119,'15_Equipment_Log'!$C:$C,B119))</x:f>
      </x:c>
      <x:c r="J119" s="70" t="str">
        <x:f>IF(OR(A119="",B119=""),"",SUMIFS('15_Equipment_Log'!$M:$M,'15_Equipment_Log'!$B:$B,A119,'15_Equipment_Log'!$C:$C,B119))</x:f>
      </x:c>
      <x:c r="K119" s="70" t="str">
        <x:f>IF(OR(A119="",B119=""),"",SUMIFS('12_Production_Log'!$M:$M,'12_Production_Log'!$B:$B,A119,'12_Production_Log'!$C:$C,B119)+SUMIFS('14_Materials_Log'!$I:$I,'14_Materials_Log'!$B:$B,A119,'14_Materials_Log'!$C:$C,B119,'14_Materials_Log'!$J:$J,"Yes"))</x:f>
      </x:c>
      <x:c r="L119" s="70" t="str">
        <x:f>IF(OR(A119="",B119=""),"",SUMIFS('13_Labor_Time'!$L:$L,'13_Labor_Time'!$B:$B,A119,'13_Labor_Time'!$C:$C,B119))</x:f>
      </x:c>
      <x:c r="M119" s="70" t="str">
        <x:f>IF(OR(K119="",H119="",J119="",L119=""),"",K119-H119-J119-L119)</x:f>
      </x:c>
      <x:c r="N119" s="140" t="str">
        <x:f>IF(C119=0,"",D119/C119)</x:f>
      </x:c>
    </x:row>
    <x:row r="120" ht="20" customHeight="1">
      <x:c r="A120" s="28"/>
      <x:c r="B120" s="15"/>
      <x:c r="C120" s="15" t="str">
        <x:f>IF(OR(A120="",B120=""),"",COUNTIFS('11_Intake_Daily'!$C:$C,A120,'11_Intake_Daily'!$D:$D,B120))</x:f>
      </x:c>
      <x:c r="D120" s="15" t="str">
        <x:f>IF(OR(A120="",B120=""),"",COUNTIFS('11_Intake_Daily'!$C:$C,A120,'11_Intake_Daily'!$D:$D,B120,'11_Intake_Daily'!$AA:$AA,"Yes"))</x:f>
      </x:c>
      <x:c r="E120" s="15" t="str">
        <x:f>IF(OR(A120="",B120=""),"",COUNTIFS('20_Proof_Queue'!$B:$B,A120,'20_Proof_Queue'!$C:$C,B120,'20_Proof_Queue'!$H:$H,"&lt;&gt;Closed"))</x:f>
      </x:c>
      <x:c r="F120" s="138" t="str">
        <x:f>IF(OR(A120="",B120=""),"",SUMIFS('12_Production_Log'!$H:$H,'12_Production_Log'!$B:$B,A120,'12_Production_Log'!$C:$C,B120))</x:f>
      </x:c>
      <x:c r="G120" s="136" t="str">
        <x:f>IF(OR(A120="",B120=""),"",SUMIFS('13_Labor_Time'!$J:$J,'13_Labor_Time'!$B:$B,A120,'13_Labor_Time'!$C:$C,B120))</x:f>
      </x:c>
      <x:c r="H120" s="70" t="str">
        <x:f>IF(OR(A120="",B120=""),"",SUMIFS('14_Materials_Log'!$I:$I,'14_Materials_Log'!$B:$B,A120,'14_Materials_Log'!$C:$C,B120))</x:f>
      </x:c>
      <x:c r="I120" s="136" t="str">
        <x:f>IF(OR(A120="",B120=""),"",SUMIFS('15_Equipment_Log'!$I:$I,'15_Equipment_Log'!$B:$B,A120,'15_Equipment_Log'!$C:$C,B120))</x:f>
      </x:c>
      <x:c r="J120" s="70" t="str">
        <x:f>IF(OR(A120="",B120=""),"",SUMIFS('15_Equipment_Log'!$M:$M,'15_Equipment_Log'!$B:$B,A120,'15_Equipment_Log'!$C:$C,B120))</x:f>
      </x:c>
      <x:c r="K120" s="70" t="str">
        <x:f>IF(OR(A120="",B120=""),"",SUMIFS('12_Production_Log'!$M:$M,'12_Production_Log'!$B:$B,A120,'12_Production_Log'!$C:$C,B120)+SUMIFS('14_Materials_Log'!$I:$I,'14_Materials_Log'!$B:$B,A120,'14_Materials_Log'!$C:$C,B120,'14_Materials_Log'!$J:$J,"Yes"))</x:f>
      </x:c>
      <x:c r="L120" s="70" t="str">
        <x:f>IF(OR(A120="",B120=""),"",SUMIFS('13_Labor_Time'!$L:$L,'13_Labor_Time'!$B:$B,A120,'13_Labor_Time'!$C:$C,B120))</x:f>
      </x:c>
      <x:c r="M120" s="70" t="str">
        <x:f>IF(OR(K120="",H120="",J120="",L120=""),"",K120-H120-J120-L120)</x:f>
      </x:c>
      <x:c r="N120" s="140" t="str">
        <x:f>IF(C120=0,"",D120/C120)</x:f>
      </x:c>
    </x:row>
    <x:row r="121" ht="20" customHeight="1">
      <x:c r="A121" s="28"/>
      <x:c r="B121" s="15"/>
      <x:c r="C121" s="15" t="str">
        <x:f>IF(OR(A121="",B121=""),"",COUNTIFS('11_Intake_Daily'!$C:$C,A121,'11_Intake_Daily'!$D:$D,B121))</x:f>
      </x:c>
      <x:c r="D121" s="15" t="str">
        <x:f>IF(OR(A121="",B121=""),"",COUNTIFS('11_Intake_Daily'!$C:$C,A121,'11_Intake_Daily'!$D:$D,B121,'11_Intake_Daily'!$AA:$AA,"Yes"))</x:f>
      </x:c>
      <x:c r="E121" s="15" t="str">
        <x:f>IF(OR(A121="",B121=""),"",COUNTIFS('20_Proof_Queue'!$B:$B,A121,'20_Proof_Queue'!$C:$C,B121,'20_Proof_Queue'!$H:$H,"&lt;&gt;Closed"))</x:f>
      </x:c>
      <x:c r="F121" s="138" t="str">
        <x:f>IF(OR(A121="",B121=""),"",SUMIFS('12_Production_Log'!$H:$H,'12_Production_Log'!$B:$B,A121,'12_Production_Log'!$C:$C,B121))</x:f>
      </x:c>
      <x:c r="G121" s="136" t="str">
        <x:f>IF(OR(A121="",B121=""),"",SUMIFS('13_Labor_Time'!$J:$J,'13_Labor_Time'!$B:$B,A121,'13_Labor_Time'!$C:$C,B121))</x:f>
      </x:c>
      <x:c r="H121" s="70" t="str">
        <x:f>IF(OR(A121="",B121=""),"",SUMIFS('14_Materials_Log'!$I:$I,'14_Materials_Log'!$B:$B,A121,'14_Materials_Log'!$C:$C,B121))</x:f>
      </x:c>
      <x:c r="I121" s="136" t="str">
        <x:f>IF(OR(A121="",B121=""),"",SUMIFS('15_Equipment_Log'!$I:$I,'15_Equipment_Log'!$B:$B,A121,'15_Equipment_Log'!$C:$C,B121))</x:f>
      </x:c>
      <x:c r="J121" s="70" t="str">
        <x:f>IF(OR(A121="",B121=""),"",SUMIFS('15_Equipment_Log'!$M:$M,'15_Equipment_Log'!$B:$B,A121,'15_Equipment_Log'!$C:$C,B121))</x:f>
      </x:c>
      <x:c r="K121" s="70" t="str">
        <x:f>IF(OR(A121="",B121=""),"",SUMIFS('12_Production_Log'!$M:$M,'12_Production_Log'!$B:$B,A121,'12_Production_Log'!$C:$C,B121)+SUMIFS('14_Materials_Log'!$I:$I,'14_Materials_Log'!$B:$B,A121,'14_Materials_Log'!$C:$C,B121,'14_Materials_Log'!$J:$J,"Yes"))</x:f>
      </x:c>
      <x:c r="L121" s="70" t="str">
        <x:f>IF(OR(A121="",B121=""),"",SUMIFS('13_Labor_Time'!$L:$L,'13_Labor_Time'!$B:$B,A121,'13_Labor_Time'!$C:$C,B121))</x:f>
      </x:c>
      <x:c r="M121" s="70" t="str">
        <x:f>IF(OR(K121="",H121="",J121="",L121=""),"",K121-H121-J121-L121)</x:f>
      </x:c>
      <x:c r="N121" s="140" t="str">
        <x:f>IF(C121=0,"",D121/C121)</x:f>
      </x:c>
    </x:row>
  </x:sheetData>
  <x:pageMargins left="0.7" right="0.7" top="0.75" bottom="0.75" header="0.3" footer="0.3"/>
  <x:tableParts count="1">
    <x:tablePart xmlns:r="http://schemas.openxmlformats.org/officeDocument/2006/relationships" r:id="R72327f24c42f40ad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14" hidden="0" customWidth="1"/>
    <x:col min="11" max="11" width="18" hidden="0" customWidth="1"/>
    <x:col min="12" max="12" width="14" hidden="0" customWidth="1"/>
  </x:cols>
  <x:sheetData>
    <x:row r="1" ht="30" customHeight="1">
      <x:c r="A1" s="238" t="str">
        <x:v>WeekStart</x:v>
      </x:c>
      <x:c r="B1" s="238" t="str">
        <x:v>ProjectID</x:v>
      </x:c>
      <x:c r="C1" s="238" t="str">
        <x:v>Submissions</x:v>
      </x:c>
      <x:c r="D1" s="238" t="str">
        <x:v>OpenProofIssues</x:v>
      </x:c>
      <x:c r="E1" s="238" t="str">
        <x:v>ProductionQty</x:v>
      </x:c>
      <x:c r="F1" s="238" t="str">
        <x:v>LaborHours</x:v>
      </x:c>
      <x:c r="G1" s="238" t="str">
        <x:v>MaterialCost</x:v>
      </x:c>
      <x:c r="H1" s="238" t="str">
        <x:v>EquipmentCost</x:v>
      </x:c>
      <x:c r="I1" s="238" t="str">
        <x:v>BillableRevenue</x:v>
      </x:c>
      <x:c r="J1" s="238" t="str">
        <x:v>LaborCost</x:v>
      </x:c>
      <x:c r="K1" s="238" t="str">
        <x:v>MarginEstimate</x:v>
      </x:c>
      <x:c r="L1" s="238" t="str">
        <x:v>ProofReadyRate</x:v>
      </x:c>
    </x:row>
    <x:row r="2" ht="20" customHeight="1">
      <x:c r="A2" s="28" t="n">
        <x:v>46202</x:v>
      </x:c>
      <x:c r="B2" s="15" t="str">
        <x:v>PRJ-1001</x:v>
      </x:c>
      <x:c r="C2" s="15" t="n">
        <x:f>IF(OR(A2="",B2=""),"",COUNTIFS('11_Intake_Daily'!$C:$C,"&gt;="&amp;A2,'11_Intake_Daily'!$C:$C,"&lt;"&amp;A2+7,'11_Intake_Daily'!$D:$D,B2))</x:f>
        <x:v>3</x:v>
      </x:c>
      <x:c r="D2" s="15" t="n">
        <x:f>IF(OR(A2="",B2=""),"",COUNTIFS('20_Proof_Queue'!$B:$B,"&gt;="&amp;A2,'20_Proof_Queue'!$B:$B,"&lt;"&amp;A2+7,'20_Proof_Queue'!$C:$C,B2,'20_Proof_Queue'!$H:$H,"&lt;&gt;Closed"))</x:f>
        <x:v>2</x:v>
      </x:c>
      <x:c r="E2" s="138" t="n">
        <x:f>IF(OR(A2="",B2=""),"",SUMIFS('12_Production_Log'!$H:$H,'12_Production_Log'!$B:$B,"&gt;="&amp;A2,'12_Production_Log'!$B:$B,"&lt;"&amp;A2+7,'12_Production_Log'!$C:$C,B2))</x:f>
        <x:v>2970</x:v>
      </x:c>
      <x:c r="F2" s="136" t="n">
        <x:f>IF(OR(A2="",B2=""),"",SUMIFS('13_Labor_Time'!$J:$J,'13_Labor_Time'!$B:$B,"&gt;="&amp;A2,'13_Labor_Time'!$B:$B,"&lt;"&amp;A2+7,'13_Labor_Time'!$C:$C,B2))</x:f>
        <x:v>44.5</x:v>
      </x:c>
      <x:c r="G2" s="70" t="n">
        <x:f>IF(OR(A2="",B2=""),"",SUMIFS('14_Materials_Log'!$I:$I,'14_Materials_Log'!$B:$B,"&gt;="&amp;A2,'14_Materials_Log'!$B:$B,"&lt;"&amp;A2+7,'14_Materials_Log'!$C:$C,B2))</x:f>
        <x:v>1761</x:v>
      </x:c>
      <x:c r="H2" s="70" t="n">
        <x:f>IF(OR(A2="",B2=""),"",SUMIFS('15_Equipment_Log'!$M:$M,'15_Equipment_Log'!$B:$B,"&gt;="&amp;A2,'15_Equipment_Log'!$B:$B,"&lt;"&amp;A2+7,'15_Equipment_Log'!$C:$C,B2))</x:f>
        <x:v>2404.5</x:v>
      </x:c>
      <x:c r="I2" s="70" t="n">
        <x:f>IF(OR(A2="",B2=""),"",SUMIFS('12_Production_Log'!$M:$M,'12_Production_Log'!$B:$B,"&gt;="&amp;A2,'12_Production_Log'!$B:$B,"&lt;"&amp;A2+7,'12_Production_Log'!$C:$C,B2)+SUMIFS('14_Materials_Log'!$I:$I,'14_Materials_Log'!$B:$B,"&gt;="&amp;A2,'14_Materials_Log'!$B:$B,"&lt;"&amp;A2+7,'14_Materials_Log'!$C:$C,B2,'14_Materials_Log'!$J:$J,"Yes"))</x:f>
        <x:v>31326</x:v>
      </x:c>
      <x:c r="J2" s="70" t="n">
        <x:f>IF(OR(A2="",B2=""),"",SUMIFS('13_Labor_Time'!$L:$L,'13_Labor_Time'!$B:$B,"&gt;="&amp;A2,'13_Labor_Time'!$B:$B,"&lt;"&amp;A2+7,'13_Labor_Time'!$C:$C,B2))</x:f>
        <x:v>1566</x:v>
      </x:c>
      <x:c r="K2" s="70" t="n">
        <x:f>IF(OR(I2="",G2="",H2="",J2=""),"",I2-G2-H2-J2)</x:f>
        <x:v>25594.5</x:v>
      </x:c>
      <x:c r="L2" s="140" t="n">
        <x:f>IF(C2=0,"",COUNTIFS('11_Intake_Daily'!$C:$C,"&gt;="&amp;A2,'11_Intake_Daily'!$C:$C,"&lt;"&amp;A2+7,'11_Intake_Daily'!$D:$D,B2,'11_Intake_Daily'!$AA:$AA,"Yes")/C2)</x:f>
        <x:v>0.6666666666666666</x:v>
      </x:c>
    </x:row>
    <x:row r="3" ht="20" customHeight="1">
      <x:c r="A3" s="28" t="n">
        <x:v>46202</x:v>
      </x:c>
      <x:c r="B3" s="15" t="str">
        <x:v>PRJ-1002</x:v>
      </x:c>
      <x:c r="C3" s="15" t="n">
        <x:f>IF(OR(A3="",B3=""),"",COUNTIFS('11_Intake_Daily'!$C:$C,"&gt;="&amp;A3,'11_Intake_Daily'!$C:$C,"&lt;"&amp;A3+7,'11_Intake_Daily'!$D:$D,B3))</x:f>
        <x:v>1</x:v>
      </x:c>
      <x:c r="D3" s="15" t="n">
        <x:f>IF(OR(A3="",B3=""),"",COUNTIFS('20_Proof_Queue'!$B:$B,"&gt;="&amp;A3,'20_Proof_Queue'!$B:$B,"&lt;"&amp;A3+7,'20_Proof_Queue'!$C:$C,B3,'20_Proof_Queue'!$H:$H,"&lt;&gt;Closed"))</x:f>
        <x:v>1</x:v>
      </x:c>
      <x:c r="E3" s="138" t="n">
        <x:f>IF(OR(A3="",B3=""),"",SUMIFS('12_Production_Log'!$H:$H,'12_Production_Log'!$B:$B,"&gt;="&amp;A3,'12_Production_Log'!$B:$B,"&lt;"&amp;A3+7,'12_Production_Log'!$C:$C,B3))</x:f>
        <x:v>4</x:v>
      </x:c>
      <x:c r="F3" s="136" t="n">
        <x:f>IF(OR(A3="",B3=""),"",SUMIFS('13_Labor_Time'!$J:$J,'13_Labor_Time'!$B:$B,"&gt;="&amp;A3,'13_Labor_Time'!$B:$B,"&lt;"&amp;A3+7,'13_Labor_Time'!$C:$C,B3))</x:f>
        <x:v>7</x:v>
      </x:c>
      <x:c r="G3" s="70" t="n">
        <x:f>IF(OR(A3="",B3=""),"",SUMIFS('14_Materials_Log'!$I:$I,'14_Materials_Log'!$B:$B,"&gt;="&amp;A3,'14_Materials_Log'!$B:$B,"&lt;"&amp;A3+7,'14_Materials_Log'!$C:$C,B3))</x:f>
        <x:v>0</x:v>
      </x:c>
      <x:c r="H3" s="70" t="n">
        <x:f>IF(OR(A3="",B3=""),"",SUMIFS('15_Equipment_Log'!$M:$M,'15_Equipment_Log'!$B:$B,"&gt;="&amp;A3,'15_Equipment_Log'!$B:$B,"&lt;"&amp;A3+7,'15_Equipment_Log'!$C:$C,B3))</x:f>
        <x:v>0</x:v>
      </x:c>
      <x:c r="I3" s="70" t="n">
        <x:f>IF(OR(A3="",B3=""),"",SUMIFS('12_Production_Log'!$M:$M,'12_Production_Log'!$B:$B,"&gt;="&amp;A3,'12_Production_Log'!$B:$B,"&lt;"&amp;A3+7,'12_Production_Log'!$C:$C,B3)+SUMIFS('14_Materials_Log'!$I:$I,'14_Materials_Log'!$B:$B,"&gt;="&amp;A3,'14_Materials_Log'!$B:$B,"&lt;"&amp;A3+7,'14_Materials_Log'!$C:$C,B3,'14_Materials_Log'!$J:$J,"Yes"))</x:f>
        <x:v>740</x:v>
      </x:c>
      <x:c r="J3" s="70" t="n">
        <x:f>IF(OR(A3="",B3=""),"",SUMIFS('13_Labor_Time'!$L:$L,'13_Labor_Time'!$B:$B,"&gt;="&amp;A3,'13_Labor_Time'!$B:$B,"&lt;"&amp;A3+7,'13_Labor_Time'!$C:$C,B3))</x:f>
        <x:v>308</x:v>
      </x:c>
      <x:c r="K3" s="70" t="str">
        <x:f>IF(OR(I3="",G3="",H3="",J3=""),"",I3-G3-H3-J3)</x:f>
      </x:c>
      <x:c r="L3" s="140" t="n">
        <x:f>IF(C3=0,"",COUNTIFS('11_Intake_Daily'!$C:$C,"&gt;="&amp;A3,'11_Intake_Daily'!$C:$C,"&lt;"&amp;A3+7,'11_Intake_Daily'!$D:$D,B3,'11_Intake_Daily'!$AA:$AA,"Yes")/C3)</x:f>
        <x:v>0</x:v>
      </x:c>
    </x:row>
    <x:row r="4" ht="20" customHeight="1">
      <x:c r="A4" s="28" t="n">
        <x:v>46202</x:v>
      </x:c>
      <x:c r="B4" s="15" t="str">
        <x:v>PRJ-1003</x:v>
      </x:c>
      <x:c r="C4" s="15" t="n">
        <x:f>IF(OR(A4="",B4=""),"",COUNTIFS('11_Intake_Daily'!$C:$C,"&gt;="&amp;A4,'11_Intake_Daily'!$C:$C,"&lt;"&amp;A4+7,'11_Intake_Daily'!$D:$D,B4))</x:f>
        <x:v>0</x:v>
      </x:c>
      <x:c r="D4" s="15" t="n">
        <x:f>IF(OR(A4="",B4=""),"",COUNTIFS('20_Proof_Queue'!$B:$B,"&gt;="&amp;A4,'20_Proof_Queue'!$B:$B,"&lt;"&amp;A4+7,'20_Proof_Queue'!$C:$C,B4,'20_Proof_Queue'!$H:$H,"&lt;&gt;Closed"))</x:f>
        <x:v>0</x:v>
      </x:c>
      <x:c r="E4" s="138" t="n">
        <x:f>IF(OR(A4="",B4=""),"",SUMIFS('12_Production_Log'!$H:$H,'12_Production_Log'!$B:$B,"&gt;="&amp;A4,'12_Production_Log'!$B:$B,"&lt;"&amp;A4+7,'12_Production_Log'!$C:$C,B4))</x:f>
        <x:v>0</x:v>
      </x:c>
      <x:c r="F4" s="136" t="n">
        <x:f>IF(OR(A4="",B4=""),"",SUMIFS('13_Labor_Time'!$J:$J,'13_Labor_Time'!$B:$B,"&gt;="&amp;A4,'13_Labor_Time'!$B:$B,"&lt;"&amp;A4+7,'13_Labor_Time'!$C:$C,B4))</x:f>
        <x:v>0</x:v>
      </x:c>
      <x:c r="G4" s="70" t="n">
        <x:f>IF(OR(A4="",B4=""),"",SUMIFS('14_Materials_Log'!$I:$I,'14_Materials_Log'!$B:$B,"&gt;="&amp;A4,'14_Materials_Log'!$B:$B,"&lt;"&amp;A4+7,'14_Materials_Log'!$C:$C,B4))</x:f>
        <x:v>0</x:v>
      </x:c>
      <x:c r="H4" s="70" t="n">
        <x:f>IF(OR(A4="",B4=""),"",SUMIFS('15_Equipment_Log'!$M:$M,'15_Equipment_Log'!$B:$B,"&gt;="&amp;A4,'15_Equipment_Log'!$B:$B,"&lt;"&amp;A4+7,'15_Equipment_Log'!$C:$C,B4))</x:f>
        <x:v>0</x:v>
      </x:c>
      <x:c r="I4" s="70" t="n">
        <x:f>IF(OR(A4="",B4=""),"",SUMIFS('12_Production_Log'!$M:$M,'12_Production_Log'!$B:$B,"&gt;="&amp;A4,'12_Production_Log'!$B:$B,"&lt;"&amp;A4+7,'12_Production_Log'!$C:$C,B4)+SUMIFS('14_Materials_Log'!$I:$I,'14_Materials_Log'!$B:$B,"&gt;="&amp;A4,'14_Materials_Log'!$B:$B,"&lt;"&amp;A4+7,'14_Materials_Log'!$C:$C,B4,'14_Materials_Log'!$J:$J,"Yes"))</x:f>
        <x:v>0</x:v>
      </x:c>
      <x:c r="J4" s="70" t="n">
        <x:f>IF(OR(A4="",B4=""),"",SUMIFS('13_Labor_Time'!$L:$L,'13_Labor_Time'!$B:$B,"&gt;="&amp;A4,'13_Labor_Time'!$B:$B,"&lt;"&amp;A4+7,'13_Labor_Time'!$C:$C,B4))</x:f>
        <x:v>0</x:v>
      </x:c>
      <x:c r="K4" s="70" t="str">
        <x:f>IF(OR(I4="",G4="",H4="",J4=""),"",I4-G4-H4-J4)</x:f>
      </x:c>
      <x:c r="L4" s="140" t="str">
        <x:f>IF(C4=0,"",COUNTIFS('11_Intake_Daily'!$C:$C,"&gt;="&amp;A4,'11_Intake_Daily'!$C:$C,"&lt;"&amp;A4+7,'11_Intake_Daily'!$D:$D,B4,'11_Intake_Daily'!$AA:$AA,"Yes")/C4)</x:f>
      </x:c>
    </x:row>
    <x:row r="5" ht="20" customHeight="1">
      <x:c r="A5" s="28" t="n">
        <x:v>46209</x:v>
      </x:c>
      <x:c r="B5" s="15" t="str">
        <x:v>PRJ-1001</x:v>
      </x:c>
      <x:c r="C5" s="15" t="n">
        <x:f>IF(OR(A5="",B5=""),"",COUNTIFS('11_Intake_Daily'!$C:$C,"&gt;="&amp;A5,'11_Intake_Daily'!$C:$C,"&lt;"&amp;A5+7,'11_Intake_Daily'!$D:$D,B5))</x:f>
        <x:v>0</x:v>
      </x:c>
      <x:c r="D5" s="15" t="n">
        <x:f>IF(OR(A5="",B5=""),"",COUNTIFS('20_Proof_Queue'!$B:$B,"&gt;="&amp;A5,'20_Proof_Queue'!$B:$B,"&lt;"&amp;A5+7,'20_Proof_Queue'!$C:$C,B5,'20_Proof_Queue'!$H:$H,"&lt;&gt;Closed"))</x:f>
        <x:v>0</x:v>
      </x:c>
      <x:c r="E5" s="138" t="n">
        <x:f>IF(OR(A5="",B5=""),"",SUMIFS('12_Production_Log'!$H:$H,'12_Production_Log'!$B:$B,"&gt;="&amp;A5,'12_Production_Log'!$B:$B,"&lt;"&amp;A5+7,'12_Production_Log'!$C:$C,B5))</x:f>
        <x:v>0</x:v>
      </x:c>
      <x:c r="F5" s="136" t="n">
        <x:f>IF(OR(A5="",B5=""),"",SUMIFS('13_Labor_Time'!$J:$J,'13_Labor_Time'!$B:$B,"&gt;="&amp;A5,'13_Labor_Time'!$B:$B,"&lt;"&amp;A5+7,'13_Labor_Time'!$C:$C,B5))</x:f>
        <x:v>0</x:v>
      </x:c>
      <x:c r="G5" s="70" t="n">
        <x:f>IF(OR(A5="",B5=""),"",SUMIFS('14_Materials_Log'!$I:$I,'14_Materials_Log'!$B:$B,"&gt;="&amp;A5,'14_Materials_Log'!$B:$B,"&lt;"&amp;A5+7,'14_Materials_Log'!$C:$C,B5))</x:f>
        <x:v>0</x:v>
      </x:c>
      <x:c r="H5" s="70" t="n">
        <x:f>IF(OR(A5="",B5=""),"",SUMIFS('15_Equipment_Log'!$M:$M,'15_Equipment_Log'!$B:$B,"&gt;="&amp;A5,'15_Equipment_Log'!$B:$B,"&lt;"&amp;A5+7,'15_Equipment_Log'!$C:$C,B5))</x:f>
        <x:v>0</x:v>
      </x:c>
      <x:c r="I5" s="70" t="n">
        <x:f>IF(OR(A5="",B5=""),"",SUMIFS('12_Production_Log'!$M:$M,'12_Production_Log'!$B:$B,"&gt;="&amp;A5,'12_Production_Log'!$B:$B,"&lt;"&amp;A5+7,'12_Production_Log'!$C:$C,B5)+SUMIFS('14_Materials_Log'!$I:$I,'14_Materials_Log'!$B:$B,"&gt;="&amp;A5,'14_Materials_Log'!$B:$B,"&lt;"&amp;A5+7,'14_Materials_Log'!$C:$C,B5,'14_Materials_Log'!$J:$J,"Yes"))</x:f>
        <x:v>0</x:v>
      </x:c>
      <x:c r="J5" s="70" t="n">
        <x:f>IF(OR(A5="",B5=""),"",SUMIFS('13_Labor_Time'!$L:$L,'13_Labor_Time'!$B:$B,"&gt;="&amp;A5,'13_Labor_Time'!$B:$B,"&lt;"&amp;A5+7,'13_Labor_Time'!$C:$C,B5))</x:f>
        <x:v>0</x:v>
      </x:c>
      <x:c r="K5" s="70" t="str">
        <x:f>IF(OR(I5="",G5="",H5="",J5=""),"",I5-G5-H5-J5)</x:f>
      </x:c>
      <x:c r="L5" s="140" t="str">
        <x:f>IF(C5=0,"",COUNTIFS('11_Intake_Daily'!$C:$C,"&gt;="&amp;A5,'11_Intake_Daily'!$C:$C,"&lt;"&amp;A5+7,'11_Intake_Daily'!$D:$D,B5,'11_Intake_Daily'!$AA:$AA,"Yes")/C5)</x:f>
      </x:c>
    </x:row>
    <x:row r="6" ht="20" customHeight="1">
      <x:c r="A6" s="28" t="n">
        <x:v>46209</x:v>
      </x:c>
      <x:c r="B6" s="15" t="str">
        <x:v>PRJ-1002</x:v>
      </x:c>
      <x:c r="C6" s="15" t="n">
        <x:f>IF(OR(A6="",B6=""),"",COUNTIFS('11_Intake_Daily'!$C:$C,"&gt;="&amp;A6,'11_Intake_Daily'!$C:$C,"&lt;"&amp;A6+7,'11_Intake_Daily'!$D:$D,B6))</x:f>
        <x:v>0</x:v>
      </x:c>
      <x:c r="D6" s="15" t="n">
        <x:f>IF(OR(A6="",B6=""),"",COUNTIFS('20_Proof_Queue'!$B:$B,"&gt;="&amp;A6,'20_Proof_Queue'!$B:$B,"&lt;"&amp;A6+7,'20_Proof_Queue'!$C:$C,B6,'20_Proof_Queue'!$H:$H,"&lt;&gt;Closed"))</x:f>
        <x:v>0</x:v>
      </x:c>
      <x:c r="E6" s="138" t="n">
        <x:f>IF(OR(A6="",B6=""),"",SUMIFS('12_Production_Log'!$H:$H,'12_Production_Log'!$B:$B,"&gt;="&amp;A6,'12_Production_Log'!$B:$B,"&lt;"&amp;A6+7,'12_Production_Log'!$C:$C,B6))</x:f>
        <x:v>0</x:v>
      </x:c>
      <x:c r="F6" s="136" t="n">
        <x:f>IF(OR(A6="",B6=""),"",SUMIFS('13_Labor_Time'!$J:$J,'13_Labor_Time'!$B:$B,"&gt;="&amp;A6,'13_Labor_Time'!$B:$B,"&lt;"&amp;A6+7,'13_Labor_Time'!$C:$C,B6))</x:f>
        <x:v>0</x:v>
      </x:c>
      <x:c r="G6" s="70" t="n">
        <x:f>IF(OR(A6="",B6=""),"",SUMIFS('14_Materials_Log'!$I:$I,'14_Materials_Log'!$B:$B,"&gt;="&amp;A6,'14_Materials_Log'!$B:$B,"&lt;"&amp;A6+7,'14_Materials_Log'!$C:$C,B6))</x:f>
        <x:v>0</x:v>
      </x:c>
      <x:c r="H6" s="70" t="n">
        <x:f>IF(OR(A6="",B6=""),"",SUMIFS('15_Equipment_Log'!$M:$M,'15_Equipment_Log'!$B:$B,"&gt;="&amp;A6,'15_Equipment_Log'!$B:$B,"&lt;"&amp;A6+7,'15_Equipment_Log'!$C:$C,B6))</x:f>
        <x:v>0</x:v>
      </x:c>
      <x:c r="I6" s="70" t="n">
        <x:f>IF(OR(A6="",B6=""),"",SUMIFS('12_Production_Log'!$M:$M,'12_Production_Log'!$B:$B,"&gt;="&amp;A6,'12_Production_Log'!$B:$B,"&lt;"&amp;A6+7,'12_Production_Log'!$C:$C,B6)+SUMIFS('14_Materials_Log'!$I:$I,'14_Materials_Log'!$B:$B,"&gt;="&amp;A6,'14_Materials_Log'!$B:$B,"&lt;"&amp;A6+7,'14_Materials_Log'!$C:$C,B6,'14_Materials_Log'!$J:$J,"Yes"))</x:f>
        <x:v>0</x:v>
      </x:c>
      <x:c r="J6" s="70" t="n">
        <x:f>IF(OR(A6="",B6=""),"",SUMIFS('13_Labor_Time'!$L:$L,'13_Labor_Time'!$B:$B,"&gt;="&amp;A6,'13_Labor_Time'!$B:$B,"&lt;"&amp;A6+7,'13_Labor_Time'!$C:$C,B6))</x:f>
        <x:v>0</x:v>
      </x:c>
      <x:c r="K6" s="70" t="str">
        <x:f>IF(OR(I6="",G6="",H6="",J6=""),"",I6-G6-H6-J6)</x:f>
      </x:c>
      <x:c r="L6" s="140" t="str">
        <x:f>IF(C6=0,"",COUNTIFS('11_Intake_Daily'!$C:$C,"&gt;="&amp;A6,'11_Intake_Daily'!$C:$C,"&lt;"&amp;A6+7,'11_Intake_Daily'!$D:$D,B6,'11_Intake_Daily'!$AA:$AA,"Yes")/C6)</x:f>
      </x:c>
    </x:row>
    <x:row r="7" ht="20" customHeight="1">
      <x:c r="A7" s="28" t="n">
        <x:v>46209</x:v>
      </x:c>
      <x:c r="B7" s="15" t="str">
        <x:v>PRJ-1003</x:v>
      </x:c>
      <x:c r="C7" s="15" t="n">
        <x:f>IF(OR(A7="",B7=""),"",COUNTIFS('11_Intake_Daily'!$C:$C,"&gt;="&amp;A7,'11_Intake_Daily'!$C:$C,"&lt;"&amp;A7+7,'11_Intake_Daily'!$D:$D,B7))</x:f>
        <x:v>0</x:v>
      </x:c>
      <x:c r="D7" s="15" t="n">
        <x:f>IF(OR(A7="",B7=""),"",COUNTIFS('20_Proof_Queue'!$B:$B,"&gt;="&amp;A7,'20_Proof_Queue'!$B:$B,"&lt;"&amp;A7+7,'20_Proof_Queue'!$C:$C,B7,'20_Proof_Queue'!$H:$H,"&lt;&gt;Closed"))</x:f>
        <x:v>0</x:v>
      </x:c>
      <x:c r="E7" s="138" t="n">
        <x:f>IF(OR(A7="",B7=""),"",SUMIFS('12_Production_Log'!$H:$H,'12_Production_Log'!$B:$B,"&gt;="&amp;A7,'12_Production_Log'!$B:$B,"&lt;"&amp;A7+7,'12_Production_Log'!$C:$C,B7))</x:f>
        <x:v>0</x:v>
      </x:c>
      <x:c r="F7" s="136" t="n">
        <x:f>IF(OR(A7="",B7=""),"",SUMIFS('13_Labor_Time'!$J:$J,'13_Labor_Time'!$B:$B,"&gt;="&amp;A7,'13_Labor_Time'!$B:$B,"&lt;"&amp;A7+7,'13_Labor_Time'!$C:$C,B7))</x:f>
        <x:v>0</x:v>
      </x:c>
      <x:c r="G7" s="70" t="n">
        <x:f>IF(OR(A7="",B7=""),"",SUMIFS('14_Materials_Log'!$I:$I,'14_Materials_Log'!$B:$B,"&gt;="&amp;A7,'14_Materials_Log'!$B:$B,"&lt;"&amp;A7+7,'14_Materials_Log'!$C:$C,B7))</x:f>
        <x:v>0</x:v>
      </x:c>
      <x:c r="H7" s="70" t="n">
        <x:f>IF(OR(A7="",B7=""),"",SUMIFS('15_Equipment_Log'!$M:$M,'15_Equipment_Log'!$B:$B,"&gt;="&amp;A7,'15_Equipment_Log'!$B:$B,"&lt;"&amp;A7+7,'15_Equipment_Log'!$C:$C,B7))</x:f>
        <x:v>0</x:v>
      </x:c>
      <x:c r="I7" s="70" t="n">
        <x:f>IF(OR(A7="",B7=""),"",SUMIFS('12_Production_Log'!$M:$M,'12_Production_Log'!$B:$B,"&gt;="&amp;A7,'12_Production_Log'!$B:$B,"&lt;"&amp;A7+7,'12_Production_Log'!$C:$C,B7)+SUMIFS('14_Materials_Log'!$I:$I,'14_Materials_Log'!$B:$B,"&gt;="&amp;A7,'14_Materials_Log'!$B:$B,"&lt;"&amp;A7+7,'14_Materials_Log'!$C:$C,B7,'14_Materials_Log'!$J:$J,"Yes"))</x:f>
        <x:v>0</x:v>
      </x:c>
      <x:c r="J7" s="70" t="n">
        <x:f>IF(OR(A7="",B7=""),"",SUMIFS('13_Labor_Time'!$L:$L,'13_Labor_Time'!$B:$B,"&gt;="&amp;A7,'13_Labor_Time'!$B:$B,"&lt;"&amp;A7+7,'13_Labor_Time'!$C:$C,B7))</x:f>
        <x:v>0</x:v>
      </x:c>
      <x:c r="K7" s="70" t="str">
        <x:f>IF(OR(I7="",G7="",H7="",J7=""),"",I7-G7-H7-J7)</x:f>
      </x:c>
      <x:c r="L7" s="140" t="str">
        <x:f>IF(C7=0,"",COUNTIFS('11_Intake_Daily'!$C:$C,"&gt;="&amp;A7,'11_Intake_Daily'!$C:$C,"&lt;"&amp;A7+7,'11_Intake_Daily'!$D:$D,B7,'11_Intake_Daily'!$AA:$AA,"Yes")/C7)</x:f>
      </x:c>
    </x:row>
    <x:row r="8" ht="20" customHeight="1">
      <x:c r="A8" s="28" t="n">
        <x:v>46216</x:v>
      </x:c>
      <x:c r="B8" s="15" t="str">
        <x:v>PRJ-1001</x:v>
      </x:c>
      <x:c r="C8" s="15" t="n">
        <x:f>IF(OR(A8="",B8=""),"",COUNTIFS('11_Intake_Daily'!$C:$C,"&gt;="&amp;A8,'11_Intake_Daily'!$C:$C,"&lt;"&amp;A8+7,'11_Intake_Daily'!$D:$D,B8))</x:f>
        <x:v>0</x:v>
      </x:c>
      <x:c r="D8" s="15" t="n">
        <x:f>IF(OR(A8="",B8=""),"",COUNTIFS('20_Proof_Queue'!$B:$B,"&gt;="&amp;A8,'20_Proof_Queue'!$B:$B,"&lt;"&amp;A8+7,'20_Proof_Queue'!$C:$C,B8,'20_Proof_Queue'!$H:$H,"&lt;&gt;Closed"))</x:f>
        <x:v>0</x:v>
      </x:c>
      <x:c r="E8" s="138" t="n">
        <x:f>IF(OR(A8="",B8=""),"",SUMIFS('12_Production_Log'!$H:$H,'12_Production_Log'!$B:$B,"&gt;="&amp;A8,'12_Production_Log'!$B:$B,"&lt;"&amp;A8+7,'12_Production_Log'!$C:$C,B8))</x:f>
        <x:v>0</x:v>
      </x:c>
      <x:c r="F8" s="136" t="n">
        <x:f>IF(OR(A8="",B8=""),"",SUMIFS('13_Labor_Time'!$J:$J,'13_Labor_Time'!$B:$B,"&gt;="&amp;A8,'13_Labor_Time'!$B:$B,"&lt;"&amp;A8+7,'13_Labor_Time'!$C:$C,B8))</x:f>
        <x:v>0</x:v>
      </x:c>
      <x:c r="G8" s="70" t="n">
        <x:f>IF(OR(A8="",B8=""),"",SUMIFS('14_Materials_Log'!$I:$I,'14_Materials_Log'!$B:$B,"&gt;="&amp;A8,'14_Materials_Log'!$B:$B,"&lt;"&amp;A8+7,'14_Materials_Log'!$C:$C,B8))</x:f>
        <x:v>0</x:v>
      </x:c>
      <x:c r="H8" s="70" t="n">
        <x:f>IF(OR(A8="",B8=""),"",SUMIFS('15_Equipment_Log'!$M:$M,'15_Equipment_Log'!$B:$B,"&gt;="&amp;A8,'15_Equipment_Log'!$B:$B,"&lt;"&amp;A8+7,'15_Equipment_Log'!$C:$C,B8))</x:f>
        <x:v>0</x:v>
      </x:c>
      <x:c r="I8" s="70" t="n">
        <x:f>IF(OR(A8="",B8=""),"",SUMIFS('12_Production_Log'!$M:$M,'12_Production_Log'!$B:$B,"&gt;="&amp;A8,'12_Production_Log'!$B:$B,"&lt;"&amp;A8+7,'12_Production_Log'!$C:$C,B8)+SUMIFS('14_Materials_Log'!$I:$I,'14_Materials_Log'!$B:$B,"&gt;="&amp;A8,'14_Materials_Log'!$B:$B,"&lt;"&amp;A8+7,'14_Materials_Log'!$C:$C,B8,'14_Materials_Log'!$J:$J,"Yes"))</x:f>
        <x:v>0</x:v>
      </x:c>
      <x:c r="J8" s="70" t="n">
        <x:f>IF(OR(A8="",B8=""),"",SUMIFS('13_Labor_Time'!$L:$L,'13_Labor_Time'!$B:$B,"&gt;="&amp;A8,'13_Labor_Time'!$B:$B,"&lt;"&amp;A8+7,'13_Labor_Time'!$C:$C,B8))</x:f>
        <x:v>0</x:v>
      </x:c>
      <x:c r="K8" s="70" t="str">
        <x:f>IF(OR(I8="",G8="",H8="",J8=""),"",I8-G8-H8-J8)</x:f>
      </x:c>
      <x:c r="L8" s="140" t="str">
        <x:f>IF(C8=0,"",COUNTIFS('11_Intake_Daily'!$C:$C,"&gt;="&amp;A8,'11_Intake_Daily'!$C:$C,"&lt;"&amp;A8+7,'11_Intake_Daily'!$D:$D,B8,'11_Intake_Daily'!$AA:$AA,"Yes")/C8)</x:f>
      </x:c>
    </x:row>
    <x:row r="9" ht="20" customHeight="1">
      <x:c r="A9" s="28" t="n">
        <x:v>46216</x:v>
      </x:c>
      <x:c r="B9" s="15" t="str">
        <x:v>PRJ-1002</x:v>
      </x:c>
      <x:c r="C9" s="15" t="n">
        <x:f>IF(OR(A9="",B9=""),"",COUNTIFS('11_Intake_Daily'!$C:$C,"&gt;="&amp;A9,'11_Intake_Daily'!$C:$C,"&lt;"&amp;A9+7,'11_Intake_Daily'!$D:$D,B9))</x:f>
        <x:v>0</x:v>
      </x:c>
      <x:c r="D9" s="15" t="n">
        <x:f>IF(OR(A9="",B9=""),"",COUNTIFS('20_Proof_Queue'!$B:$B,"&gt;="&amp;A9,'20_Proof_Queue'!$B:$B,"&lt;"&amp;A9+7,'20_Proof_Queue'!$C:$C,B9,'20_Proof_Queue'!$H:$H,"&lt;&gt;Closed"))</x:f>
        <x:v>0</x:v>
      </x:c>
      <x:c r="E9" s="138" t="n">
        <x:f>IF(OR(A9="",B9=""),"",SUMIFS('12_Production_Log'!$H:$H,'12_Production_Log'!$B:$B,"&gt;="&amp;A9,'12_Production_Log'!$B:$B,"&lt;"&amp;A9+7,'12_Production_Log'!$C:$C,B9))</x:f>
        <x:v>0</x:v>
      </x:c>
      <x:c r="F9" s="136" t="n">
        <x:f>IF(OR(A9="",B9=""),"",SUMIFS('13_Labor_Time'!$J:$J,'13_Labor_Time'!$B:$B,"&gt;="&amp;A9,'13_Labor_Time'!$B:$B,"&lt;"&amp;A9+7,'13_Labor_Time'!$C:$C,B9))</x:f>
        <x:v>0</x:v>
      </x:c>
      <x:c r="G9" s="70" t="n">
        <x:f>IF(OR(A9="",B9=""),"",SUMIFS('14_Materials_Log'!$I:$I,'14_Materials_Log'!$B:$B,"&gt;="&amp;A9,'14_Materials_Log'!$B:$B,"&lt;"&amp;A9+7,'14_Materials_Log'!$C:$C,B9))</x:f>
        <x:v>0</x:v>
      </x:c>
      <x:c r="H9" s="70" t="n">
        <x:f>IF(OR(A9="",B9=""),"",SUMIFS('15_Equipment_Log'!$M:$M,'15_Equipment_Log'!$B:$B,"&gt;="&amp;A9,'15_Equipment_Log'!$B:$B,"&lt;"&amp;A9+7,'15_Equipment_Log'!$C:$C,B9))</x:f>
        <x:v>0</x:v>
      </x:c>
      <x:c r="I9" s="70" t="n">
        <x:f>IF(OR(A9="",B9=""),"",SUMIFS('12_Production_Log'!$M:$M,'12_Production_Log'!$B:$B,"&gt;="&amp;A9,'12_Production_Log'!$B:$B,"&lt;"&amp;A9+7,'12_Production_Log'!$C:$C,B9)+SUMIFS('14_Materials_Log'!$I:$I,'14_Materials_Log'!$B:$B,"&gt;="&amp;A9,'14_Materials_Log'!$B:$B,"&lt;"&amp;A9+7,'14_Materials_Log'!$C:$C,B9,'14_Materials_Log'!$J:$J,"Yes"))</x:f>
        <x:v>0</x:v>
      </x:c>
      <x:c r="J9" s="70" t="n">
        <x:f>IF(OR(A9="",B9=""),"",SUMIFS('13_Labor_Time'!$L:$L,'13_Labor_Time'!$B:$B,"&gt;="&amp;A9,'13_Labor_Time'!$B:$B,"&lt;"&amp;A9+7,'13_Labor_Time'!$C:$C,B9))</x:f>
        <x:v>0</x:v>
      </x:c>
      <x:c r="K9" s="70" t="str">
        <x:f>IF(OR(I9="",G9="",H9="",J9=""),"",I9-G9-H9-J9)</x:f>
      </x:c>
      <x:c r="L9" s="140" t="str">
        <x:f>IF(C9=0,"",COUNTIFS('11_Intake_Daily'!$C:$C,"&gt;="&amp;A9,'11_Intake_Daily'!$C:$C,"&lt;"&amp;A9+7,'11_Intake_Daily'!$D:$D,B9,'11_Intake_Daily'!$AA:$AA,"Yes")/C9)</x:f>
      </x:c>
    </x:row>
    <x:row r="10" ht="20" customHeight="1">
      <x:c r="A10" s="28" t="n">
        <x:v>46216</x:v>
      </x:c>
      <x:c r="B10" s="15" t="str">
        <x:v>PRJ-1003</x:v>
      </x:c>
      <x:c r="C10" s="15" t="n">
        <x:f>IF(OR(A10="",B10=""),"",COUNTIFS('11_Intake_Daily'!$C:$C,"&gt;="&amp;A10,'11_Intake_Daily'!$C:$C,"&lt;"&amp;A10+7,'11_Intake_Daily'!$D:$D,B10))</x:f>
        <x:v>0</x:v>
      </x:c>
      <x:c r="D10" s="15" t="n">
        <x:f>IF(OR(A10="",B10=""),"",COUNTIFS('20_Proof_Queue'!$B:$B,"&gt;="&amp;A10,'20_Proof_Queue'!$B:$B,"&lt;"&amp;A10+7,'20_Proof_Queue'!$C:$C,B10,'20_Proof_Queue'!$H:$H,"&lt;&gt;Closed"))</x:f>
        <x:v>0</x:v>
      </x:c>
      <x:c r="E10" s="138" t="n">
        <x:f>IF(OR(A10="",B10=""),"",SUMIFS('12_Production_Log'!$H:$H,'12_Production_Log'!$B:$B,"&gt;="&amp;A10,'12_Production_Log'!$B:$B,"&lt;"&amp;A10+7,'12_Production_Log'!$C:$C,B10))</x:f>
        <x:v>0</x:v>
      </x:c>
      <x:c r="F10" s="136" t="n">
        <x:f>IF(OR(A10="",B10=""),"",SUMIFS('13_Labor_Time'!$J:$J,'13_Labor_Time'!$B:$B,"&gt;="&amp;A10,'13_Labor_Time'!$B:$B,"&lt;"&amp;A10+7,'13_Labor_Time'!$C:$C,B10))</x:f>
        <x:v>0</x:v>
      </x:c>
      <x:c r="G10" s="70" t="n">
        <x:f>IF(OR(A10="",B10=""),"",SUMIFS('14_Materials_Log'!$I:$I,'14_Materials_Log'!$B:$B,"&gt;="&amp;A10,'14_Materials_Log'!$B:$B,"&lt;"&amp;A10+7,'14_Materials_Log'!$C:$C,B10))</x:f>
        <x:v>0</x:v>
      </x:c>
      <x:c r="H10" s="70" t="n">
        <x:f>IF(OR(A10="",B10=""),"",SUMIFS('15_Equipment_Log'!$M:$M,'15_Equipment_Log'!$B:$B,"&gt;="&amp;A10,'15_Equipment_Log'!$B:$B,"&lt;"&amp;A10+7,'15_Equipment_Log'!$C:$C,B10))</x:f>
        <x:v>0</x:v>
      </x:c>
      <x:c r="I10" s="70" t="n">
        <x:f>IF(OR(A10="",B10=""),"",SUMIFS('12_Production_Log'!$M:$M,'12_Production_Log'!$B:$B,"&gt;="&amp;A10,'12_Production_Log'!$B:$B,"&lt;"&amp;A10+7,'12_Production_Log'!$C:$C,B10)+SUMIFS('14_Materials_Log'!$I:$I,'14_Materials_Log'!$B:$B,"&gt;="&amp;A10,'14_Materials_Log'!$B:$B,"&lt;"&amp;A10+7,'14_Materials_Log'!$C:$C,B10,'14_Materials_Log'!$J:$J,"Yes"))</x:f>
        <x:v>0</x:v>
      </x:c>
      <x:c r="J10" s="70" t="n">
        <x:f>IF(OR(A10="",B10=""),"",SUMIFS('13_Labor_Time'!$L:$L,'13_Labor_Time'!$B:$B,"&gt;="&amp;A10,'13_Labor_Time'!$B:$B,"&lt;"&amp;A10+7,'13_Labor_Time'!$C:$C,B10))</x:f>
        <x:v>0</x:v>
      </x:c>
      <x:c r="K10" s="70" t="str">
        <x:f>IF(OR(I10="",G10="",H10="",J10=""),"",I10-G10-H10-J10)</x:f>
      </x:c>
      <x:c r="L10" s="140" t="str">
        <x:f>IF(C10=0,"",COUNTIFS('11_Intake_Daily'!$C:$C,"&gt;="&amp;A10,'11_Intake_Daily'!$C:$C,"&lt;"&amp;A10+7,'11_Intake_Daily'!$D:$D,B10,'11_Intake_Daily'!$AA:$AA,"Yes")/C10)</x:f>
      </x:c>
    </x:row>
    <x:row r="11" ht="20" customHeight="1">
      <x:c r="A11" s="28" t="n">
        <x:v>46223</x:v>
      </x:c>
      <x:c r="B11" s="15" t="str">
        <x:v>PRJ-1001</x:v>
      </x:c>
      <x:c r="C11" s="15" t="n">
        <x:f>IF(OR(A11="",B11=""),"",COUNTIFS('11_Intake_Daily'!$C:$C,"&gt;="&amp;A11,'11_Intake_Daily'!$C:$C,"&lt;"&amp;A11+7,'11_Intake_Daily'!$D:$D,B11))</x:f>
        <x:v>0</x:v>
      </x:c>
      <x:c r="D11" s="15" t="n">
        <x:f>IF(OR(A11="",B11=""),"",COUNTIFS('20_Proof_Queue'!$B:$B,"&gt;="&amp;A11,'20_Proof_Queue'!$B:$B,"&lt;"&amp;A11+7,'20_Proof_Queue'!$C:$C,B11,'20_Proof_Queue'!$H:$H,"&lt;&gt;Closed"))</x:f>
        <x:v>0</x:v>
      </x:c>
      <x:c r="E11" s="138" t="n">
        <x:f>IF(OR(A11="",B11=""),"",SUMIFS('12_Production_Log'!$H:$H,'12_Production_Log'!$B:$B,"&gt;="&amp;A11,'12_Production_Log'!$B:$B,"&lt;"&amp;A11+7,'12_Production_Log'!$C:$C,B11))</x:f>
        <x:v>0</x:v>
      </x:c>
      <x:c r="F11" s="136" t="n">
        <x:f>IF(OR(A11="",B11=""),"",SUMIFS('13_Labor_Time'!$J:$J,'13_Labor_Time'!$B:$B,"&gt;="&amp;A11,'13_Labor_Time'!$B:$B,"&lt;"&amp;A11+7,'13_Labor_Time'!$C:$C,B11))</x:f>
        <x:v>0</x:v>
      </x:c>
      <x:c r="G11" s="70" t="n">
        <x:f>IF(OR(A11="",B11=""),"",SUMIFS('14_Materials_Log'!$I:$I,'14_Materials_Log'!$B:$B,"&gt;="&amp;A11,'14_Materials_Log'!$B:$B,"&lt;"&amp;A11+7,'14_Materials_Log'!$C:$C,B11))</x:f>
        <x:v>0</x:v>
      </x:c>
      <x:c r="H11" s="70" t="n">
        <x:f>IF(OR(A11="",B11=""),"",SUMIFS('15_Equipment_Log'!$M:$M,'15_Equipment_Log'!$B:$B,"&gt;="&amp;A11,'15_Equipment_Log'!$B:$B,"&lt;"&amp;A11+7,'15_Equipment_Log'!$C:$C,B11))</x:f>
        <x:v>0</x:v>
      </x:c>
      <x:c r="I11" s="70" t="n">
        <x:f>IF(OR(A11="",B11=""),"",SUMIFS('12_Production_Log'!$M:$M,'12_Production_Log'!$B:$B,"&gt;="&amp;A11,'12_Production_Log'!$B:$B,"&lt;"&amp;A11+7,'12_Production_Log'!$C:$C,B11)+SUMIFS('14_Materials_Log'!$I:$I,'14_Materials_Log'!$B:$B,"&gt;="&amp;A11,'14_Materials_Log'!$B:$B,"&lt;"&amp;A11+7,'14_Materials_Log'!$C:$C,B11,'14_Materials_Log'!$J:$J,"Yes"))</x:f>
        <x:v>0</x:v>
      </x:c>
      <x:c r="J11" s="70" t="n">
        <x:f>IF(OR(A11="",B11=""),"",SUMIFS('13_Labor_Time'!$L:$L,'13_Labor_Time'!$B:$B,"&gt;="&amp;A11,'13_Labor_Time'!$B:$B,"&lt;"&amp;A11+7,'13_Labor_Time'!$C:$C,B11))</x:f>
        <x:v>0</x:v>
      </x:c>
      <x:c r="K11" s="70" t="str">
        <x:f>IF(OR(I11="",G11="",H11="",J11=""),"",I11-G11-H11-J11)</x:f>
      </x:c>
      <x:c r="L11" s="140" t="str">
        <x:f>IF(C11=0,"",COUNTIFS('11_Intake_Daily'!$C:$C,"&gt;="&amp;A11,'11_Intake_Daily'!$C:$C,"&lt;"&amp;A11+7,'11_Intake_Daily'!$D:$D,B11,'11_Intake_Daily'!$AA:$AA,"Yes")/C11)</x:f>
      </x:c>
    </x:row>
    <x:row r="12" ht="20" customHeight="1">
      <x:c r="A12" s="28" t="n">
        <x:v>46223</x:v>
      </x:c>
      <x:c r="B12" s="15" t="str">
        <x:v>PRJ-1002</x:v>
      </x:c>
      <x:c r="C12" s="15" t="n">
        <x:f>IF(OR(A12="",B12=""),"",COUNTIFS('11_Intake_Daily'!$C:$C,"&gt;="&amp;A12,'11_Intake_Daily'!$C:$C,"&lt;"&amp;A12+7,'11_Intake_Daily'!$D:$D,B12))</x:f>
        <x:v>0</x:v>
      </x:c>
      <x:c r="D12" s="15" t="n">
        <x:f>IF(OR(A12="",B12=""),"",COUNTIFS('20_Proof_Queue'!$B:$B,"&gt;="&amp;A12,'20_Proof_Queue'!$B:$B,"&lt;"&amp;A12+7,'20_Proof_Queue'!$C:$C,B12,'20_Proof_Queue'!$H:$H,"&lt;&gt;Closed"))</x:f>
        <x:v>0</x:v>
      </x:c>
      <x:c r="E12" s="138" t="n">
        <x:f>IF(OR(A12="",B12=""),"",SUMIFS('12_Production_Log'!$H:$H,'12_Production_Log'!$B:$B,"&gt;="&amp;A12,'12_Production_Log'!$B:$B,"&lt;"&amp;A12+7,'12_Production_Log'!$C:$C,B12))</x:f>
        <x:v>0</x:v>
      </x:c>
      <x:c r="F12" s="136" t="n">
        <x:f>IF(OR(A12="",B12=""),"",SUMIFS('13_Labor_Time'!$J:$J,'13_Labor_Time'!$B:$B,"&gt;="&amp;A12,'13_Labor_Time'!$B:$B,"&lt;"&amp;A12+7,'13_Labor_Time'!$C:$C,B12))</x:f>
        <x:v>0</x:v>
      </x:c>
      <x:c r="G12" s="70" t="n">
        <x:f>IF(OR(A12="",B12=""),"",SUMIFS('14_Materials_Log'!$I:$I,'14_Materials_Log'!$B:$B,"&gt;="&amp;A12,'14_Materials_Log'!$B:$B,"&lt;"&amp;A12+7,'14_Materials_Log'!$C:$C,B12))</x:f>
        <x:v>0</x:v>
      </x:c>
      <x:c r="H12" s="70" t="n">
        <x:f>IF(OR(A12="",B12=""),"",SUMIFS('15_Equipment_Log'!$M:$M,'15_Equipment_Log'!$B:$B,"&gt;="&amp;A12,'15_Equipment_Log'!$B:$B,"&lt;"&amp;A12+7,'15_Equipment_Log'!$C:$C,B12))</x:f>
        <x:v>0</x:v>
      </x:c>
      <x:c r="I12" s="70" t="n">
        <x:f>IF(OR(A12="",B12=""),"",SUMIFS('12_Production_Log'!$M:$M,'12_Production_Log'!$B:$B,"&gt;="&amp;A12,'12_Production_Log'!$B:$B,"&lt;"&amp;A12+7,'12_Production_Log'!$C:$C,B12)+SUMIFS('14_Materials_Log'!$I:$I,'14_Materials_Log'!$B:$B,"&gt;="&amp;A12,'14_Materials_Log'!$B:$B,"&lt;"&amp;A12+7,'14_Materials_Log'!$C:$C,B12,'14_Materials_Log'!$J:$J,"Yes"))</x:f>
        <x:v>0</x:v>
      </x:c>
      <x:c r="J12" s="70" t="n">
        <x:f>IF(OR(A12="",B12=""),"",SUMIFS('13_Labor_Time'!$L:$L,'13_Labor_Time'!$B:$B,"&gt;="&amp;A12,'13_Labor_Time'!$B:$B,"&lt;"&amp;A12+7,'13_Labor_Time'!$C:$C,B12))</x:f>
        <x:v>0</x:v>
      </x:c>
      <x:c r="K12" s="70" t="str">
        <x:f>IF(OR(I12="",G12="",H12="",J12=""),"",I12-G12-H12-J12)</x:f>
      </x:c>
      <x:c r="L12" s="140" t="str">
        <x:f>IF(C12=0,"",COUNTIFS('11_Intake_Daily'!$C:$C,"&gt;="&amp;A12,'11_Intake_Daily'!$C:$C,"&lt;"&amp;A12+7,'11_Intake_Daily'!$D:$D,B12,'11_Intake_Daily'!$AA:$AA,"Yes")/C12)</x:f>
      </x:c>
    </x:row>
    <x:row r="13" ht="20" customHeight="1">
      <x:c r="A13" s="28" t="n">
        <x:v>46223</x:v>
      </x:c>
      <x:c r="B13" s="15" t="str">
        <x:v>PRJ-1003</x:v>
      </x:c>
      <x:c r="C13" s="15" t="n">
        <x:f>IF(OR(A13="",B13=""),"",COUNTIFS('11_Intake_Daily'!$C:$C,"&gt;="&amp;A13,'11_Intake_Daily'!$C:$C,"&lt;"&amp;A13+7,'11_Intake_Daily'!$D:$D,B13))</x:f>
        <x:v>0</x:v>
      </x:c>
      <x:c r="D13" s="15" t="n">
        <x:f>IF(OR(A13="",B13=""),"",COUNTIFS('20_Proof_Queue'!$B:$B,"&gt;="&amp;A13,'20_Proof_Queue'!$B:$B,"&lt;"&amp;A13+7,'20_Proof_Queue'!$C:$C,B13,'20_Proof_Queue'!$H:$H,"&lt;&gt;Closed"))</x:f>
        <x:v>0</x:v>
      </x:c>
      <x:c r="E13" s="138" t="n">
        <x:f>IF(OR(A13="",B13=""),"",SUMIFS('12_Production_Log'!$H:$H,'12_Production_Log'!$B:$B,"&gt;="&amp;A13,'12_Production_Log'!$B:$B,"&lt;"&amp;A13+7,'12_Production_Log'!$C:$C,B13))</x:f>
        <x:v>0</x:v>
      </x:c>
      <x:c r="F13" s="136" t="n">
        <x:f>IF(OR(A13="",B13=""),"",SUMIFS('13_Labor_Time'!$J:$J,'13_Labor_Time'!$B:$B,"&gt;="&amp;A13,'13_Labor_Time'!$B:$B,"&lt;"&amp;A13+7,'13_Labor_Time'!$C:$C,B13))</x:f>
        <x:v>0</x:v>
      </x:c>
      <x:c r="G13" s="70" t="n">
        <x:f>IF(OR(A13="",B13=""),"",SUMIFS('14_Materials_Log'!$I:$I,'14_Materials_Log'!$B:$B,"&gt;="&amp;A13,'14_Materials_Log'!$B:$B,"&lt;"&amp;A13+7,'14_Materials_Log'!$C:$C,B13))</x:f>
        <x:v>0</x:v>
      </x:c>
      <x:c r="H13" s="70" t="n">
        <x:f>IF(OR(A13="",B13=""),"",SUMIFS('15_Equipment_Log'!$M:$M,'15_Equipment_Log'!$B:$B,"&gt;="&amp;A13,'15_Equipment_Log'!$B:$B,"&lt;"&amp;A13+7,'15_Equipment_Log'!$C:$C,B13))</x:f>
        <x:v>0</x:v>
      </x:c>
      <x:c r="I13" s="70" t="n">
        <x:f>IF(OR(A13="",B13=""),"",SUMIFS('12_Production_Log'!$M:$M,'12_Production_Log'!$B:$B,"&gt;="&amp;A13,'12_Production_Log'!$B:$B,"&lt;"&amp;A13+7,'12_Production_Log'!$C:$C,B13)+SUMIFS('14_Materials_Log'!$I:$I,'14_Materials_Log'!$B:$B,"&gt;="&amp;A13,'14_Materials_Log'!$B:$B,"&lt;"&amp;A13+7,'14_Materials_Log'!$C:$C,B13,'14_Materials_Log'!$J:$J,"Yes"))</x:f>
        <x:v>0</x:v>
      </x:c>
      <x:c r="J13" s="70" t="n">
        <x:f>IF(OR(A13="",B13=""),"",SUMIFS('13_Labor_Time'!$L:$L,'13_Labor_Time'!$B:$B,"&gt;="&amp;A13,'13_Labor_Time'!$B:$B,"&lt;"&amp;A13+7,'13_Labor_Time'!$C:$C,B13))</x:f>
        <x:v>0</x:v>
      </x:c>
      <x:c r="K13" s="70" t="str">
        <x:f>IF(OR(I13="",G13="",H13="",J13=""),"",I13-G13-H13-J13)</x:f>
      </x:c>
      <x:c r="L13" s="140" t="str">
        <x:f>IF(C13=0,"",COUNTIFS('11_Intake_Daily'!$C:$C,"&gt;="&amp;A13,'11_Intake_Daily'!$C:$C,"&lt;"&amp;A13+7,'11_Intake_Daily'!$D:$D,B13,'11_Intake_Daily'!$AA:$AA,"Yes")/C13)</x:f>
      </x:c>
    </x:row>
    <x:row r="14" ht="20" customHeight="1">
      <x:c r="A14" s="28" t="n">
        <x:v>46230</x:v>
      </x:c>
      <x:c r="B14" s="15" t="str">
        <x:v>PRJ-1001</x:v>
      </x:c>
      <x:c r="C14" s="15" t="n">
        <x:f>IF(OR(A14="",B14=""),"",COUNTIFS('11_Intake_Daily'!$C:$C,"&gt;="&amp;A14,'11_Intake_Daily'!$C:$C,"&lt;"&amp;A14+7,'11_Intake_Daily'!$D:$D,B14))</x:f>
        <x:v>0</x:v>
      </x:c>
      <x:c r="D14" s="15" t="n">
        <x:f>IF(OR(A14="",B14=""),"",COUNTIFS('20_Proof_Queue'!$B:$B,"&gt;="&amp;A14,'20_Proof_Queue'!$B:$B,"&lt;"&amp;A14+7,'20_Proof_Queue'!$C:$C,B14,'20_Proof_Queue'!$H:$H,"&lt;&gt;Closed"))</x:f>
        <x:v>0</x:v>
      </x:c>
      <x:c r="E14" s="138" t="n">
        <x:f>IF(OR(A14="",B14=""),"",SUMIFS('12_Production_Log'!$H:$H,'12_Production_Log'!$B:$B,"&gt;="&amp;A14,'12_Production_Log'!$B:$B,"&lt;"&amp;A14+7,'12_Production_Log'!$C:$C,B14))</x:f>
        <x:v>0</x:v>
      </x:c>
      <x:c r="F14" s="136" t="n">
        <x:f>IF(OR(A14="",B14=""),"",SUMIFS('13_Labor_Time'!$J:$J,'13_Labor_Time'!$B:$B,"&gt;="&amp;A14,'13_Labor_Time'!$B:$B,"&lt;"&amp;A14+7,'13_Labor_Time'!$C:$C,B14))</x:f>
        <x:v>0</x:v>
      </x:c>
      <x:c r="G14" s="70" t="n">
        <x:f>IF(OR(A14="",B14=""),"",SUMIFS('14_Materials_Log'!$I:$I,'14_Materials_Log'!$B:$B,"&gt;="&amp;A14,'14_Materials_Log'!$B:$B,"&lt;"&amp;A14+7,'14_Materials_Log'!$C:$C,B14))</x:f>
        <x:v>0</x:v>
      </x:c>
      <x:c r="H14" s="70" t="n">
        <x:f>IF(OR(A14="",B14=""),"",SUMIFS('15_Equipment_Log'!$M:$M,'15_Equipment_Log'!$B:$B,"&gt;="&amp;A14,'15_Equipment_Log'!$B:$B,"&lt;"&amp;A14+7,'15_Equipment_Log'!$C:$C,B14))</x:f>
        <x:v>0</x:v>
      </x:c>
      <x:c r="I14" s="70" t="n">
        <x:f>IF(OR(A14="",B14=""),"",SUMIFS('12_Production_Log'!$M:$M,'12_Production_Log'!$B:$B,"&gt;="&amp;A14,'12_Production_Log'!$B:$B,"&lt;"&amp;A14+7,'12_Production_Log'!$C:$C,B14)+SUMIFS('14_Materials_Log'!$I:$I,'14_Materials_Log'!$B:$B,"&gt;="&amp;A14,'14_Materials_Log'!$B:$B,"&lt;"&amp;A14+7,'14_Materials_Log'!$C:$C,B14,'14_Materials_Log'!$J:$J,"Yes"))</x:f>
        <x:v>0</x:v>
      </x:c>
      <x:c r="J14" s="70" t="n">
        <x:f>IF(OR(A14="",B14=""),"",SUMIFS('13_Labor_Time'!$L:$L,'13_Labor_Time'!$B:$B,"&gt;="&amp;A14,'13_Labor_Time'!$B:$B,"&lt;"&amp;A14+7,'13_Labor_Time'!$C:$C,B14))</x:f>
        <x:v>0</x:v>
      </x:c>
      <x:c r="K14" s="70" t="str">
        <x:f>IF(OR(I14="",G14="",H14="",J14=""),"",I14-G14-H14-J14)</x:f>
      </x:c>
      <x:c r="L14" s="140" t="str">
        <x:f>IF(C14=0,"",COUNTIFS('11_Intake_Daily'!$C:$C,"&gt;="&amp;A14,'11_Intake_Daily'!$C:$C,"&lt;"&amp;A14+7,'11_Intake_Daily'!$D:$D,B14,'11_Intake_Daily'!$AA:$AA,"Yes")/C14)</x:f>
      </x:c>
    </x:row>
    <x:row r="15" ht="20" customHeight="1">
      <x:c r="A15" s="28" t="n">
        <x:v>46230</x:v>
      </x:c>
      <x:c r="B15" s="15" t="str">
        <x:v>PRJ-1002</x:v>
      </x:c>
      <x:c r="C15" s="15" t="n">
        <x:f>IF(OR(A15="",B15=""),"",COUNTIFS('11_Intake_Daily'!$C:$C,"&gt;="&amp;A15,'11_Intake_Daily'!$C:$C,"&lt;"&amp;A15+7,'11_Intake_Daily'!$D:$D,B15))</x:f>
        <x:v>0</x:v>
      </x:c>
      <x:c r="D15" s="15" t="n">
        <x:f>IF(OR(A15="",B15=""),"",COUNTIFS('20_Proof_Queue'!$B:$B,"&gt;="&amp;A15,'20_Proof_Queue'!$B:$B,"&lt;"&amp;A15+7,'20_Proof_Queue'!$C:$C,B15,'20_Proof_Queue'!$H:$H,"&lt;&gt;Closed"))</x:f>
        <x:v>0</x:v>
      </x:c>
      <x:c r="E15" s="138" t="n">
        <x:f>IF(OR(A15="",B15=""),"",SUMIFS('12_Production_Log'!$H:$H,'12_Production_Log'!$B:$B,"&gt;="&amp;A15,'12_Production_Log'!$B:$B,"&lt;"&amp;A15+7,'12_Production_Log'!$C:$C,B15))</x:f>
        <x:v>0</x:v>
      </x:c>
      <x:c r="F15" s="136" t="n">
        <x:f>IF(OR(A15="",B15=""),"",SUMIFS('13_Labor_Time'!$J:$J,'13_Labor_Time'!$B:$B,"&gt;="&amp;A15,'13_Labor_Time'!$B:$B,"&lt;"&amp;A15+7,'13_Labor_Time'!$C:$C,B15))</x:f>
        <x:v>0</x:v>
      </x:c>
      <x:c r="G15" s="70" t="n">
        <x:f>IF(OR(A15="",B15=""),"",SUMIFS('14_Materials_Log'!$I:$I,'14_Materials_Log'!$B:$B,"&gt;="&amp;A15,'14_Materials_Log'!$B:$B,"&lt;"&amp;A15+7,'14_Materials_Log'!$C:$C,B15))</x:f>
        <x:v>0</x:v>
      </x:c>
      <x:c r="H15" s="70" t="n">
        <x:f>IF(OR(A15="",B15=""),"",SUMIFS('15_Equipment_Log'!$M:$M,'15_Equipment_Log'!$B:$B,"&gt;="&amp;A15,'15_Equipment_Log'!$B:$B,"&lt;"&amp;A15+7,'15_Equipment_Log'!$C:$C,B15))</x:f>
        <x:v>0</x:v>
      </x:c>
      <x:c r="I15" s="70" t="n">
        <x:f>IF(OR(A15="",B15=""),"",SUMIFS('12_Production_Log'!$M:$M,'12_Production_Log'!$B:$B,"&gt;="&amp;A15,'12_Production_Log'!$B:$B,"&lt;"&amp;A15+7,'12_Production_Log'!$C:$C,B15)+SUMIFS('14_Materials_Log'!$I:$I,'14_Materials_Log'!$B:$B,"&gt;="&amp;A15,'14_Materials_Log'!$B:$B,"&lt;"&amp;A15+7,'14_Materials_Log'!$C:$C,B15,'14_Materials_Log'!$J:$J,"Yes"))</x:f>
        <x:v>0</x:v>
      </x:c>
      <x:c r="J15" s="70" t="n">
        <x:f>IF(OR(A15="",B15=""),"",SUMIFS('13_Labor_Time'!$L:$L,'13_Labor_Time'!$B:$B,"&gt;="&amp;A15,'13_Labor_Time'!$B:$B,"&lt;"&amp;A15+7,'13_Labor_Time'!$C:$C,B15))</x:f>
        <x:v>0</x:v>
      </x:c>
      <x:c r="K15" s="70" t="str">
        <x:f>IF(OR(I15="",G15="",H15="",J15=""),"",I15-G15-H15-J15)</x:f>
      </x:c>
      <x:c r="L15" s="140" t="str">
        <x:f>IF(C15=0,"",COUNTIFS('11_Intake_Daily'!$C:$C,"&gt;="&amp;A15,'11_Intake_Daily'!$C:$C,"&lt;"&amp;A15+7,'11_Intake_Daily'!$D:$D,B15,'11_Intake_Daily'!$AA:$AA,"Yes")/C15)</x:f>
      </x:c>
    </x:row>
    <x:row r="16" ht="20" customHeight="1">
      <x:c r="A16" s="28" t="n">
        <x:v>46230</x:v>
      </x:c>
      <x:c r="B16" s="15" t="str">
        <x:v>PRJ-1003</x:v>
      </x:c>
      <x:c r="C16" s="15" t="n">
        <x:f>IF(OR(A16="",B16=""),"",COUNTIFS('11_Intake_Daily'!$C:$C,"&gt;="&amp;A16,'11_Intake_Daily'!$C:$C,"&lt;"&amp;A16+7,'11_Intake_Daily'!$D:$D,B16))</x:f>
        <x:v>0</x:v>
      </x:c>
      <x:c r="D16" s="15" t="n">
        <x:f>IF(OR(A16="",B16=""),"",COUNTIFS('20_Proof_Queue'!$B:$B,"&gt;="&amp;A16,'20_Proof_Queue'!$B:$B,"&lt;"&amp;A16+7,'20_Proof_Queue'!$C:$C,B16,'20_Proof_Queue'!$H:$H,"&lt;&gt;Closed"))</x:f>
        <x:v>0</x:v>
      </x:c>
      <x:c r="E16" s="138" t="n">
        <x:f>IF(OR(A16="",B16=""),"",SUMIFS('12_Production_Log'!$H:$H,'12_Production_Log'!$B:$B,"&gt;="&amp;A16,'12_Production_Log'!$B:$B,"&lt;"&amp;A16+7,'12_Production_Log'!$C:$C,B16))</x:f>
        <x:v>0</x:v>
      </x:c>
      <x:c r="F16" s="136" t="n">
        <x:f>IF(OR(A16="",B16=""),"",SUMIFS('13_Labor_Time'!$J:$J,'13_Labor_Time'!$B:$B,"&gt;="&amp;A16,'13_Labor_Time'!$B:$B,"&lt;"&amp;A16+7,'13_Labor_Time'!$C:$C,B16))</x:f>
        <x:v>0</x:v>
      </x:c>
      <x:c r="G16" s="70" t="n">
        <x:f>IF(OR(A16="",B16=""),"",SUMIFS('14_Materials_Log'!$I:$I,'14_Materials_Log'!$B:$B,"&gt;="&amp;A16,'14_Materials_Log'!$B:$B,"&lt;"&amp;A16+7,'14_Materials_Log'!$C:$C,B16))</x:f>
        <x:v>0</x:v>
      </x:c>
      <x:c r="H16" s="70" t="n">
        <x:f>IF(OR(A16="",B16=""),"",SUMIFS('15_Equipment_Log'!$M:$M,'15_Equipment_Log'!$B:$B,"&gt;="&amp;A16,'15_Equipment_Log'!$B:$B,"&lt;"&amp;A16+7,'15_Equipment_Log'!$C:$C,B16))</x:f>
        <x:v>0</x:v>
      </x:c>
      <x:c r="I16" s="70" t="n">
        <x:f>IF(OR(A16="",B16=""),"",SUMIFS('12_Production_Log'!$M:$M,'12_Production_Log'!$B:$B,"&gt;="&amp;A16,'12_Production_Log'!$B:$B,"&lt;"&amp;A16+7,'12_Production_Log'!$C:$C,B16)+SUMIFS('14_Materials_Log'!$I:$I,'14_Materials_Log'!$B:$B,"&gt;="&amp;A16,'14_Materials_Log'!$B:$B,"&lt;"&amp;A16+7,'14_Materials_Log'!$C:$C,B16,'14_Materials_Log'!$J:$J,"Yes"))</x:f>
        <x:v>0</x:v>
      </x:c>
      <x:c r="J16" s="70" t="n">
        <x:f>IF(OR(A16="",B16=""),"",SUMIFS('13_Labor_Time'!$L:$L,'13_Labor_Time'!$B:$B,"&gt;="&amp;A16,'13_Labor_Time'!$B:$B,"&lt;"&amp;A16+7,'13_Labor_Time'!$C:$C,B16))</x:f>
        <x:v>0</x:v>
      </x:c>
      <x:c r="K16" s="70" t="str">
        <x:f>IF(OR(I16="",G16="",H16="",J16=""),"",I16-G16-H16-J16)</x:f>
      </x:c>
      <x:c r="L16" s="140" t="str">
        <x:f>IF(C16=0,"",COUNTIFS('11_Intake_Daily'!$C:$C,"&gt;="&amp;A16,'11_Intake_Daily'!$C:$C,"&lt;"&amp;A16+7,'11_Intake_Daily'!$D:$D,B16,'11_Intake_Daily'!$AA:$AA,"Yes")/C16)</x:f>
      </x:c>
    </x:row>
    <x:row r="17" ht="20" customHeight="1">
      <x:c r="A17" s="28" t="n">
        <x:v>46237</x:v>
      </x:c>
      <x:c r="B17" s="15" t="str">
        <x:v>PRJ-1001</x:v>
      </x:c>
      <x:c r="C17" s="15" t="n">
        <x:f>IF(OR(A17="",B17=""),"",COUNTIFS('11_Intake_Daily'!$C:$C,"&gt;="&amp;A17,'11_Intake_Daily'!$C:$C,"&lt;"&amp;A17+7,'11_Intake_Daily'!$D:$D,B17))</x:f>
        <x:v>0</x:v>
      </x:c>
      <x:c r="D17" s="15" t="n">
        <x:f>IF(OR(A17="",B17=""),"",COUNTIFS('20_Proof_Queue'!$B:$B,"&gt;="&amp;A17,'20_Proof_Queue'!$B:$B,"&lt;"&amp;A17+7,'20_Proof_Queue'!$C:$C,B17,'20_Proof_Queue'!$H:$H,"&lt;&gt;Closed"))</x:f>
        <x:v>0</x:v>
      </x:c>
      <x:c r="E17" s="138" t="n">
        <x:f>IF(OR(A17="",B17=""),"",SUMIFS('12_Production_Log'!$H:$H,'12_Production_Log'!$B:$B,"&gt;="&amp;A17,'12_Production_Log'!$B:$B,"&lt;"&amp;A17+7,'12_Production_Log'!$C:$C,B17))</x:f>
        <x:v>0</x:v>
      </x:c>
      <x:c r="F17" s="136" t="n">
        <x:f>IF(OR(A17="",B17=""),"",SUMIFS('13_Labor_Time'!$J:$J,'13_Labor_Time'!$B:$B,"&gt;="&amp;A17,'13_Labor_Time'!$B:$B,"&lt;"&amp;A17+7,'13_Labor_Time'!$C:$C,B17))</x:f>
        <x:v>0</x:v>
      </x:c>
      <x:c r="G17" s="70" t="n">
        <x:f>IF(OR(A17="",B17=""),"",SUMIFS('14_Materials_Log'!$I:$I,'14_Materials_Log'!$B:$B,"&gt;="&amp;A17,'14_Materials_Log'!$B:$B,"&lt;"&amp;A17+7,'14_Materials_Log'!$C:$C,B17))</x:f>
        <x:v>0</x:v>
      </x:c>
      <x:c r="H17" s="70" t="n">
        <x:f>IF(OR(A17="",B17=""),"",SUMIFS('15_Equipment_Log'!$M:$M,'15_Equipment_Log'!$B:$B,"&gt;="&amp;A17,'15_Equipment_Log'!$B:$B,"&lt;"&amp;A17+7,'15_Equipment_Log'!$C:$C,B17))</x:f>
        <x:v>0</x:v>
      </x:c>
      <x:c r="I17" s="70" t="n">
        <x:f>IF(OR(A17="",B17=""),"",SUMIFS('12_Production_Log'!$M:$M,'12_Production_Log'!$B:$B,"&gt;="&amp;A17,'12_Production_Log'!$B:$B,"&lt;"&amp;A17+7,'12_Production_Log'!$C:$C,B17)+SUMIFS('14_Materials_Log'!$I:$I,'14_Materials_Log'!$B:$B,"&gt;="&amp;A17,'14_Materials_Log'!$B:$B,"&lt;"&amp;A17+7,'14_Materials_Log'!$C:$C,B17,'14_Materials_Log'!$J:$J,"Yes"))</x:f>
        <x:v>0</x:v>
      </x:c>
      <x:c r="J17" s="70" t="n">
        <x:f>IF(OR(A17="",B17=""),"",SUMIFS('13_Labor_Time'!$L:$L,'13_Labor_Time'!$B:$B,"&gt;="&amp;A17,'13_Labor_Time'!$B:$B,"&lt;"&amp;A17+7,'13_Labor_Time'!$C:$C,B17))</x:f>
        <x:v>0</x:v>
      </x:c>
      <x:c r="K17" s="70" t="str">
        <x:f>IF(OR(I17="",G17="",H17="",J17=""),"",I17-G17-H17-J17)</x:f>
      </x:c>
      <x:c r="L17" s="140" t="str">
        <x:f>IF(C17=0,"",COUNTIFS('11_Intake_Daily'!$C:$C,"&gt;="&amp;A17,'11_Intake_Daily'!$C:$C,"&lt;"&amp;A17+7,'11_Intake_Daily'!$D:$D,B17,'11_Intake_Daily'!$AA:$AA,"Yes")/C17)</x:f>
      </x:c>
    </x:row>
    <x:row r="18" ht="20" customHeight="1">
      <x:c r="A18" s="28" t="n">
        <x:v>46237</x:v>
      </x:c>
      <x:c r="B18" s="15" t="str">
        <x:v>PRJ-1002</x:v>
      </x:c>
      <x:c r="C18" s="15" t="n">
        <x:f>IF(OR(A18="",B18=""),"",COUNTIFS('11_Intake_Daily'!$C:$C,"&gt;="&amp;A18,'11_Intake_Daily'!$C:$C,"&lt;"&amp;A18+7,'11_Intake_Daily'!$D:$D,B18))</x:f>
        <x:v>0</x:v>
      </x:c>
      <x:c r="D18" s="15" t="n">
        <x:f>IF(OR(A18="",B18=""),"",COUNTIFS('20_Proof_Queue'!$B:$B,"&gt;="&amp;A18,'20_Proof_Queue'!$B:$B,"&lt;"&amp;A18+7,'20_Proof_Queue'!$C:$C,B18,'20_Proof_Queue'!$H:$H,"&lt;&gt;Closed"))</x:f>
        <x:v>0</x:v>
      </x:c>
      <x:c r="E18" s="138" t="n">
        <x:f>IF(OR(A18="",B18=""),"",SUMIFS('12_Production_Log'!$H:$H,'12_Production_Log'!$B:$B,"&gt;="&amp;A18,'12_Production_Log'!$B:$B,"&lt;"&amp;A18+7,'12_Production_Log'!$C:$C,B18))</x:f>
        <x:v>0</x:v>
      </x:c>
      <x:c r="F18" s="136" t="n">
        <x:f>IF(OR(A18="",B18=""),"",SUMIFS('13_Labor_Time'!$J:$J,'13_Labor_Time'!$B:$B,"&gt;="&amp;A18,'13_Labor_Time'!$B:$B,"&lt;"&amp;A18+7,'13_Labor_Time'!$C:$C,B18))</x:f>
        <x:v>0</x:v>
      </x:c>
      <x:c r="G18" s="70" t="n">
        <x:f>IF(OR(A18="",B18=""),"",SUMIFS('14_Materials_Log'!$I:$I,'14_Materials_Log'!$B:$B,"&gt;="&amp;A18,'14_Materials_Log'!$B:$B,"&lt;"&amp;A18+7,'14_Materials_Log'!$C:$C,B18))</x:f>
        <x:v>0</x:v>
      </x:c>
      <x:c r="H18" s="70" t="n">
        <x:f>IF(OR(A18="",B18=""),"",SUMIFS('15_Equipment_Log'!$M:$M,'15_Equipment_Log'!$B:$B,"&gt;="&amp;A18,'15_Equipment_Log'!$B:$B,"&lt;"&amp;A18+7,'15_Equipment_Log'!$C:$C,B18))</x:f>
        <x:v>0</x:v>
      </x:c>
      <x:c r="I18" s="70" t="n">
        <x:f>IF(OR(A18="",B18=""),"",SUMIFS('12_Production_Log'!$M:$M,'12_Production_Log'!$B:$B,"&gt;="&amp;A18,'12_Production_Log'!$B:$B,"&lt;"&amp;A18+7,'12_Production_Log'!$C:$C,B18)+SUMIFS('14_Materials_Log'!$I:$I,'14_Materials_Log'!$B:$B,"&gt;="&amp;A18,'14_Materials_Log'!$B:$B,"&lt;"&amp;A18+7,'14_Materials_Log'!$C:$C,B18,'14_Materials_Log'!$J:$J,"Yes"))</x:f>
        <x:v>0</x:v>
      </x:c>
      <x:c r="J18" s="70" t="n">
        <x:f>IF(OR(A18="",B18=""),"",SUMIFS('13_Labor_Time'!$L:$L,'13_Labor_Time'!$B:$B,"&gt;="&amp;A18,'13_Labor_Time'!$B:$B,"&lt;"&amp;A18+7,'13_Labor_Time'!$C:$C,B18))</x:f>
        <x:v>0</x:v>
      </x:c>
      <x:c r="K18" s="70" t="str">
        <x:f>IF(OR(I18="",G18="",H18="",J18=""),"",I18-G18-H18-J18)</x:f>
      </x:c>
      <x:c r="L18" s="140" t="str">
        <x:f>IF(C18=0,"",COUNTIFS('11_Intake_Daily'!$C:$C,"&gt;="&amp;A18,'11_Intake_Daily'!$C:$C,"&lt;"&amp;A18+7,'11_Intake_Daily'!$D:$D,B18,'11_Intake_Daily'!$AA:$AA,"Yes")/C18)</x:f>
      </x:c>
    </x:row>
    <x:row r="19" ht="20" customHeight="1">
      <x:c r="A19" s="28" t="n">
        <x:v>46237</x:v>
      </x:c>
      <x:c r="B19" s="15" t="str">
        <x:v>PRJ-1003</x:v>
      </x:c>
      <x:c r="C19" s="15" t="n">
        <x:f>IF(OR(A19="",B19=""),"",COUNTIFS('11_Intake_Daily'!$C:$C,"&gt;="&amp;A19,'11_Intake_Daily'!$C:$C,"&lt;"&amp;A19+7,'11_Intake_Daily'!$D:$D,B19))</x:f>
        <x:v>0</x:v>
      </x:c>
      <x:c r="D19" s="15" t="n">
        <x:f>IF(OR(A19="",B19=""),"",COUNTIFS('20_Proof_Queue'!$B:$B,"&gt;="&amp;A19,'20_Proof_Queue'!$B:$B,"&lt;"&amp;A19+7,'20_Proof_Queue'!$C:$C,B19,'20_Proof_Queue'!$H:$H,"&lt;&gt;Closed"))</x:f>
        <x:v>0</x:v>
      </x:c>
      <x:c r="E19" s="138" t="n">
        <x:f>IF(OR(A19="",B19=""),"",SUMIFS('12_Production_Log'!$H:$H,'12_Production_Log'!$B:$B,"&gt;="&amp;A19,'12_Production_Log'!$B:$B,"&lt;"&amp;A19+7,'12_Production_Log'!$C:$C,B19))</x:f>
        <x:v>0</x:v>
      </x:c>
      <x:c r="F19" s="136" t="n">
        <x:f>IF(OR(A19="",B19=""),"",SUMIFS('13_Labor_Time'!$J:$J,'13_Labor_Time'!$B:$B,"&gt;="&amp;A19,'13_Labor_Time'!$B:$B,"&lt;"&amp;A19+7,'13_Labor_Time'!$C:$C,B19))</x:f>
        <x:v>0</x:v>
      </x:c>
      <x:c r="G19" s="70" t="n">
        <x:f>IF(OR(A19="",B19=""),"",SUMIFS('14_Materials_Log'!$I:$I,'14_Materials_Log'!$B:$B,"&gt;="&amp;A19,'14_Materials_Log'!$B:$B,"&lt;"&amp;A19+7,'14_Materials_Log'!$C:$C,B19))</x:f>
        <x:v>0</x:v>
      </x:c>
      <x:c r="H19" s="70" t="n">
        <x:f>IF(OR(A19="",B19=""),"",SUMIFS('15_Equipment_Log'!$M:$M,'15_Equipment_Log'!$B:$B,"&gt;="&amp;A19,'15_Equipment_Log'!$B:$B,"&lt;"&amp;A19+7,'15_Equipment_Log'!$C:$C,B19))</x:f>
        <x:v>0</x:v>
      </x:c>
      <x:c r="I19" s="70" t="n">
        <x:f>IF(OR(A19="",B19=""),"",SUMIFS('12_Production_Log'!$M:$M,'12_Production_Log'!$B:$B,"&gt;="&amp;A19,'12_Production_Log'!$B:$B,"&lt;"&amp;A19+7,'12_Production_Log'!$C:$C,B19)+SUMIFS('14_Materials_Log'!$I:$I,'14_Materials_Log'!$B:$B,"&gt;="&amp;A19,'14_Materials_Log'!$B:$B,"&lt;"&amp;A19+7,'14_Materials_Log'!$C:$C,B19,'14_Materials_Log'!$J:$J,"Yes"))</x:f>
        <x:v>0</x:v>
      </x:c>
      <x:c r="J19" s="70" t="n">
        <x:f>IF(OR(A19="",B19=""),"",SUMIFS('13_Labor_Time'!$L:$L,'13_Labor_Time'!$B:$B,"&gt;="&amp;A19,'13_Labor_Time'!$B:$B,"&lt;"&amp;A19+7,'13_Labor_Time'!$C:$C,B19))</x:f>
        <x:v>0</x:v>
      </x:c>
      <x:c r="K19" s="70" t="str">
        <x:f>IF(OR(I19="",G19="",H19="",J19=""),"",I19-G19-H19-J19)</x:f>
      </x:c>
      <x:c r="L19" s="140" t="str">
        <x:f>IF(C19=0,"",COUNTIFS('11_Intake_Daily'!$C:$C,"&gt;="&amp;A19,'11_Intake_Daily'!$C:$C,"&lt;"&amp;A19+7,'11_Intake_Daily'!$D:$D,B19,'11_Intake_Daily'!$AA:$AA,"Yes")/C19)</x:f>
      </x:c>
    </x:row>
    <x:row r="20" ht="20" customHeight="1">
      <x:c r="A20" s="28" t="n">
        <x:v>46244</x:v>
      </x:c>
      <x:c r="B20" s="15" t="str">
        <x:v>PRJ-1001</x:v>
      </x:c>
      <x:c r="C20" s="15" t="n">
        <x:f>IF(OR(A20="",B20=""),"",COUNTIFS('11_Intake_Daily'!$C:$C,"&gt;="&amp;A20,'11_Intake_Daily'!$C:$C,"&lt;"&amp;A20+7,'11_Intake_Daily'!$D:$D,B20))</x:f>
        <x:v>0</x:v>
      </x:c>
      <x:c r="D20" s="15" t="n">
        <x:f>IF(OR(A20="",B20=""),"",COUNTIFS('20_Proof_Queue'!$B:$B,"&gt;="&amp;A20,'20_Proof_Queue'!$B:$B,"&lt;"&amp;A20+7,'20_Proof_Queue'!$C:$C,B20,'20_Proof_Queue'!$H:$H,"&lt;&gt;Closed"))</x:f>
        <x:v>0</x:v>
      </x:c>
      <x:c r="E20" s="138" t="n">
        <x:f>IF(OR(A20="",B20=""),"",SUMIFS('12_Production_Log'!$H:$H,'12_Production_Log'!$B:$B,"&gt;="&amp;A20,'12_Production_Log'!$B:$B,"&lt;"&amp;A20+7,'12_Production_Log'!$C:$C,B20))</x:f>
        <x:v>0</x:v>
      </x:c>
      <x:c r="F20" s="136" t="n">
        <x:f>IF(OR(A20="",B20=""),"",SUMIFS('13_Labor_Time'!$J:$J,'13_Labor_Time'!$B:$B,"&gt;="&amp;A20,'13_Labor_Time'!$B:$B,"&lt;"&amp;A20+7,'13_Labor_Time'!$C:$C,B20))</x:f>
        <x:v>0</x:v>
      </x:c>
      <x:c r="G20" s="70" t="n">
        <x:f>IF(OR(A20="",B20=""),"",SUMIFS('14_Materials_Log'!$I:$I,'14_Materials_Log'!$B:$B,"&gt;="&amp;A20,'14_Materials_Log'!$B:$B,"&lt;"&amp;A20+7,'14_Materials_Log'!$C:$C,B20))</x:f>
        <x:v>0</x:v>
      </x:c>
      <x:c r="H20" s="70" t="n">
        <x:f>IF(OR(A20="",B20=""),"",SUMIFS('15_Equipment_Log'!$M:$M,'15_Equipment_Log'!$B:$B,"&gt;="&amp;A20,'15_Equipment_Log'!$B:$B,"&lt;"&amp;A20+7,'15_Equipment_Log'!$C:$C,B20))</x:f>
        <x:v>0</x:v>
      </x:c>
      <x:c r="I20" s="70" t="n">
        <x:f>IF(OR(A20="",B20=""),"",SUMIFS('12_Production_Log'!$M:$M,'12_Production_Log'!$B:$B,"&gt;="&amp;A20,'12_Production_Log'!$B:$B,"&lt;"&amp;A20+7,'12_Production_Log'!$C:$C,B20)+SUMIFS('14_Materials_Log'!$I:$I,'14_Materials_Log'!$B:$B,"&gt;="&amp;A20,'14_Materials_Log'!$B:$B,"&lt;"&amp;A20+7,'14_Materials_Log'!$C:$C,B20,'14_Materials_Log'!$J:$J,"Yes"))</x:f>
        <x:v>0</x:v>
      </x:c>
      <x:c r="J20" s="70" t="n">
        <x:f>IF(OR(A20="",B20=""),"",SUMIFS('13_Labor_Time'!$L:$L,'13_Labor_Time'!$B:$B,"&gt;="&amp;A20,'13_Labor_Time'!$B:$B,"&lt;"&amp;A20+7,'13_Labor_Time'!$C:$C,B20))</x:f>
        <x:v>0</x:v>
      </x:c>
      <x:c r="K20" s="70" t="str">
        <x:f>IF(OR(I20="",G20="",H20="",J20=""),"",I20-G20-H20-J20)</x:f>
      </x:c>
      <x:c r="L20" s="140" t="str">
        <x:f>IF(C20=0,"",COUNTIFS('11_Intake_Daily'!$C:$C,"&gt;="&amp;A20,'11_Intake_Daily'!$C:$C,"&lt;"&amp;A20+7,'11_Intake_Daily'!$D:$D,B20,'11_Intake_Daily'!$AA:$AA,"Yes")/C20)</x:f>
      </x:c>
    </x:row>
    <x:row r="21" ht="20" customHeight="1">
      <x:c r="A21" s="28" t="n">
        <x:v>46244</x:v>
      </x:c>
      <x:c r="B21" s="15" t="str">
        <x:v>PRJ-1002</x:v>
      </x:c>
      <x:c r="C21" s="15" t="n">
        <x:f>IF(OR(A21="",B21=""),"",COUNTIFS('11_Intake_Daily'!$C:$C,"&gt;="&amp;A21,'11_Intake_Daily'!$C:$C,"&lt;"&amp;A21+7,'11_Intake_Daily'!$D:$D,B21))</x:f>
        <x:v>0</x:v>
      </x:c>
      <x:c r="D21" s="15" t="n">
        <x:f>IF(OR(A21="",B21=""),"",COUNTIFS('20_Proof_Queue'!$B:$B,"&gt;="&amp;A21,'20_Proof_Queue'!$B:$B,"&lt;"&amp;A21+7,'20_Proof_Queue'!$C:$C,B21,'20_Proof_Queue'!$H:$H,"&lt;&gt;Closed"))</x:f>
        <x:v>0</x:v>
      </x:c>
      <x:c r="E21" s="138" t="n">
        <x:f>IF(OR(A21="",B21=""),"",SUMIFS('12_Production_Log'!$H:$H,'12_Production_Log'!$B:$B,"&gt;="&amp;A21,'12_Production_Log'!$B:$B,"&lt;"&amp;A21+7,'12_Production_Log'!$C:$C,B21))</x:f>
        <x:v>0</x:v>
      </x:c>
      <x:c r="F21" s="136" t="n">
        <x:f>IF(OR(A21="",B21=""),"",SUMIFS('13_Labor_Time'!$J:$J,'13_Labor_Time'!$B:$B,"&gt;="&amp;A21,'13_Labor_Time'!$B:$B,"&lt;"&amp;A21+7,'13_Labor_Time'!$C:$C,B21))</x:f>
        <x:v>0</x:v>
      </x:c>
      <x:c r="G21" s="70" t="n">
        <x:f>IF(OR(A21="",B21=""),"",SUMIFS('14_Materials_Log'!$I:$I,'14_Materials_Log'!$B:$B,"&gt;="&amp;A21,'14_Materials_Log'!$B:$B,"&lt;"&amp;A21+7,'14_Materials_Log'!$C:$C,B21))</x:f>
        <x:v>0</x:v>
      </x:c>
      <x:c r="H21" s="70" t="n">
        <x:f>IF(OR(A21="",B21=""),"",SUMIFS('15_Equipment_Log'!$M:$M,'15_Equipment_Log'!$B:$B,"&gt;="&amp;A21,'15_Equipment_Log'!$B:$B,"&lt;"&amp;A21+7,'15_Equipment_Log'!$C:$C,B21))</x:f>
        <x:v>0</x:v>
      </x:c>
      <x:c r="I21" s="70" t="n">
        <x:f>IF(OR(A21="",B21=""),"",SUMIFS('12_Production_Log'!$M:$M,'12_Production_Log'!$B:$B,"&gt;="&amp;A21,'12_Production_Log'!$B:$B,"&lt;"&amp;A21+7,'12_Production_Log'!$C:$C,B21)+SUMIFS('14_Materials_Log'!$I:$I,'14_Materials_Log'!$B:$B,"&gt;="&amp;A21,'14_Materials_Log'!$B:$B,"&lt;"&amp;A21+7,'14_Materials_Log'!$C:$C,B21,'14_Materials_Log'!$J:$J,"Yes"))</x:f>
        <x:v>0</x:v>
      </x:c>
      <x:c r="J21" s="70" t="n">
        <x:f>IF(OR(A21="",B21=""),"",SUMIFS('13_Labor_Time'!$L:$L,'13_Labor_Time'!$B:$B,"&gt;="&amp;A21,'13_Labor_Time'!$B:$B,"&lt;"&amp;A21+7,'13_Labor_Time'!$C:$C,B21))</x:f>
        <x:v>0</x:v>
      </x:c>
      <x:c r="K21" s="70" t="str">
        <x:f>IF(OR(I21="",G21="",H21="",J21=""),"",I21-G21-H21-J21)</x:f>
      </x:c>
      <x:c r="L21" s="140" t="str">
        <x:f>IF(C21=0,"",COUNTIFS('11_Intake_Daily'!$C:$C,"&gt;="&amp;A21,'11_Intake_Daily'!$C:$C,"&lt;"&amp;A21+7,'11_Intake_Daily'!$D:$D,B21,'11_Intake_Daily'!$AA:$AA,"Yes")/C21)</x:f>
      </x:c>
    </x:row>
    <x:row r="22" ht="20" customHeight="1">
      <x:c r="A22" s="28" t="n">
        <x:v>46244</x:v>
      </x:c>
      <x:c r="B22" s="15" t="str">
        <x:v>PRJ-1003</x:v>
      </x:c>
      <x:c r="C22" s="15" t="n">
        <x:f>IF(OR(A22="",B22=""),"",COUNTIFS('11_Intake_Daily'!$C:$C,"&gt;="&amp;A22,'11_Intake_Daily'!$C:$C,"&lt;"&amp;A22+7,'11_Intake_Daily'!$D:$D,B22))</x:f>
        <x:v>0</x:v>
      </x:c>
      <x:c r="D22" s="15" t="n">
        <x:f>IF(OR(A22="",B22=""),"",COUNTIFS('20_Proof_Queue'!$B:$B,"&gt;="&amp;A22,'20_Proof_Queue'!$B:$B,"&lt;"&amp;A22+7,'20_Proof_Queue'!$C:$C,B22,'20_Proof_Queue'!$H:$H,"&lt;&gt;Closed"))</x:f>
        <x:v>0</x:v>
      </x:c>
      <x:c r="E22" s="138" t="n">
        <x:f>IF(OR(A22="",B22=""),"",SUMIFS('12_Production_Log'!$H:$H,'12_Production_Log'!$B:$B,"&gt;="&amp;A22,'12_Production_Log'!$B:$B,"&lt;"&amp;A22+7,'12_Production_Log'!$C:$C,B22))</x:f>
        <x:v>0</x:v>
      </x:c>
      <x:c r="F22" s="136" t="n">
        <x:f>IF(OR(A22="",B22=""),"",SUMIFS('13_Labor_Time'!$J:$J,'13_Labor_Time'!$B:$B,"&gt;="&amp;A22,'13_Labor_Time'!$B:$B,"&lt;"&amp;A22+7,'13_Labor_Time'!$C:$C,B22))</x:f>
        <x:v>0</x:v>
      </x:c>
      <x:c r="G22" s="70" t="n">
        <x:f>IF(OR(A22="",B22=""),"",SUMIFS('14_Materials_Log'!$I:$I,'14_Materials_Log'!$B:$B,"&gt;="&amp;A22,'14_Materials_Log'!$B:$B,"&lt;"&amp;A22+7,'14_Materials_Log'!$C:$C,B22))</x:f>
        <x:v>0</x:v>
      </x:c>
      <x:c r="H22" s="70" t="n">
        <x:f>IF(OR(A22="",B22=""),"",SUMIFS('15_Equipment_Log'!$M:$M,'15_Equipment_Log'!$B:$B,"&gt;="&amp;A22,'15_Equipment_Log'!$B:$B,"&lt;"&amp;A22+7,'15_Equipment_Log'!$C:$C,B22))</x:f>
        <x:v>0</x:v>
      </x:c>
      <x:c r="I22" s="70" t="n">
        <x:f>IF(OR(A22="",B22=""),"",SUMIFS('12_Production_Log'!$M:$M,'12_Production_Log'!$B:$B,"&gt;="&amp;A22,'12_Production_Log'!$B:$B,"&lt;"&amp;A22+7,'12_Production_Log'!$C:$C,B22)+SUMIFS('14_Materials_Log'!$I:$I,'14_Materials_Log'!$B:$B,"&gt;="&amp;A22,'14_Materials_Log'!$B:$B,"&lt;"&amp;A22+7,'14_Materials_Log'!$C:$C,B22,'14_Materials_Log'!$J:$J,"Yes"))</x:f>
        <x:v>0</x:v>
      </x:c>
      <x:c r="J22" s="70" t="n">
        <x:f>IF(OR(A22="",B22=""),"",SUMIFS('13_Labor_Time'!$L:$L,'13_Labor_Time'!$B:$B,"&gt;="&amp;A22,'13_Labor_Time'!$B:$B,"&lt;"&amp;A22+7,'13_Labor_Time'!$C:$C,B22))</x:f>
        <x:v>0</x:v>
      </x:c>
      <x:c r="K22" s="70" t="str">
        <x:f>IF(OR(I22="",G22="",H22="",J22=""),"",I22-G22-H22-J22)</x:f>
      </x:c>
      <x:c r="L22" s="140" t="str">
        <x:f>IF(C22=0,"",COUNTIFS('11_Intake_Daily'!$C:$C,"&gt;="&amp;A22,'11_Intake_Daily'!$C:$C,"&lt;"&amp;A22+7,'11_Intake_Daily'!$D:$D,B22,'11_Intake_Daily'!$AA:$AA,"Yes")/C22)</x:f>
      </x:c>
    </x:row>
    <x:row r="23" ht="20" customHeight="1">
      <x:c r="A23" s="28" t="n">
        <x:v>46251</x:v>
      </x:c>
      <x:c r="B23" s="15" t="str">
        <x:v>PRJ-1001</x:v>
      </x:c>
      <x:c r="C23" s="15" t="n">
        <x:f>IF(OR(A23="",B23=""),"",COUNTIFS('11_Intake_Daily'!$C:$C,"&gt;="&amp;A23,'11_Intake_Daily'!$C:$C,"&lt;"&amp;A23+7,'11_Intake_Daily'!$D:$D,B23))</x:f>
        <x:v>0</x:v>
      </x:c>
      <x:c r="D23" s="15" t="n">
        <x:f>IF(OR(A23="",B23=""),"",COUNTIFS('20_Proof_Queue'!$B:$B,"&gt;="&amp;A23,'20_Proof_Queue'!$B:$B,"&lt;"&amp;A23+7,'20_Proof_Queue'!$C:$C,B23,'20_Proof_Queue'!$H:$H,"&lt;&gt;Closed"))</x:f>
        <x:v>0</x:v>
      </x:c>
      <x:c r="E23" s="138" t="n">
        <x:f>IF(OR(A23="",B23=""),"",SUMIFS('12_Production_Log'!$H:$H,'12_Production_Log'!$B:$B,"&gt;="&amp;A23,'12_Production_Log'!$B:$B,"&lt;"&amp;A23+7,'12_Production_Log'!$C:$C,B23))</x:f>
        <x:v>0</x:v>
      </x:c>
      <x:c r="F23" s="136" t="n">
        <x:f>IF(OR(A23="",B23=""),"",SUMIFS('13_Labor_Time'!$J:$J,'13_Labor_Time'!$B:$B,"&gt;="&amp;A23,'13_Labor_Time'!$B:$B,"&lt;"&amp;A23+7,'13_Labor_Time'!$C:$C,B23))</x:f>
        <x:v>0</x:v>
      </x:c>
      <x:c r="G23" s="70" t="n">
        <x:f>IF(OR(A23="",B23=""),"",SUMIFS('14_Materials_Log'!$I:$I,'14_Materials_Log'!$B:$B,"&gt;="&amp;A23,'14_Materials_Log'!$B:$B,"&lt;"&amp;A23+7,'14_Materials_Log'!$C:$C,B23))</x:f>
        <x:v>0</x:v>
      </x:c>
      <x:c r="H23" s="70" t="n">
        <x:f>IF(OR(A23="",B23=""),"",SUMIFS('15_Equipment_Log'!$M:$M,'15_Equipment_Log'!$B:$B,"&gt;="&amp;A23,'15_Equipment_Log'!$B:$B,"&lt;"&amp;A23+7,'15_Equipment_Log'!$C:$C,B23))</x:f>
        <x:v>0</x:v>
      </x:c>
      <x:c r="I23" s="70" t="n">
        <x:f>IF(OR(A23="",B23=""),"",SUMIFS('12_Production_Log'!$M:$M,'12_Production_Log'!$B:$B,"&gt;="&amp;A23,'12_Production_Log'!$B:$B,"&lt;"&amp;A23+7,'12_Production_Log'!$C:$C,B23)+SUMIFS('14_Materials_Log'!$I:$I,'14_Materials_Log'!$B:$B,"&gt;="&amp;A23,'14_Materials_Log'!$B:$B,"&lt;"&amp;A23+7,'14_Materials_Log'!$C:$C,B23,'14_Materials_Log'!$J:$J,"Yes"))</x:f>
        <x:v>0</x:v>
      </x:c>
      <x:c r="J23" s="70" t="n">
        <x:f>IF(OR(A23="",B23=""),"",SUMIFS('13_Labor_Time'!$L:$L,'13_Labor_Time'!$B:$B,"&gt;="&amp;A23,'13_Labor_Time'!$B:$B,"&lt;"&amp;A23+7,'13_Labor_Time'!$C:$C,B23))</x:f>
        <x:v>0</x:v>
      </x:c>
      <x:c r="K23" s="70" t="str">
        <x:f>IF(OR(I23="",G23="",H23="",J23=""),"",I23-G23-H23-J23)</x:f>
      </x:c>
      <x:c r="L23" s="140" t="str">
        <x:f>IF(C23=0,"",COUNTIFS('11_Intake_Daily'!$C:$C,"&gt;="&amp;A23,'11_Intake_Daily'!$C:$C,"&lt;"&amp;A23+7,'11_Intake_Daily'!$D:$D,B23,'11_Intake_Daily'!$AA:$AA,"Yes")/C23)</x:f>
      </x:c>
    </x:row>
    <x:row r="24" ht="20" customHeight="1">
      <x:c r="A24" s="28" t="n">
        <x:v>46251</x:v>
      </x:c>
      <x:c r="B24" s="15" t="str">
        <x:v>PRJ-1002</x:v>
      </x:c>
      <x:c r="C24" s="15" t="n">
        <x:f>IF(OR(A24="",B24=""),"",COUNTIFS('11_Intake_Daily'!$C:$C,"&gt;="&amp;A24,'11_Intake_Daily'!$C:$C,"&lt;"&amp;A24+7,'11_Intake_Daily'!$D:$D,B24))</x:f>
        <x:v>0</x:v>
      </x:c>
      <x:c r="D24" s="15" t="n">
        <x:f>IF(OR(A24="",B24=""),"",COUNTIFS('20_Proof_Queue'!$B:$B,"&gt;="&amp;A24,'20_Proof_Queue'!$B:$B,"&lt;"&amp;A24+7,'20_Proof_Queue'!$C:$C,B24,'20_Proof_Queue'!$H:$H,"&lt;&gt;Closed"))</x:f>
        <x:v>0</x:v>
      </x:c>
      <x:c r="E24" s="138" t="n">
        <x:f>IF(OR(A24="",B24=""),"",SUMIFS('12_Production_Log'!$H:$H,'12_Production_Log'!$B:$B,"&gt;="&amp;A24,'12_Production_Log'!$B:$B,"&lt;"&amp;A24+7,'12_Production_Log'!$C:$C,B24))</x:f>
        <x:v>0</x:v>
      </x:c>
      <x:c r="F24" s="136" t="n">
        <x:f>IF(OR(A24="",B24=""),"",SUMIFS('13_Labor_Time'!$J:$J,'13_Labor_Time'!$B:$B,"&gt;="&amp;A24,'13_Labor_Time'!$B:$B,"&lt;"&amp;A24+7,'13_Labor_Time'!$C:$C,B24))</x:f>
        <x:v>0</x:v>
      </x:c>
      <x:c r="G24" s="70" t="n">
        <x:f>IF(OR(A24="",B24=""),"",SUMIFS('14_Materials_Log'!$I:$I,'14_Materials_Log'!$B:$B,"&gt;="&amp;A24,'14_Materials_Log'!$B:$B,"&lt;"&amp;A24+7,'14_Materials_Log'!$C:$C,B24))</x:f>
        <x:v>0</x:v>
      </x:c>
      <x:c r="H24" s="70" t="n">
        <x:f>IF(OR(A24="",B24=""),"",SUMIFS('15_Equipment_Log'!$M:$M,'15_Equipment_Log'!$B:$B,"&gt;="&amp;A24,'15_Equipment_Log'!$B:$B,"&lt;"&amp;A24+7,'15_Equipment_Log'!$C:$C,B24))</x:f>
        <x:v>0</x:v>
      </x:c>
      <x:c r="I24" s="70" t="n">
        <x:f>IF(OR(A24="",B24=""),"",SUMIFS('12_Production_Log'!$M:$M,'12_Production_Log'!$B:$B,"&gt;="&amp;A24,'12_Production_Log'!$B:$B,"&lt;"&amp;A24+7,'12_Production_Log'!$C:$C,B24)+SUMIFS('14_Materials_Log'!$I:$I,'14_Materials_Log'!$B:$B,"&gt;="&amp;A24,'14_Materials_Log'!$B:$B,"&lt;"&amp;A24+7,'14_Materials_Log'!$C:$C,B24,'14_Materials_Log'!$J:$J,"Yes"))</x:f>
        <x:v>0</x:v>
      </x:c>
      <x:c r="J24" s="70" t="n">
        <x:f>IF(OR(A24="",B24=""),"",SUMIFS('13_Labor_Time'!$L:$L,'13_Labor_Time'!$B:$B,"&gt;="&amp;A24,'13_Labor_Time'!$B:$B,"&lt;"&amp;A24+7,'13_Labor_Time'!$C:$C,B24))</x:f>
        <x:v>0</x:v>
      </x:c>
      <x:c r="K24" s="70" t="str">
        <x:f>IF(OR(I24="",G24="",H24="",J24=""),"",I24-G24-H24-J24)</x:f>
      </x:c>
      <x:c r="L24" s="140" t="str">
        <x:f>IF(C24=0,"",COUNTIFS('11_Intake_Daily'!$C:$C,"&gt;="&amp;A24,'11_Intake_Daily'!$C:$C,"&lt;"&amp;A24+7,'11_Intake_Daily'!$D:$D,B24,'11_Intake_Daily'!$AA:$AA,"Yes")/C24)</x:f>
      </x:c>
    </x:row>
    <x:row r="25" ht="20" customHeight="1">
      <x:c r="A25" s="28" t="n">
        <x:v>46251</x:v>
      </x:c>
      <x:c r="B25" s="15" t="str">
        <x:v>PRJ-1003</x:v>
      </x:c>
      <x:c r="C25" s="15" t="n">
        <x:f>IF(OR(A25="",B25=""),"",COUNTIFS('11_Intake_Daily'!$C:$C,"&gt;="&amp;A25,'11_Intake_Daily'!$C:$C,"&lt;"&amp;A25+7,'11_Intake_Daily'!$D:$D,B25))</x:f>
        <x:v>0</x:v>
      </x:c>
      <x:c r="D25" s="15" t="n">
        <x:f>IF(OR(A25="",B25=""),"",COUNTIFS('20_Proof_Queue'!$B:$B,"&gt;="&amp;A25,'20_Proof_Queue'!$B:$B,"&lt;"&amp;A25+7,'20_Proof_Queue'!$C:$C,B25,'20_Proof_Queue'!$H:$H,"&lt;&gt;Closed"))</x:f>
        <x:v>0</x:v>
      </x:c>
      <x:c r="E25" s="138" t="n">
        <x:f>IF(OR(A25="",B25=""),"",SUMIFS('12_Production_Log'!$H:$H,'12_Production_Log'!$B:$B,"&gt;="&amp;A25,'12_Production_Log'!$B:$B,"&lt;"&amp;A25+7,'12_Production_Log'!$C:$C,B25))</x:f>
        <x:v>0</x:v>
      </x:c>
      <x:c r="F25" s="136" t="n">
        <x:f>IF(OR(A25="",B25=""),"",SUMIFS('13_Labor_Time'!$J:$J,'13_Labor_Time'!$B:$B,"&gt;="&amp;A25,'13_Labor_Time'!$B:$B,"&lt;"&amp;A25+7,'13_Labor_Time'!$C:$C,B25))</x:f>
        <x:v>0</x:v>
      </x:c>
      <x:c r="G25" s="70" t="n">
        <x:f>IF(OR(A25="",B25=""),"",SUMIFS('14_Materials_Log'!$I:$I,'14_Materials_Log'!$B:$B,"&gt;="&amp;A25,'14_Materials_Log'!$B:$B,"&lt;"&amp;A25+7,'14_Materials_Log'!$C:$C,B25))</x:f>
        <x:v>0</x:v>
      </x:c>
      <x:c r="H25" s="70" t="n">
        <x:f>IF(OR(A25="",B25=""),"",SUMIFS('15_Equipment_Log'!$M:$M,'15_Equipment_Log'!$B:$B,"&gt;="&amp;A25,'15_Equipment_Log'!$B:$B,"&lt;"&amp;A25+7,'15_Equipment_Log'!$C:$C,B25))</x:f>
        <x:v>0</x:v>
      </x:c>
      <x:c r="I25" s="70" t="n">
        <x:f>IF(OR(A25="",B25=""),"",SUMIFS('12_Production_Log'!$M:$M,'12_Production_Log'!$B:$B,"&gt;="&amp;A25,'12_Production_Log'!$B:$B,"&lt;"&amp;A25+7,'12_Production_Log'!$C:$C,B25)+SUMIFS('14_Materials_Log'!$I:$I,'14_Materials_Log'!$B:$B,"&gt;="&amp;A25,'14_Materials_Log'!$B:$B,"&lt;"&amp;A25+7,'14_Materials_Log'!$C:$C,B25,'14_Materials_Log'!$J:$J,"Yes"))</x:f>
        <x:v>0</x:v>
      </x:c>
      <x:c r="J25" s="70" t="n">
        <x:f>IF(OR(A25="",B25=""),"",SUMIFS('13_Labor_Time'!$L:$L,'13_Labor_Time'!$B:$B,"&gt;="&amp;A25,'13_Labor_Time'!$B:$B,"&lt;"&amp;A25+7,'13_Labor_Time'!$C:$C,B25))</x:f>
        <x:v>0</x:v>
      </x:c>
      <x:c r="K25" s="70" t="str">
        <x:f>IF(OR(I25="",G25="",H25="",J25=""),"",I25-G25-H25-J25)</x:f>
      </x:c>
      <x:c r="L25" s="140" t="str">
        <x:f>IF(C25=0,"",COUNTIFS('11_Intake_Daily'!$C:$C,"&gt;="&amp;A25,'11_Intake_Daily'!$C:$C,"&lt;"&amp;A25+7,'11_Intake_Daily'!$D:$D,B25,'11_Intake_Daily'!$AA:$AA,"Yes")/C25)</x:f>
      </x:c>
    </x:row>
    <x:row r="26" ht="20" customHeight="1">
      <x:c r="A26" s="28"/>
      <x:c r="B26" s="15"/>
      <x:c r="C26" s="15" t="str">
        <x:f>IF(OR(A26="",B26=""),"",COUNTIFS('11_Intake_Daily'!$C:$C,"&gt;="&amp;A26,'11_Intake_Daily'!$C:$C,"&lt;"&amp;A26+7,'11_Intake_Daily'!$D:$D,B26))</x:f>
      </x:c>
      <x:c r="D26" s="15" t="str">
        <x:f>IF(OR(A26="",B26=""),"",COUNTIFS('20_Proof_Queue'!$B:$B,"&gt;="&amp;A26,'20_Proof_Queue'!$B:$B,"&lt;"&amp;A26+7,'20_Proof_Queue'!$C:$C,B26,'20_Proof_Queue'!$H:$H,"&lt;&gt;Closed"))</x:f>
      </x:c>
      <x:c r="E26" s="138" t="str">
        <x:f>IF(OR(A26="",B26=""),"",SUMIFS('12_Production_Log'!$H:$H,'12_Production_Log'!$B:$B,"&gt;="&amp;A26,'12_Production_Log'!$B:$B,"&lt;"&amp;A26+7,'12_Production_Log'!$C:$C,B26))</x:f>
      </x:c>
      <x:c r="F26" s="136" t="str">
        <x:f>IF(OR(A26="",B26=""),"",SUMIFS('13_Labor_Time'!$J:$J,'13_Labor_Time'!$B:$B,"&gt;="&amp;A26,'13_Labor_Time'!$B:$B,"&lt;"&amp;A26+7,'13_Labor_Time'!$C:$C,B26))</x:f>
      </x:c>
      <x:c r="G26" s="70" t="str">
        <x:f>IF(OR(A26="",B26=""),"",SUMIFS('14_Materials_Log'!$I:$I,'14_Materials_Log'!$B:$B,"&gt;="&amp;A26,'14_Materials_Log'!$B:$B,"&lt;"&amp;A26+7,'14_Materials_Log'!$C:$C,B26))</x:f>
      </x:c>
      <x:c r="H26" s="70" t="str">
        <x:f>IF(OR(A26="",B26=""),"",SUMIFS('15_Equipment_Log'!$M:$M,'15_Equipment_Log'!$B:$B,"&gt;="&amp;A26,'15_Equipment_Log'!$B:$B,"&lt;"&amp;A26+7,'15_Equipment_Log'!$C:$C,B26))</x:f>
      </x:c>
      <x:c r="I26" s="70" t="str">
        <x:f>IF(OR(A26="",B26=""),"",SUMIFS('12_Production_Log'!$M:$M,'12_Production_Log'!$B:$B,"&gt;="&amp;A26,'12_Production_Log'!$B:$B,"&lt;"&amp;A26+7,'12_Production_Log'!$C:$C,B26)+SUMIFS('14_Materials_Log'!$I:$I,'14_Materials_Log'!$B:$B,"&gt;="&amp;A26,'14_Materials_Log'!$B:$B,"&lt;"&amp;A26+7,'14_Materials_Log'!$C:$C,B26,'14_Materials_Log'!$J:$J,"Yes"))</x:f>
      </x:c>
      <x:c r="J26" s="70" t="str">
        <x:f>IF(OR(A26="",B26=""),"",SUMIFS('13_Labor_Time'!$L:$L,'13_Labor_Time'!$B:$B,"&gt;="&amp;A26,'13_Labor_Time'!$B:$B,"&lt;"&amp;A26+7,'13_Labor_Time'!$C:$C,B26))</x:f>
      </x:c>
      <x:c r="K26" s="70" t="str">
        <x:f>IF(OR(I26="",G26="",H26="",J26=""),"",I26-G26-H26-J26)</x:f>
      </x:c>
      <x:c r="L26" s="140" t="str">
        <x:f>IF(C26=0,"",COUNTIFS('11_Intake_Daily'!$C:$C,"&gt;="&amp;A26,'11_Intake_Daily'!$C:$C,"&lt;"&amp;A26+7,'11_Intake_Daily'!$D:$D,B26,'11_Intake_Daily'!$AA:$AA,"Yes")/C26)</x:f>
      </x:c>
    </x:row>
    <x:row r="27" ht="20" customHeight="1">
      <x:c r="A27" s="28"/>
      <x:c r="B27" s="15"/>
      <x:c r="C27" s="15" t="str">
        <x:f>IF(OR(A27="",B27=""),"",COUNTIFS('11_Intake_Daily'!$C:$C,"&gt;="&amp;A27,'11_Intake_Daily'!$C:$C,"&lt;"&amp;A27+7,'11_Intake_Daily'!$D:$D,B27))</x:f>
      </x:c>
      <x:c r="D27" s="15" t="str">
        <x:f>IF(OR(A27="",B27=""),"",COUNTIFS('20_Proof_Queue'!$B:$B,"&gt;="&amp;A27,'20_Proof_Queue'!$B:$B,"&lt;"&amp;A27+7,'20_Proof_Queue'!$C:$C,B27,'20_Proof_Queue'!$H:$H,"&lt;&gt;Closed"))</x:f>
      </x:c>
      <x:c r="E27" s="138" t="str">
        <x:f>IF(OR(A27="",B27=""),"",SUMIFS('12_Production_Log'!$H:$H,'12_Production_Log'!$B:$B,"&gt;="&amp;A27,'12_Production_Log'!$B:$B,"&lt;"&amp;A27+7,'12_Production_Log'!$C:$C,B27))</x:f>
      </x:c>
      <x:c r="F27" s="136" t="str">
        <x:f>IF(OR(A27="",B27=""),"",SUMIFS('13_Labor_Time'!$J:$J,'13_Labor_Time'!$B:$B,"&gt;="&amp;A27,'13_Labor_Time'!$B:$B,"&lt;"&amp;A27+7,'13_Labor_Time'!$C:$C,B27))</x:f>
      </x:c>
      <x:c r="G27" s="70" t="str">
        <x:f>IF(OR(A27="",B27=""),"",SUMIFS('14_Materials_Log'!$I:$I,'14_Materials_Log'!$B:$B,"&gt;="&amp;A27,'14_Materials_Log'!$B:$B,"&lt;"&amp;A27+7,'14_Materials_Log'!$C:$C,B27))</x:f>
      </x:c>
      <x:c r="H27" s="70" t="str">
        <x:f>IF(OR(A27="",B27=""),"",SUMIFS('15_Equipment_Log'!$M:$M,'15_Equipment_Log'!$B:$B,"&gt;="&amp;A27,'15_Equipment_Log'!$B:$B,"&lt;"&amp;A27+7,'15_Equipment_Log'!$C:$C,B27))</x:f>
      </x:c>
      <x:c r="I27" s="70" t="str">
        <x:f>IF(OR(A27="",B27=""),"",SUMIFS('12_Production_Log'!$M:$M,'12_Production_Log'!$B:$B,"&gt;="&amp;A27,'12_Production_Log'!$B:$B,"&lt;"&amp;A27+7,'12_Production_Log'!$C:$C,B27)+SUMIFS('14_Materials_Log'!$I:$I,'14_Materials_Log'!$B:$B,"&gt;="&amp;A27,'14_Materials_Log'!$B:$B,"&lt;"&amp;A27+7,'14_Materials_Log'!$C:$C,B27,'14_Materials_Log'!$J:$J,"Yes"))</x:f>
      </x:c>
      <x:c r="J27" s="70" t="str">
        <x:f>IF(OR(A27="",B27=""),"",SUMIFS('13_Labor_Time'!$L:$L,'13_Labor_Time'!$B:$B,"&gt;="&amp;A27,'13_Labor_Time'!$B:$B,"&lt;"&amp;A27+7,'13_Labor_Time'!$C:$C,B27))</x:f>
      </x:c>
      <x:c r="K27" s="70" t="str">
        <x:f>IF(OR(I27="",G27="",H27="",J27=""),"",I27-G27-H27-J27)</x:f>
      </x:c>
      <x:c r="L27" s="140" t="str">
        <x:f>IF(C27=0,"",COUNTIFS('11_Intake_Daily'!$C:$C,"&gt;="&amp;A27,'11_Intake_Daily'!$C:$C,"&lt;"&amp;A27+7,'11_Intake_Daily'!$D:$D,B27,'11_Intake_Daily'!$AA:$AA,"Yes")/C27)</x:f>
      </x:c>
    </x:row>
    <x:row r="28" ht="20" customHeight="1">
      <x:c r="A28" s="28"/>
      <x:c r="B28" s="15"/>
      <x:c r="C28" s="15" t="str">
        <x:f>IF(OR(A28="",B28=""),"",COUNTIFS('11_Intake_Daily'!$C:$C,"&gt;="&amp;A28,'11_Intake_Daily'!$C:$C,"&lt;"&amp;A28+7,'11_Intake_Daily'!$D:$D,B28))</x:f>
      </x:c>
      <x:c r="D28" s="15" t="str">
        <x:f>IF(OR(A28="",B28=""),"",COUNTIFS('20_Proof_Queue'!$B:$B,"&gt;="&amp;A28,'20_Proof_Queue'!$B:$B,"&lt;"&amp;A28+7,'20_Proof_Queue'!$C:$C,B28,'20_Proof_Queue'!$H:$H,"&lt;&gt;Closed"))</x:f>
      </x:c>
      <x:c r="E28" s="138" t="str">
        <x:f>IF(OR(A28="",B28=""),"",SUMIFS('12_Production_Log'!$H:$H,'12_Production_Log'!$B:$B,"&gt;="&amp;A28,'12_Production_Log'!$B:$B,"&lt;"&amp;A28+7,'12_Production_Log'!$C:$C,B28))</x:f>
      </x:c>
      <x:c r="F28" s="136" t="str">
        <x:f>IF(OR(A28="",B28=""),"",SUMIFS('13_Labor_Time'!$J:$J,'13_Labor_Time'!$B:$B,"&gt;="&amp;A28,'13_Labor_Time'!$B:$B,"&lt;"&amp;A28+7,'13_Labor_Time'!$C:$C,B28))</x:f>
      </x:c>
      <x:c r="G28" s="70" t="str">
        <x:f>IF(OR(A28="",B28=""),"",SUMIFS('14_Materials_Log'!$I:$I,'14_Materials_Log'!$B:$B,"&gt;="&amp;A28,'14_Materials_Log'!$B:$B,"&lt;"&amp;A28+7,'14_Materials_Log'!$C:$C,B28))</x:f>
      </x:c>
      <x:c r="H28" s="70" t="str">
        <x:f>IF(OR(A28="",B28=""),"",SUMIFS('15_Equipment_Log'!$M:$M,'15_Equipment_Log'!$B:$B,"&gt;="&amp;A28,'15_Equipment_Log'!$B:$B,"&lt;"&amp;A28+7,'15_Equipment_Log'!$C:$C,B28))</x:f>
      </x:c>
      <x:c r="I28" s="70" t="str">
        <x:f>IF(OR(A28="",B28=""),"",SUMIFS('12_Production_Log'!$M:$M,'12_Production_Log'!$B:$B,"&gt;="&amp;A28,'12_Production_Log'!$B:$B,"&lt;"&amp;A28+7,'12_Production_Log'!$C:$C,B28)+SUMIFS('14_Materials_Log'!$I:$I,'14_Materials_Log'!$B:$B,"&gt;="&amp;A28,'14_Materials_Log'!$B:$B,"&lt;"&amp;A28+7,'14_Materials_Log'!$C:$C,B28,'14_Materials_Log'!$J:$J,"Yes"))</x:f>
      </x:c>
      <x:c r="J28" s="70" t="str">
        <x:f>IF(OR(A28="",B28=""),"",SUMIFS('13_Labor_Time'!$L:$L,'13_Labor_Time'!$B:$B,"&gt;="&amp;A28,'13_Labor_Time'!$B:$B,"&lt;"&amp;A28+7,'13_Labor_Time'!$C:$C,B28))</x:f>
      </x:c>
      <x:c r="K28" s="70" t="str">
        <x:f>IF(OR(I28="",G28="",H28="",J28=""),"",I28-G28-H28-J28)</x:f>
      </x:c>
      <x:c r="L28" s="140" t="str">
        <x:f>IF(C28=0,"",COUNTIFS('11_Intake_Daily'!$C:$C,"&gt;="&amp;A28,'11_Intake_Daily'!$C:$C,"&lt;"&amp;A28+7,'11_Intake_Daily'!$D:$D,B28,'11_Intake_Daily'!$AA:$AA,"Yes")/C28)</x:f>
      </x:c>
    </x:row>
    <x:row r="29" ht="20" customHeight="1">
      <x:c r="A29" s="28"/>
      <x:c r="B29" s="15"/>
      <x:c r="C29" s="15" t="str">
        <x:f>IF(OR(A29="",B29=""),"",COUNTIFS('11_Intake_Daily'!$C:$C,"&gt;="&amp;A29,'11_Intake_Daily'!$C:$C,"&lt;"&amp;A29+7,'11_Intake_Daily'!$D:$D,B29))</x:f>
      </x:c>
      <x:c r="D29" s="15" t="str">
        <x:f>IF(OR(A29="",B29=""),"",COUNTIFS('20_Proof_Queue'!$B:$B,"&gt;="&amp;A29,'20_Proof_Queue'!$B:$B,"&lt;"&amp;A29+7,'20_Proof_Queue'!$C:$C,B29,'20_Proof_Queue'!$H:$H,"&lt;&gt;Closed"))</x:f>
      </x:c>
      <x:c r="E29" s="138" t="str">
        <x:f>IF(OR(A29="",B29=""),"",SUMIFS('12_Production_Log'!$H:$H,'12_Production_Log'!$B:$B,"&gt;="&amp;A29,'12_Production_Log'!$B:$B,"&lt;"&amp;A29+7,'12_Production_Log'!$C:$C,B29))</x:f>
      </x:c>
      <x:c r="F29" s="136" t="str">
        <x:f>IF(OR(A29="",B29=""),"",SUMIFS('13_Labor_Time'!$J:$J,'13_Labor_Time'!$B:$B,"&gt;="&amp;A29,'13_Labor_Time'!$B:$B,"&lt;"&amp;A29+7,'13_Labor_Time'!$C:$C,B29))</x:f>
      </x:c>
      <x:c r="G29" s="70" t="str">
        <x:f>IF(OR(A29="",B29=""),"",SUMIFS('14_Materials_Log'!$I:$I,'14_Materials_Log'!$B:$B,"&gt;="&amp;A29,'14_Materials_Log'!$B:$B,"&lt;"&amp;A29+7,'14_Materials_Log'!$C:$C,B29))</x:f>
      </x:c>
      <x:c r="H29" s="70" t="str">
        <x:f>IF(OR(A29="",B29=""),"",SUMIFS('15_Equipment_Log'!$M:$M,'15_Equipment_Log'!$B:$B,"&gt;="&amp;A29,'15_Equipment_Log'!$B:$B,"&lt;"&amp;A29+7,'15_Equipment_Log'!$C:$C,B29))</x:f>
      </x:c>
      <x:c r="I29" s="70" t="str">
        <x:f>IF(OR(A29="",B29=""),"",SUMIFS('12_Production_Log'!$M:$M,'12_Production_Log'!$B:$B,"&gt;="&amp;A29,'12_Production_Log'!$B:$B,"&lt;"&amp;A29+7,'12_Production_Log'!$C:$C,B29)+SUMIFS('14_Materials_Log'!$I:$I,'14_Materials_Log'!$B:$B,"&gt;="&amp;A29,'14_Materials_Log'!$B:$B,"&lt;"&amp;A29+7,'14_Materials_Log'!$C:$C,B29,'14_Materials_Log'!$J:$J,"Yes"))</x:f>
      </x:c>
      <x:c r="J29" s="70" t="str">
        <x:f>IF(OR(A29="",B29=""),"",SUMIFS('13_Labor_Time'!$L:$L,'13_Labor_Time'!$B:$B,"&gt;="&amp;A29,'13_Labor_Time'!$B:$B,"&lt;"&amp;A29+7,'13_Labor_Time'!$C:$C,B29))</x:f>
      </x:c>
      <x:c r="K29" s="70" t="str">
        <x:f>IF(OR(I29="",G29="",H29="",J29=""),"",I29-G29-H29-J29)</x:f>
      </x:c>
      <x:c r="L29" s="140" t="str">
        <x:f>IF(C29=0,"",COUNTIFS('11_Intake_Daily'!$C:$C,"&gt;="&amp;A29,'11_Intake_Daily'!$C:$C,"&lt;"&amp;A29+7,'11_Intake_Daily'!$D:$D,B29,'11_Intake_Daily'!$AA:$AA,"Yes")/C29)</x:f>
      </x:c>
    </x:row>
    <x:row r="30" ht="20" customHeight="1">
      <x:c r="A30" s="28"/>
      <x:c r="B30" s="15"/>
      <x:c r="C30" s="15" t="str">
        <x:f>IF(OR(A30="",B30=""),"",COUNTIFS('11_Intake_Daily'!$C:$C,"&gt;="&amp;A30,'11_Intake_Daily'!$C:$C,"&lt;"&amp;A30+7,'11_Intake_Daily'!$D:$D,B30))</x:f>
      </x:c>
      <x:c r="D30" s="15" t="str">
        <x:f>IF(OR(A30="",B30=""),"",COUNTIFS('20_Proof_Queue'!$B:$B,"&gt;="&amp;A30,'20_Proof_Queue'!$B:$B,"&lt;"&amp;A30+7,'20_Proof_Queue'!$C:$C,B30,'20_Proof_Queue'!$H:$H,"&lt;&gt;Closed"))</x:f>
      </x:c>
      <x:c r="E30" s="138" t="str">
        <x:f>IF(OR(A30="",B30=""),"",SUMIFS('12_Production_Log'!$H:$H,'12_Production_Log'!$B:$B,"&gt;="&amp;A30,'12_Production_Log'!$B:$B,"&lt;"&amp;A30+7,'12_Production_Log'!$C:$C,B30))</x:f>
      </x:c>
      <x:c r="F30" s="136" t="str">
        <x:f>IF(OR(A30="",B30=""),"",SUMIFS('13_Labor_Time'!$J:$J,'13_Labor_Time'!$B:$B,"&gt;="&amp;A30,'13_Labor_Time'!$B:$B,"&lt;"&amp;A30+7,'13_Labor_Time'!$C:$C,B30))</x:f>
      </x:c>
      <x:c r="G30" s="70" t="str">
        <x:f>IF(OR(A30="",B30=""),"",SUMIFS('14_Materials_Log'!$I:$I,'14_Materials_Log'!$B:$B,"&gt;="&amp;A30,'14_Materials_Log'!$B:$B,"&lt;"&amp;A30+7,'14_Materials_Log'!$C:$C,B30))</x:f>
      </x:c>
      <x:c r="H30" s="70" t="str">
        <x:f>IF(OR(A30="",B30=""),"",SUMIFS('15_Equipment_Log'!$M:$M,'15_Equipment_Log'!$B:$B,"&gt;="&amp;A30,'15_Equipment_Log'!$B:$B,"&lt;"&amp;A30+7,'15_Equipment_Log'!$C:$C,B30))</x:f>
      </x:c>
      <x:c r="I30" s="70" t="str">
        <x:f>IF(OR(A30="",B30=""),"",SUMIFS('12_Production_Log'!$M:$M,'12_Production_Log'!$B:$B,"&gt;="&amp;A30,'12_Production_Log'!$B:$B,"&lt;"&amp;A30+7,'12_Production_Log'!$C:$C,B30)+SUMIFS('14_Materials_Log'!$I:$I,'14_Materials_Log'!$B:$B,"&gt;="&amp;A30,'14_Materials_Log'!$B:$B,"&lt;"&amp;A30+7,'14_Materials_Log'!$C:$C,B30,'14_Materials_Log'!$J:$J,"Yes"))</x:f>
      </x:c>
      <x:c r="J30" s="70" t="str">
        <x:f>IF(OR(A30="",B30=""),"",SUMIFS('13_Labor_Time'!$L:$L,'13_Labor_Time'!$B:$B,"&gt;="&amp;A30,'13_Labor_Time'!$B:$B,"&lt;"&amp;A30+7,'13_Labor_Time'!$C:$C,B30))</x:f>
      </x:c>
      <x:c r="K30" s="70" t="str">
        <x:f>IF(OR(I30="",G30="",H30="",J30=""),"",I30-G30-H30-J30)</x:f>
      </x:c>
      <x:c r="L30" s="140" t="str">
        <x:f>IF(C30=0,"",COUNTIFS('11_Intake_Daily'!$C:$C,"&gt;="&amp;A30,'11_Intake_Daily'!$C:$C,"&lt;"&amp;A30+7,'11_Intake_Daily'!$D:$D,B30,'11_Intake_Daily'!$AA:$AA,"Yes")/C30)</x:f>
      </x:c>
    </x:row>
    <x:row r="31" ht="20" customHeight="1">
      <x:c r="A31" s="28"/>
      <x:c r="B31" s="15"/>
      <x:c r="C31" s="15" t="str">
        <x:f>IF(OR(A31="",B31=""),"",COUNTIFS('11_Intake_Daily'!$C:$C,"&gt;="&amp;A31,'11_Intake_Daily'!$C:$C,"&lt;"&amp;A31+7,'11_Intake_Daily'!$D:$D,B31))</x:f>
      </x:c>
      <x:c r="D31" s="15" t="str">
        <x:f>IF(OR(A31="",B31=""),"",COUNTIFS('20_Proof_Queue'!$B:$B,"&gt;="&amp;A31,'20_Proof_Queue'!$B:$B,"&lt;"&amp;A31+7,'20_Proof_Queue'!$C:$C,B31,'20_Proof_Queue'!$H:$H,"&lt;&gt;Closed"))</x:f>
      </x:c>
      <x:c r="E31" s="138" t="str">
        <x:f>IF(OR(A31="",B31=""),"",SUMIFS('12_Production_Log'!$H:$H,'12_Production_Log'!$B:$B,"&gt;="&amp;A31,'12_Production_Log'!$B:$B,"&lt;"&amp;A31+7,'12_Production_Log'!$C:$C,B31))</x:f>
      </x:c>
      <x:c r="F31" s="136" t="str">
        <x:f>IF(OR(A31="",B31=""),"",SUMIFS('13_Labor_Time'!$J:$J,'13_Labor_Time'!$B:$B,"&gt;="&amp;A31,'13_Labor_Time'!$B:$B,"&lt;"&amp;A31+7,'13_Labor_Time'!$C:$C,B31))</x:f>
      </x:c>
      <x:c r="G31" s="70" t="str">
        <x:f>IF(OR(A31="",B31=""),"",SUMIFS('14_Materials_Log'!$I:$I,'14_Materials_Log'!$B:$B,"&gt;="&amp;A31,'14_Materials_Log'!$B:$B,"&lt;"&amp;A31+7,'14_Materials_Log'!$C:$C,B31))</x:f>
      </x:c>
      <x:c r="H31" s="70" t="str">
        <x:f>IF(OR(A31="",B31=""),"",SUMIFS('15_Equipment_Log'!$M:$M,'15_Equipment_Log'!$B:$B,"&gt;="&amp;A31,'15_Equipment_Log'!$B:$B,"&lt;"&amp;A31+7,'15_Equipment_Log'!$C:$C,B31))</x:f>
      </x:c>
      <x:c r="I31" s="70" t="str">
        <x:f>IF(OR(A31="",B31=""),"",SUMIFS('12_Production_Log'!$M:$M,'12_Production_Log'!$B:$B,"&gt;="&amp;A31,'12_Production_Log'!$B:$B,"&lt;"&amp;A31+7,'12_Production_Log'!$C:$C,B31)+SUMIFS('14_Materials_Log'!$I:$I,'14_Materials_Log'!$B:$B,"&gt;="&amp;A31,'14_Materials_Log'!$B:$B,"&lt;"&amp;A31+7,'14_Materials_Log'!$C:$C,B31,'14_Materials_Log'!$J:$J,"Yes"))</x:f>
      </x:c>
      <x:c r="J31" s="70" t="str">
        <x:f>IF(OR(A31="",B31=""),"",SUMIFS('13_Labor_Time'!$L:$L,'13_Labor_Time'!$B:$B,"&gt;="&amp;A31,'13_Labor_Time'!$B:$B,"&lt;"&amp;A31+7,'13_Labor_Time'!$C:$C,B31))</x:f>
      </x:c>
      <x:c r="K31" s="70" t="str">
        <x:f>IF(OR(I31="",G31="",H31="",J31=""),"",I31-G31-H31-J31)</x:f>
      </x:c>
      <x:c r="L31" s="140" t="str">
        <x:f>IF(C31=0,"",COUNTIFS('11_Intake_Daily'!$C:$C,"&gt;="&amp;A31,'11_Intake_Daily'!$C:$C,"&lt;"&amp;A31+7,'11_Intake_Daily'!$D:$D,B31,'11_Intake_Daily'!$AA:$AA,"Yes")/C31)</x:f>
      </x:c>
    </x:row>
    <x:row r="32" ht="20" customHeight="1">
      <x:c r="A32" s="28"/>
      <x:c r="B32" s="15"/>
      <x:c r="C32" s="15" t="str">
        <x:f>IF(OR(A32="",B32=""),"",COUNTIFS('11_Intake_Daily'!$C:$C,"&gt;="&amp;A32,'11_Intake_Daily'!$C:$C,"&lt;"&amp;A32+7,'11_Intake_Daily'!$D:$D,B32))</x:f>
      </x:c>
      <x:c r="D32" s="15" t="str">
        <x:f>IF(OR(A32="",B32=""),"",COUNTIFS('20_Proof_Queue'!$B:$B,"&gt;="&amp;A32,'20_Proof_Queue'!$B:$B,"&lt;"&amp;A32+7,'20_Proof_Queue'!$C:$C,B32,'20_Proof_Queue'!$H:$H,"&lt;&gt;Closed"))</x:f>
      </x:c>
      <x:c r="E32" s="138" t="str">
        <x:f>IF(OR(A32="",B32=""),"",SUMIFS('12_Production_Log'!$H:$H,'12_Production_Log'!$B:$B,"&gt;="&amp;A32,'12_Production_Log'!$B:$B,"&lt;"&amp;A32+7,'12_Production_Log'!$C:$C,B32))</x:f>
      </x:c>
      <x:c r="F32" s="136" t="str">
        <x:f>IF(OR(A32="",B32=""),"",SUMIFS('13_Labor_Time'!$J:$J,'13_Labor_Time'!$B:$B,"&gt;="&amp;A32,'13_Labor_Time'!$B:$B,"&lt;"&amp;A32+7,'13_Labor_Time'!$C:$C,B32))</x:f>
      </x:c>
      <x:c r="G32" s="70" t="str">
        <x:f>IF(OR(A32="",B32=""),"",SUMIFS('14_Materials_Log'!$I:$I,'14_Materials_Log'!$B:$B,"&gt;="&amp;A32,'14_Materials_Log'!$B:$B,"&lt;"&amp;A32+7,'14_Materials_Log'!$C:$C,B32))</x:f>
      </x:c>
      <x:c r="H32" s="70" t="str">
        <x:f>IF(OR(A32="",B32=""),"",SUMIFS('15_Equipment_Log'!$M:$M,'15_Equipment_Log'!$B:$B,"&gt;="&amp;A32,'15_Equipment_Log'!$B:$B,"&lt;"&amp;A32+7,'15_Equipment_Log'!$C:$C,B32))</x:f>
      </x:c>
      <x:c r="I32" s="70" t="str">
        <x:f>IF(OR(A32="",B32=""),"",SUMIFS('12_Production_Log'!$M:$M,'12_Production_Log'!$B:$B,"&gt;="&amp;A32,'12_Production_Log'!$B:$B,"&lt;"&amp;A32+7,'12_Production_Log'!$C:$C,B32)+SUMIFS('14_Materials_Log'!$I:$I,'14_Materials_Log'!$B:$B,"&gt;="&amp;A32,'14_Materials_Log'!$B:$B,"&lt;"&amp;A32+7,'14_Materials_Log'!$C:$C,B32,'14_Materials_Log'!$J:$J,"Yes"))</x:f>
      </x:c>
      <x:c r="J32" s="70" t="str">
        <x:f>IF(OR(A32="",B32=""),"",SUMIFS('13_Labor_Time'!$L:$L,'13_Labor_Time'!$B:$B,"&gt;="&amp;A32,'13_Labor_Time'!$B:$B,"&lt;"&amp;A32+7,'13_Labor_Time'!$C:$C,B32))</x:f>
      </x:c>
      <x:c r="K32" s="70" t="str">
        <x:f>IF(OR(I32="",G32="",H32="",J32=""),"",I32-G32-H32-J32)</x:f>
      </x:c>
      <x:c r="L32" s="140" t="str">
        <x:f>IF(C32=0,"",COUNTIFS('11_Intake_Daily'!$C:$C,"&gt;="&amp;A32,'11_Intake_Daily'!$C:$C,"&lt;"&amp;A32+7,'11_Intake_Daily'!$D:$D,B32,'11_Intake_Daily'!$AA:$AA,"Yes")/C32)</x:f>
      </x:c>
    </x:row>
    <x:row r="33" ht="20" customHeight="1">
      <x:c r="A33" s="28"/>
      <x:c r="B33" s="15"/>
      <x:c r="C33" s="15" t="str">
        <x:f>IF(OR(A33="",B33=""),"",COUNTIFS('11_Intake_Daily'!$C:$C,"&gt;="&amp;A33,'11_Intake_Daily'!$C:$C,"&lt;"&amp;A33+7,'11_Intake_Daily'!$D:$D,B33))</x:f>
      </x:c>
      <x:c r="D33" s="15" t="str">
        <x:f>IF(OR(A33="",B33=""),"",COUNTIFS('20_Proof_Queue'!$B:$B,"&gt;="&amp;A33,'20_Proof_Queue'!$B:$B,"&lt;"&amp;A33+7,'20_Proof_Queue'!$C:$C,B33,'20_Proof_Queue'!$H:$H,"&lt;&gt;Closed"))</x:f>
      </x:c>
      <x:c r="E33" s="138" t="str">
        <x:f>IF(OR(A33="",B33=""),"",SUMIFS('12_Production_Log'!$H:$H,'12_Production_Log'!$B:$B,"&gt;="&amp;A33,'12_Production_Log'!$B:$B,"&lt;"&amp;A33+7,'12_Production_Log'!$C:$C,B33))</x:f>
      </x:c>
      <x:c r="F33" s="136" t="str">
        <x:f>IF(OR(A33="",B33=""),"",SUMIFS('13_Labor_Time'!$J:$J,'13_Labor_Time'!$B:$B,"&gt;="&amp;A33,'13_Labor_Time'!$B:$B,"&lt;"&amp;A33+7,'13_Labor_Time'!$C:$C,B33))</x:f>
      </x:c>
      <x:c r="G33" s="70" t="str">
        <x:f>IF(OR(A33="",B33=""),"",SUMIFS('14_Materials_Log'!$I:$I,'14_Materials_Log'!$B:$B,"&gt;="&amp;A33,'14_Materials_Log'!$B:$B,"&lt;"&amp;A33+7,'14_Materials_Log'!$C:$C,B33))</x:f>
      </x:c>
      <x:c r="H33" s="70" t="str">
        <x:f>IF(OR(A33="",B33=""),"",SUMIFS('15_Equipment_Log'!$M:$M,'15_Equipment_Log'!$B:$B,"&gt;="&amp;A33,'15_Equipment_Log'!$B:$B,"&lt;"&amp;A33+7,'15_Equipment_Log'!$C:$C,B33))</x:f>
      </x:c>
      <x:c r="I33" s="70" t="str">
        <x:f>IF(OR(A33="",B33=""),"",SUMIFS('12_Production_Log'!$M:$M,'12_Production_Log'!$B:$B,"&gt;="&amp;A33,'12_Production_Log'!$B:$B,"&lt;"&amp;A33+7,'12_Production_Log'!$C:$C,B33)+SUMIFS('14_Materials_Log'!$I:$I,'14_Materials_Log'!$B:$B,"&gt;="&amp;A33,'14_Materials_Log'!$B:$B,"&lt;"&amp;A33+7,'14_Materials_Log'!$C:$C,B33,'14_Materials_Log'!$J:$J,"Yes"))</x:f>
      </x:c>
      <x:c r="J33" s="70" t="str">
        <x:f>IF(OR(A33="",B33=""),"",SUMIFS('13_Labor_Time'!$L:$L,'13_Labor_Time'!$B:$B,"&gt;="&amp;A33,'13_Labor_Time'!$B:$B,"&lt;"&amp;A33+7,'13_Labor_Time'!$C:$C,B33))</x:f>
      </x:c>
      <x:c r="K33" s="70" t="str">
        <x:f>IF(OR(I33="",G33="",H33="",J33=""),"",I33-G33-H33-J33)</x:f>
      </x:c>
      <x:c r="L33" s="140" t="str">
        <x:f>IF(C33=0,"",COUNTIFS('11_Intake_Daily'!$C:$C,"&gt;="&amp;A33,'11_Intake_Daily'!$C:$C,"&lt;"&amp;A33+7,'11_Intake_Daily'!$D:$D,B33,'11_Intake_Daily'!$AA:$AA,"Yes")/C33)</x:f>
      </x:c>
    </x:row>
    <x:row r="34" ht="20" customHeight="1">
      <x:c r="A34" s="28"/>
      <x:c r="B34" s="15"/>
      <x:c r="C34" s="15" t="str">
        <x:f>IF(OR(A34="",B34=""),"",COUNTIFS('11_Intake_Daily'!$C:$C,"&gt;="&amp;A34,'11_Intake_Daily'!$C:$C,"&lt;"&amp;A34+7,'11_Intake_Daily'!$D:$D,B34))</x:f>
      </x:c>
      <x:c r="D34" s="15" t="str">
        <x:f>IF(OR(A34="",B34=""),"",COUNTIFS('20_Proof_Queue'!$B:$B,"&gt;="&amp;A34,'20_Proof_Queue'!$B:$B,"&lt;"&amp;A34+7,'20_Proof_Queue'!$C:$C,B34,'20_Proof_Queue'!$H:$H,"&lt;&gt;Closed"))</x:f>
      </x:c>
      <x:c r="E34" s="138" t="str">
        <x:f>IF(OR(A34="",B34=""),"",SUMIFS('12_Production_Log'!$H:$H,'12_Production_Log'!$B:$B,"&gt;="&amp;A34,'12_Production_Log'!$B:$B,"&lt;"&amp;A34+7,'12_Production_Log'!$C:$C,B34))</x:f>
      </x:c>
      <x:c r="F34" s="136" t="str">
        <x:f>IF(OR(A34="",B34=""),"",SUMIFS('13_Labor_Time'!$J:$J,'13_Labor_Time'!$B:$B,"&gt;="&amp;A34,'13_Labor_Time'!$B:$B,"&lt;"&amp;A34+7,'13_Labor_Time'!$C:$C,B34))</x:f>
      </x:c>
      <x:c r="G34" s="70" t="str">
        <x:f>IF(OR(A34="",B34=""),"",SUMIFS('14_Materials_Log'!$I:$I,'14_Materials_Log'!$B:$B,"&gt;="&amp;A34,'14_Materials_Log'!$B:$B,"&lt;"&amp;A34+7,'14_Materials_Log'!$C:$C,B34))</x:f>
      </x:c>
      <x:c r="H34" s="70" t="str">
        <x:f>IF(OR(A34="",B34=""),"",SUMIFS('15_Equipment_Log'!$M:$M,'15_Equipment_Log'!$B:$B,"&gt;="&amp;A34,'15_Equipment_Log'!$B:$B,"&lt;"&amp;A34+7,'15_Equipment_Log'!$C:$C,B34))</x:f>
      </x:c>
      <x:c r="I34" s="70" t="str">
        <x:f>IF(OR(A34="",B34=""),"",SUMIFS('12_Production_Log'!$M:$M,'12_Production_Log'!$B:$B,"&gt;="&amp;A34,'12_Production_Log'!$B:$B,"&lt;"&amp;A34+7,'12_Production_Log'!$C:$C,B34)+SUMIFS('14_Materials_Log'!$I:$I,'14_Materials_Log'!$B:$B,"&gt;="&amp;A34,'14_Materials_Log'!$B:$B,"&lt;"&amp;A34+7,'14_Materials_Log'!$C:$C,B34,'14_Materials_Log'!$J:$J,"Yes"))</x:f>
      </x:c>
      <x:c r="J34" s="70" t="str">
        <x:f>IF(OR(A34="",B34=""),"",SUMIFS('13_Labor_Time'!$L:$L,'13_Labor_Time'!$B:$B,"&gt;="&amp;A34,'13_Labor_Time'!$B:$B,"&lt;"&amp;A34+7,'13_Labor_Time'!$C:$C,B34))</x:f>
      </x:c>
      <x:c r="K34" s="70" t="str">
        <x:f>IF(OR(I34="",G34="",H34="",J34=""),"",I34-G34-H34-J34)</x:f>
      </x:c>
      <x:c r="L34" s="140" t="str">
        <x:f>IF(C34=0,"",COUNTIFS('11_Intake_Daily'!$C:$C,"&gt;="&amp;A34,'11_Intake_Daily'!$C:$C,"&lt;"&amp;A34+7,'11_Intake_Daily'!$D:$D,B34,'11_Intake_Daily'!$AA:$AA,"Yes")/C34)</x:f>
      </x:c>
    </x:row>
    <x:row r="35" ht="20" customHeight="1">
      <x:c r="A35" s="28"/>
      <x:c r="B35" s="15"/>
      <x:c r="C35" s="15" t="str">
        <x:f>IF(OR(A35="",B35=""),"",COUNTIFS('11_Intake_Daily'!$C:$C,"&gt;="&amp;A35,'11_Intake_Daily'!$C:$C,"&lt;"&amp;A35+7,'11_Intake_Daily'!$D:$D,B35))</x:f>
      </x:c>
      <x:c r="D35" s="15" t="str">
        <x:f>IF(OR(A35="",B35=""),"",COUNTIFS('20_Proof_Queue'!$B:$B,"&gt;="&amp;A35,'20_Proof_Queue'!$B:$B,"&lt;"&amp;A35+7,'20_Proof_Queue'!$C:$C,B35,'20_Proof_Queue'!$H:$H,"&lt;&gt;Closed"))</x:f>
      </x:c>
      <x:c r="E35" s="138" t="str">
        <x:f>IF(OR(A35="",B35=""),"",SUMIFS('12_Production_Log'!$H:$H,'12_Production_Log'!$B:$B,"&gt;="&amp;A35,'12_Production_Log'!$B:$B,"&lt;"&amp;A35+7,'12_Production_Log'!$C:$C,B35))</x:f>
      </x:c>
      <x:c r="F35" s="136" t="str">
        <x:f>IF(OR(A35="",B35=""),"",SUMIFS('13_Labor_Time'!$J:$J,'13_Labor_Time'!$B:$B,"&gt;="&amp;A35,'13_Labor_Time'!$B:$B,"&lt;"&amp;A35+7,'13_Labor_Time'!$C:$C,B35))</x:f>
      </x:c>
      <x:c r="G35" s="70" t="str">
        <x:f>IF(OR(A35="",B35=""),"",SUMIFS('14_Materials_Log'!$I:$I,'14_Materials_Log'!$B:$B,"&gt;="&amp;A35,'14_Materials_Log'!$B:$B,"&lt;"&amp;A35+7,'14_Materials_Log'!$C:$C,B35))</x:f>
      </x:c>
      <x:c r="H35" s="70" t="str">
        <x:f>IF(OR(A35="",B35=""),"",SUMIFS('15_Equipment_Log'!$M:$M,'15_Equipment_Log'!$B:$B,"&gt;="&amp;A35,'15_Equipment_Log'!$B:$B,"&lt;"&amp;A35+7,'15_Equipment_Log'!$C:$C,B35))</x:f>
      </x:c>
      <x:c r="I35" s="70" t="str">
        <x:f>IF(OR(A35="",B35=""),"",SUMIFS('12_Production_Log'!$M:$M,'12_Production_Log'!$B:$B,"&gt;="&amp;A35,'12_Production_Log'!$B:$B,"&lt;"&amp;A35+7,'12_Production_Log'!$C:$C,B35)+SUMIFS('14_Materials_Log'!$I:$I,'14_Materials_Log'!$B:$B,"&gt;="&amp;A35,'14_Materials_Log'!$B:$B,"&lt;"&amp;A35+7,'14_Materials_Log'!$C:$C,B35,'14_Materials_Log'!$J:$J,"Yes"))</x:f>
      </x:c>
      <x:c r="J35" s="70" t="str">
        <x:f>IF(OR(A35="",B35=""),"",SUMIFS('13_Labor_Time'!$L:$L,'13_Labor_Time'!$B:$B,"&gt;="&amp;A35,'13_Labor_Time'!$B:$B,"&lt;"&amp;A35+7,'13_Labor_Time'!$C:$C,B35))</x:f>
      </x:c>
      <x:c r="K35" s="70" t="str">
        <x:f>IF(OR(I35="",G35="",H35="",J35=""),"",I35-G35-H35-J35)</x:f>
      </x:c>
      <x:c r="L35" s="140" t="str">
        <x:f>IF(C35=0,"",COUNTIFS('11_Intake_Daily'!$C:$C,"&gt;="&amp;A35,'11_Intake_Daily'!$C:$C,"&lt;"&amp;A35+7,'11_Intake_Daily'!$D:$D,B35,'11_Intake_Daily'!$AA:$AA,"Yes")/C35)</x:f>
      </x:c>
    </x:row>
    <x:row r="36" ht="20" customHeight="1">
      <x:c r="A36" s="28"/>
      <x:c r="B36" s="15"/>
      <x:c r="C36" s="15" t="str">
        <x:f>IF(OR(A36="",B36=""),"",COUNTIFS('11_Intake_Daily'!$C:$C,"&gt;="&amp;A36,'11_Intake_Daily'!$C:$C,"&lt;"&amp;A36+7,'11_Intake_Daily'!$D:$D,B36))</x:f>
      </x:c>
      <x:c r="D36" s="15" t="str">
        <x:f>IF(OR(A36="",B36=""),"",COUNTIFS('20_Proof_Queue'!$B:$B,"&gt;="&amp;A36,'20_Proof_Queue'!$B:$B,"&lt;"&amp;A36+7,'20_Proof_Queue'!$C:$C,B36,'20_Proof_Queue'!$H:$H,"&lt;&gt;Closed"))</x:f>
      </x:c>
      <x:c r="E36" s="138" t="str">
        <x:f>IF(OR(A36="",B36=""),"",SUMIFS('12_Production_Log'!$H:$H,'12_Production_Log'!$B:$B,"&gt;="&amp;A36,'12_Production_Log'!$B:$B,"&lt;"&amp;A36+7,'12_Production_Log'!$C:$C,B36))</x:f>
      </x:c>
      <x:c r="F36" s="136" t="str">
        <x:f>IF(OR(A36="",B36=""),"",SUMIFS('13_Labor_Time'!$J:$J,'13_Labor_Time'!$B:$B,"&gt;="&amp;A36,'13_Labor_Time'!$B:$B,"&lt;"&amp;A36+7,'13_Labor_Time'!$C:$C,B36))</x:f>
      </x:c>
      <x:c r="G36" s="70" t="str">
        <x:f>IF(OR(A36="",B36=""),"",SUMIFS('14_Materials_Log'!$I:$I,'14_Materials_Log'!$B:$B,"&gt;="&amp;A36,'14_Materials_Log'!$B:$B,"&lt;"&amp;A36+7,'14_Materials_Log'!$C:$C,B36))</x:f>
      </x:c>
      <x:c r="H36" s="70" t="str">
        <x:f>IF(OR(A36="",B36=""),"",SUMIFS('15_Equipment_Log'!$M:$M,'15_Equipment_Log'!$B:$B,"&gt;="&amp;A36,'15_Equipment_Log'!$B:$B,"&lt;"&amp;A36+7,'15_Equipment_Log'!$C:$C,B36))</x:f>
      </x:c>
      <x:c r="I36" s="70" t="str">
        <x:f>IF(OR(A36="",B36=""),"",SUMIFS('12_Production_Log'!$M:$M,'12_Production_Log'!$B:$B,"&gt;="&amp;A36,'12_Production_Log'!$B:$B,"&lt;"&amp;A36+7,'12_Production_Log'!$C:$C,B36)+SUMIFS('14_Materials_Log'!$I:$I,'14_Materials_Log'!$B:$B,"&gt;="&amp;A36,'14_Materials_Log'!$B:$B,"&lt;"&amp;A36+7,'14_Materials_Log'!$C:$C,B36,'14_Materials_Log'!$J:$J,"Yes"))</x:f>
      </x:c>
      <x:c r="J36" s="70" t="str">
        <x:f>IF(OR(A36="",B36=""),"",SUMIFS('13_Labor_Time'!$L:$L,'13_Labor_Time'!$B:$B,"&gt;="&amp;A36,'13_Labor_Time'!$B:$B,"&lt;"&amp;A36+7,'13_Labor_Time'!$C:$C,B36))</x:f>
      </x:c>
      <x:c r="K36" s="70" t="str">
        <x:f>IF(OR(I36="",G36="",H36="",J36=""),"",I36-G36-H36-J36)</x:f>
      </x:c>
      <x:c r="L36" s="140" t="str">
        <x:f>IF(C36=0,"",COUNTIFS('11_Intake_Daily'!$C:$C,"&gt;="&amp;A36,'11_Intake_Daily'!$C:$C,"&lt;"&amp;A36+7,'11_Intake_Daily'!$D:$D,B36,'11_Intake_Daily'!$AA:$AA,"Yes")/C36)</x:f>
      </x:c>
    </x:row>
    <x:row r="37" ht="20" customHeight="1">
      <x:c r="A37" s="28"/>
      <x:c r="B37" s="15"/>
      <x:c r="C37" s="15" t="str">
        <x:f>IF(OR(A37="",B37=""),"",COUNTIFS('11_Intake_Daily'!$C:$C,"&gt;="&amp;A37,'11_Intake_Daily'!$C:$C,"&lt;"&amp;A37+7,'11_Intake_Daily'!$D:$D,B37))</x:f>
      </x:c>
      <x:c r="D37" s="15" t="str">
        <x:f>IF(OR(A37="",B37=""),"",COUNTIFS('20_Proof_Queue'!$B:$B,"&gt;="&amp;A37,'20_Proof_Queue'!$B:$B,"&lt;"&amp;A37+7,'20_Proof_Queue'!$C:$C,B37,'20_Proof_Queue'!$H:$H,"&lt;&gt;Closed"))</x:f>
      </x:c>
      <x:c r="E37" s="138" t="str">
        <x:f>IF(OR(A37="",B37=""),"",SUMIFS('12_Production_Log'!$H:$H,'12_Production_Log'!$B:$B,"&gt;="&amp;A37,'12_Production_Log'!$B:$B,"&lt;"&amp;A37+7,'12_Production_Log'!$C:$C,B37))</x:f>
      </x:c>
      <x:c r="F37" s="136" t="str">
        <x:f>IF(OR(A37="",B37=""),"",SUMIFS('13_Labor_Time'!$J:$J,'13_Labor_Time'!$B:$B,"&gt;="&amp;A37,'13_Labor_Time'!$B:$B,"&lt;"&amp;A37+7,'13_Labor_Time'!$C:$C,B37))</x:f>
      </x:c>
      <x:c r="G37" s="70" t="str">
        <x:f>IF(OR(A37="",B37=""),"",SUMIFS('14_Materials_Log'!$I:$I,'14_Materials_Log'!$B:$B,"&gt;="&amp;A37,'14_Materials_Log'!$B:$B,"&lt;"&amp;A37+7,'14_Materials_Log'!$C:$C,B37))</x:f>
      </x:c>
      <x:c r="H37" s="70" t="str">
        <x:f>IF(OR(A37="",B37=""),"",SUMIFS('15_Equipment_Log'!$M:$M,'15_Equipment_Log'!$B:$B,"&gt;="&amp;A37,'15_Equipment_Log'!$B:$B,"&lt;"&amp;A37+7,'15_Equipment_Log'!$C:$C,B37))</x:f>
      </x:c>
      <x:c r="I37" s="70" t="str">
        <x:f>IF(OR(A37="",B37=""),"",SUMIFS('12_Production_Log'!$M:$M,'12_Production_Log'!$B:$B,"&gt;="&amp;A37,'12_Production_Log'!$B:$B,"&lt;"&amp;A37+7,'12_Production_Log'!$C:$C,B37)+SUMIFS('14_Materials_Log'!$I:$I,'14_Materials_Log'!$B:$B,"&gt;="&amp;A37,'14_Materials_Log'!$B:$B,"&lt;"&amp;A37+7,'14_Materials_Log'!$C:$C,B37,'14_Materials_Log'!$J:$J,"Yes"))</x:f>
      </x:c>
      <x:c r="J37" s="70" t="str">
        <x:f>IF(OR(A37="",B37=""),"",SUMIFS('13_Labor_Time'!$L:$L,'13_Labor_Time'!$B:$B,"&gt;="&amp;A37,'13_Labor_Time'!$B:$B,"&lt;"&amp;A37+7,'13_Labor_Time'!$C:$C,B37))</x:f>
      </x:c>
      <x:c r="K37" s="70" t="str">
        <x:f>IF(OR(I37="",G37="",H37="",J37=""),"",I37-G37-H37-J37)</x:f>
      </x:c>
      <x:c r="L37" s="140" t="str">
        <x:f>IF(C37=0,"",COUNTIFS('11_Intake_Daily'!$C:$C,"&gt;="&amp;A37,'11_Intake_Daily'!$C:$C,"&lt;"&amp;A37+7,'11_Intake_Daily'!$D:$D,B37,'11_Intake_Daily'!$AA:$AA,"Yes")/C37)</x:f>
      </x:c>
    </x:row>
    <x:row r="38" ht="20" customHeight="1">
      <x:c r="A38" s="28"/>
      <x:c r="B38" s="15"/>
      <x:c r="C38" s="15" t="str">
        <x:f>IF(OR(A38="",B38=""),"",COUNTIFS('11_Intake_Daily'!$C:$C,"&gt;="&amp;A38,'11_Intake_Daily'!$C:$C,"&lt;"&amp;A38+7,'11_Intake_Daily'!$D:$D,B38))</x:f>
      </x:c>
      <x:c r="D38" s="15" t="str">
        <x:f>IF(OR(A38="",B38=""),"",COUNTIFS('20_Proof_Queue'!$B:$B,"&gt;="&amp;A38,'20_Proof_Queue'!$B:$B,"&lt;"&amp;A38+7,'20_Proof_Queue'!$C:$C,B38,'20_Proof_Queue'!$H:$H,"&lt;&gt;Closed"))</x:f>
      </x:c>
      <x:c r="E38" s="138" t="str">
        <x:f>IF(OR(A38="",B38=""),"",SUMIFS('12_Production_Log'!$H:$H,'12_Production_Log'!$B:$B,"&gt;="&amp;A38,'12_Production_Log'!$B:$B,"&lt;"&amp;A38+7,'12_Production_Log'!$C:$C,B38))</x:f>
      </x:c>
      <x:c r="F38" s="136" t="str">
        <x:f>IF(OR(A38="",B38=""),"",SUMIFS('13_Labor_Time'!$J:$J,'13_Labor_Time'!$B:$B,"&gt;="&amp;A38,'13_Labor_Time'!$B:$B,"&lt;"&amp;A38+7,'13_Labor_Time'!$C:$C,B38))</x:f>
      </x:c>
      <x:c r="G38" s="70" t="str">
        <x:f>IF(OR(A38="",B38=""),"",SUMIFS('14_Materials_Log'!$I:$I,'14_Materials_Log'!$B:$B,"&gt;="&amp;A38,'14_Materials_Log'!$B:$B,"&lt;"&amp;A38+7,'14_Materials_Log'!$C:$C,B38))</x:f>
      </x:c>
      <x:c r="H38" s="70" t="str">
        <x:f>IF(OR(A38="",B38=""),"",SUMIFS('15_Equipment_Log'!$M:$M,'15_Equipment_Log'!$B:$B,"&gt;="&amp;A38,'15_Equipment_Log'!$B:$B,"&lt;"&amp;A38+7,'15_Equipment_Log'!$C:$C,B38))</x:f>
      </x:c>
      <x:c r="I38" s="70" t="str">
        <x:f>IF(OR(A38="",B38=""),"",SUMIFS('12_Production_Log'!$M:$M,'12_Production_Log'!$B:$B,"&gt;="&amp;A38,'12_Production_Log'!$B:$B,"&lt;"&amp;A38+7,'12_Production_Log'!$C:$C,B38)+SUMIFS('14_Materials_Log'!$I:$I,'14_Materials_Log'!$B:$B,"&gt;="&amp;A38,'14_Materials_Log'!$B:$B,"&lt;"&amp;A38+7,'14_Materials_Log'!$C:$C,B38,'14_Materials_Log'!$J:$J,"Yes"))</x:f>
      </x:c>
      <x:c r="J38" s="70" t="str">
        <x:f>IF(OR(A38="",B38=""),"",SUMIFS('13_Labor_Time'!$L:$L,'13_Labor_Time'!$B:$B,"&gt;="&amp;A38,'13_Labor_Time'!$B:$B,"&lt;"&amp;A38+7,'13_Labor_Time'!$C:$C,B38))</x:f>
      </x:c>
      <x:c r="K38" s="70" t="str">
        <x:f>IF(OR(I38="",G38="",H38="",J38=""),"",I38-G38-H38-J38)</x:f>
      </x:c>
      <x:c r="L38" s="140" t="str">
        <x:f>IF(C38=0,"",COUNTIFS('11_Intake_Daily'!$C:$C,"&gt;="&amp;A38,'11_Intake_Daily'!$C:$C,"&lt;"&amp;A38+7,'11_Intake_Daily'!$D:$D,B38,'11_Intake_Daily'!$AA:$AA,"Yes")/C38)</x:f>
      </x:c>
    </x:row>
    <x:row r="39" ht="20" customHeight="1">
      <x:c r="A39" s="28"/>
      <x:c r="B39" s="15"/>
      <x:c r="C39" s="15" t="str">
        <x:f>IF(OR(A39="",B39=""),"",COUNTIFS('11_Intake_Daily'!$C:$C,"&gt;="&amp;A39,'11_Intake_Daily'!$C:$C,"&lt;"&amp;A39+7,'11_Intake_Daily'!$D:$D,B39))</x:f>
      </x:c>
      <x:c r="D39" s="15" t="str">
        <x:f>IF(OR(A39="",B39=""),"",COUNTIFS('20_Proof_Queue'!$B:$B,"&gt;="&amp;A39,'20_Proof_Queue'!$B:$B,"&lt;"&amp;A39+7,'20_Proof_Queue'!$C:$C,B39,'20_Proof_Queue'!$H:$H,"&lt;&gt;Closed"))</x:f>
      </x:c>
      <x:c r="E39" s="138" t="str">
        <x:f>IF(OR(A39="",B39=""),"",SUMIFS('12_Production_Log'!$H:$H,'12_Production_Log'!$B:$B,"&gt;="&amp;A39,'12_Production_Log'!$B:$B,"&lt;"&amp;A39+7,'12_Production_Log'!$C:$C,B39))</x:f>
      </x:c>
      <x:c r="F39" s="136" t="str">
        <x:f>IF(OR(A39="",B39=""),"",SUMIFS('13_Labor_Time'!$J:$J,'13_Labor_Time'!$B:$B,"&gt;="&amp;A39,'13_Labor_Time'!$B:$B,"&lt;"&amp;A39+7,'13_Labor_Time'!$C:$C,B39))</x:f>
      </x:c>
      <x:c r="G39" s="70" t="str">
        <x:f>IF(OR(A39="",B39=""),"",SUMIFS('14_Materials_Log'!$I:$I,'14_Materials_Log'!$B:$B,"&gt;="&amp;A39,'14_Materials_Log'!$B:$B,"&lt;"&amp;A39+7,'14_Materials_Log'!$C:$C,B39))</x:f>
      </x:c>
      <x:c r="H39" s="70" t="str">
        <x:f>IF(OR(A39="",B39=""),"",SUMIFS('15_Equipment_Log'!$M:$M,'15_Equipment_Log'!$B:$B,"&gt;="&amp;A39,'15_Equipment_Log'!$B:$B,"&lt;"&amp;A39+7,'15_Equipment_Log'!$C:$C,B39))</x:f>
      </x:c>
      <x:c r="I39" s="70" t="str">
        <x:f>IF(OR(A39="",B39=""),"",SUMIFS('12_Production_Log'!$M:$M,'12_Production_Log'!$B:$B,"&gt;="&amp;A39,'12_Production_Log'!$B:$B,"&lt;"&amp;A39+7,'12_Production_Log'!$C:$C,B39)+SUMIFS('14_Materials_Log'!$I:$I,'14_Materials_Log'!$B:$B,"&gt;="&amp;A39,'14_Materials_Log'!$B:$B,"&lt;"&amp;A39+7,'14_Materials_Log'!$C:$C,B39,'14_Materials_Log'!$J:$J,"Yes"))</x:f>
      </x:c>
      <x:c r="J39" s="70" t="str">
        <x:f>IF(OR(A39="",B39=""),"",SUMIFS('13_Labor_Time'!$L:$L,'13_Labor_Time'!$B:$B,"&gt;="&amp;A39,'13_Labor_Time'!$B:$B,"&lt;"&amp;A39+7,'13_Labor_Time'!$C:$C,B39))</x:f>
      </x:c>
      <x:c r="K39" s="70" t="str">
        <x:f>IF(OR(I39="",G39="",H39="",J39=""),"",I39-G39-H39-J39)</x:f>
      </x:c>
      <x:c r="L39" s="140" t="str">
        <x:f>IF(C39=0,"",COUNTIFS('11_Intake_Daily'!$C:$C,"&gt;="&amp;A39,'11_Intake_Daily'!$C:$C,"&lt;"&amp;A39+7,'11_Intake_Daily'!$D:$D,B39,'11_Intake_Daily'!$AA:$AA,"Yes")/C39)</x:f>
      </x:c>
    </x:row>
    <x:row r="40" ht="20" customHeight="1">
      <x:c r="A40" s="28"/>
      <x:c r="B40" s="15"/>
      <x:c r="C40" s="15" t="str">
        <x:f>IF(OR(A40="",B40=""),"",COUNTIFS('11_Intake_Daily'!$C:$C,"&gt;="&amp;A40,'11_Intake_Daily'!$C:$C,"&lt;"&amp;A40+7,'11_Intake_Daily'!$D:$D,B40))</x:f>
      </x:c>
      <x:c r="D40" s="15" t="str">
        <x:f>IF(OR(A40="",B40=""),"",COUNTIFS('20_Proof_Queue'!$B:$B,"&gt;="&amp;A40,'20_Proof_Queue'!$B:$B,"&lt;"&amp;A40+7,'20_Proof_Queue'!$C:$C,B40,'20_Proof_Queue'!$H:$H,"&lt;&gt;Closed"))</x:f>
      </x:c>
      <x:c r="E40" s="138" t="str">
        <x:f>IF(OR(A40="",B40=""),"",SUMIFS('12_Production_Log'!$H:$H,'12_Production_Log'!$B:$B,"&gt;="&amp;A40,'12_Production_Log'!$B:$B,"&lt;"&amp;A40+7,'12_Production_Log'!$C:$C,B40))</x:f>
      </x:c>
      <x:c r="F40" s="136" t="str">
        <x:f>IF(OR(A40="",B40=""),"",SUMIFS('13_Labor_Time'!$J:$J,'13_Labor_Time'!$B:$B,"&gt;="&amp;A40,'13_Labor_Time'!$B:$B,"&lt;"&amp;A40+7,'13_Labor_Time'!$C:$C,B40))</x:f>
      </x:c>
      <x:c r="G40" s="70" t="str">
        <x:f>IF(OR(A40="",B40=""),"",SUMIFS('14_Materials_Log'!$I:$I,'14_Materials_Log'!$B:$B,"&gt;="&amp;A40,'14_Materials_Log'!$B:$B,"&lt;"&amp;A40+7,'14_Materials_Log'!$C:$C,B40))</x:f>
      </x:c>
      <x:c r="H40" s="70" t="str">
        <x:f>IF(OR(A40="",B40=""),"",SUMIFS('15_Equipment_Log'!$M:$M,'15_Equipment_Log'!$B:$B,"&gt;="&amp;A40,'15_Equipment_Log'!$B:$B,"&lt;"&amp;A40+7,'15_Equipment_Log'!$C:$C,B40))</x:f>
      </x:c>
      <x:c r="I40" s="70" t="str">
        <x:f>IF(OR(A40="",B40=""),"",SUMIFS('12_Production_Log'!$M:$M,'12_Production_Log'!$B:$B,"&gt;="&amp;A40,'12_Production_Log'!$B:$B,"&lt;"&amp;A40+7,'12_Production_Log'!$C:$C,B40)+SUMIFS('14_Materials_Log'!$I:$I,'14_Materials_Log'!$B:$B,"&gt;="&amp;A40,'14_Materials_Log'!$B:$B,"&lt;"&amp;A40+7,'14_Materials_Log'!$C:$C,B40,'14_Materials_Log'!$J:$J,"Yes"))</x:f>
      </x:c>
      <x:c r="J40" s="70" t="str">
        <x:f>IF(OR(A40="",B40=""),"",SUMIFS('13_Labor_Time'!$L:$L,'13_Labor_Time'!$B:$B,"&gt;="&amp;A40,'13_Labor_Time'!$B:$B,"&lt;"&amp;A40+7,'13_Labor_Time'!$C:$C,B40))</x:f>
      </x:c>
      <x:c r="K40" s="70" t="str">
        <x:f>IF(OR(I40="",G40="",H40="",J40=""),"",I40-G40-H40-J40)</x:f>
      </x:c>
      <x:c r="L40" s="140" t="str">
        <x:f>IF(C40=0,"",COUNTIFS('11_Intake_Daily'!$C:$C,"&gt;="&amp;A40,'11_Intake_Daily'!$C:$C,"&lt;"&amp;A40+7,'11_Intake_Daily'!$D:$D,B40,'11_Intake_Daily'!$AA:$AA,"Yes")/C40)</x:f>
      </x:c>
    </x:row>
    <x:row r="41" ht="20" customHeight="1">
      <x:c r="A41" s="28"/>
      <x:c r="B41" s="15"/>
      <x:c r="C41" s="15" t="str">
        <x:f>IF(OR(A41="",B41=""),"",COUNTIFS('11_Intake_Daily'!$C:$C,"&gt;="&amp;A41,'11_Intake_Daily'!$C:$C,"&lt;"&amp;A41+7,'11_Intake_Daily'!$D:$D,B41))</x:f>
      </x:c>
      <x:c r="D41" s="15" t="str">
        <x:f>IF(OR(A41="",B41=""),"",COUNTIFS('20_Proof_Queue'!$B:$B,"&gt;="&amp;A41,'20_Proof_Queue'!$B:$B,"&lt;"&amp;A41+7,'20_Proof_Queue'!$C:$C,B41,'20_Proof_Queue'!$H:$H,"&lt;&gt;Closed"))</x:f>
      </x:c>
      <x:c r="E41" s="138" t="str">
        <x:f>IF(OR(A41="",B41=""),"",SUMIFS('12_Production_Log'!$H:$H,'12_Production_Log'!$B:$B,"&gt;="&amp;A41,'12_Production_Log'!$B:$B,"&lt;"&amp;A41+7,'12_Production_Log'!$C:$C,B41))</x:f>
      </x:c>
      <x:c r="F41" s="136" t="str">
        <x:f>IF(OR(A41="",B41=""),"",SUMIFS('13_Labor_Time'!$J:$J,'13_Labor_Time'!$B:$B,"&gt;="&amp;A41,'13_Labor_Time'!$B:$B,"&lt;"&amp;A41+7,'13_Labor_Time'!$C:$C,B41))</x:f>
      </x:c>
      <x:c r="G41" s="70" t="str">
        <x:f>IF(OR(A41="",B41=""),"",SUMIFS('14_Materials_Log'!$I:$I,'14_Materials_Log'!$B:$B,"&gt;="&amp;A41,'14_Materials_Log'!$B:$B,"&lt;"&amp;A41+7,'14_Materials_Log'!$C:$C,B41))</x:f>
      </x:c>
      <x:c r="H41" s="70" t="str">
        <x:f>IF(OR(A41="",B41=""),"",SUMIFS('15_Equipment_Log'!$M:$M,'15_Equipment_Log'!$B:$B,"&gt;="&amp;A41,'15_Equipment_Log'!$B:$B,"&lt;"&amp;A41+7,'15_Equipment_Log'!$C:$C,B41))</x:f>
      </x:c>
      <x:c r="I41" s="70" t="str">
        <x:f>IF(OR(A41="",B41=""),"",SUMIFS('12_Production_Log'!$M:$M,'12_Production_Log'!$B:$B,"&gt;="&amp;A41,'12_Production_Log'!$B:$B,"&lt;"&amp;A41+7,'12_Production_Log'!$C:$C,B41)+SUMIFS('14_Materials_Log'!$I:$I,'14_Materials_Log'!$B:$B,"&gt;="&amp;A41,'14_Materials_Log'!$B:$B,"&lt;"&amp;A41+7,'14_Materials_Log'!$C:$C,B41,'14_Materials_Log'!$J:$J,"Yes"))</x:f>
      </x:c>
      <x:c r="J41" s="70" t="str">
        <x:f>IF(OR(A41="",B41=""),"",SUMIFS('13_Labor_Time'!$L:$L,'13_Labor_Time'!$B:$B,"&gt;="&amp;A41,'13_Labor_Time'!$B:$B,"&lt;"&amp;A41+7,'13_Labor_Time'!$C:$C,B41))</x:f>
      </x:c>
      <x:c r="K41" s="70" t="str">
        <x:f>IF(OR(I41="",G41="",H41="",J41=""),"",I41-G41-H41-J41)</x:f>
      </x:c>
      <x:c r="L41" s="140" t="str">
        <x:f>IF(C41=0,"",COUNTIFS('11_Intake_Daily'!$C:$C,"&gt;="&amp;A41,'11_Intake_Daily'!$C:$C,"&lt;"&amp;A41+7,'11_Intake_Daily'!$D:$D,B41,'11_Intake_Daily'!$AA:$AA,"Yes")/C41)</x:f>
      </x:c>
    </x:row>
    <x:row r="42" ht="20" customHeight="1">
      <x:c r="A42" s="28"/>
      <x:c r="B42" s="15"/>
      <x:c r="C42" s="15" t="str">
        <x:f>IF(OR(A42="",B42=""),"",COUNTIFS('11_Intake_Daily'!$C:$C,"&gt;="&amp;A42,'11_Intake_Daily'!$C:$C,"&lt;"&amp;A42+7,'11_Intake_Daily'!$D:$D,B42))</x:f>
      </x:c>
      <x:c r="D42" s="15" t="str">
        <x:f>IF(OR(A42="",B42=""),"",COUNTIFS('20_Proof_Queue'!$B:$B,"&gt;="&amp;A42,'20_Proof_Queue'!$B:$B,"&lt;"&amp;A42+7,'20_Proof_Queue'!$C:$C,B42,'20_Proof_Queue'!$H:$H,"&lt;&gt;Closed"))</x:f>
      </x:c>
      <x:c r="E42" s="138" t="str">
        <x:f>IF(OR(A42="",B42=""),"",SUMIFS('12_Production_Log'!$H:$H,'12_Production_Log'!$B:$B,"&gt;="&amp;A42,'12_Production_Log'!$B:$B,"&lt;"&amp;A42+7,'12_Production_Log'!$C:$C,B42))</x:f>
      </x:c>
      <x:c r="F42" s="136" t="str">
        <x:f>IF(OR(A42="",B42=""),"",SUMIFS('13_Labor_Time'!$J:$J,'13_Labor_Time'!$B:$B,"&gt;="&amp;A42,'13_Labor_Time'!$B:$B,"&lt;"&amp;A42+7,'13_Labor_Time'!$C:$C,B42))</x:f>
      </x:c>
      <x:c r="G42" s="70" t="str">
        <x:f>IF(OR(A42="",B42=""),"",SUMIFS('14_Materials_Log'!$I:$I,'14_Materials_Log'!$B:$B,"&gt;="&amp;A42,'14_Materials_Log'!$B:$B,"&lt;"&amp;A42+7,'14_Materials_Log'!$C:$C,B42))</x:f>
      </x:c>
      <x:c r="H42" s="70" t="str">
        <x:f>IF(OR(A42="",B42=""),"",SUMIFS('15_Equipment_Log'!$M:$M,'15_Equipment_Log'!$B:$B,"&gt;="&amp;A42,'15_Equipment_Log'!$B:$B,"&lt;"&amp;A42+7,'15_Equipment_Log'!$C:$C,B42))</x:f>
      </x:c>
      <x:c r="I42" s="70" t="str">
        <x:f>IF(OR(A42="",B42=""),"",SUMIFS('12_Production_Log'!$M:$M,'12_Production_Log'!$B:$B,"&gt;="&amp;A42,'12_Production_Log'!$B:$B,"&lt;"&amp;A42+7,'12_Production_Log'!$C:$C,B42)+SUMIFS('14_Materials_Log'!$I:$I,'14_Materials_Log'!$B:$B,"&gt;="&amp;A42,'14_Materials_Log'!$B:$B,"&lt;"&amp;A42+7,'14_Materials_Log'!$C:$C,B42,'14_Materials_Log'!$J:$J,"Yes"))</x:f>
      </x:c>
      <x:c r="J42" s="70" t="str">
        <x:f>IF(OR(A42="",B42=""),"",SUMIFS('13_Labor_Time'!$L:$L,'13_Labor_Time'!$B:$B,"&gt;="&amp;A42,'13_Labor_Time'!$B:$B,"&lt;"&amp;A42+7,'13_Labor_Time'!$C:$C,B42))</x:f>
      </x:c>
      <x:c r="K42" s="70" t="str">
        <x:f>IF(OR(I42="",G42="",H42="",J42=""),"",I42-G42-H42-J42)</x:f>
      </x:c>
      <x:c r="L42" s="140" t="str">
        <x:f>IF(C42=0,"",COUNTIFS('11_Intake_Daily'!$C:$C,"&gt;="&amp;A42,'11_Intake_Daily'!$C:$C,"&lt;"&amp;A42+7,'11_Intake_Daily'!$D:$D,B42,'11_Intake_Daily'!$AA:$AA,"Yes")/C42)</x:f>
      </x:c>
    </x:row>
    <x:row r="43" ht="20" customHeight="1">
      <x:c r="A43" s="28"/>
      <x:c r="B43" s="15"/>
      <x:c r="C43" s="15" t="str">
        <x:f>IF(OR(A43="",B43=""),"",COUNTIFS('11_Intake_Daily'!$C:$C,"&gt;="&amp;A43,'11_Intake_Daily'!$C:$C,"&lt;"&amp;A43+7,'11_Intake_Daily'!$D:$D,B43))</x:f>
      </x:c>
      <x:c r="D43" s="15" t="str">
        <x:f>IF(OR(A43="",B43=""),"",COUNTIFS('20_Proof_Queue'!$B:$B,"&gt;="&amp;A43,'20_Proof_Queue'!$B:$B,"&lt;"&amp;A43+7,'20_Proof_Queue'!$C:$C,B43,'20_Proof_Queue'!$H:$H,"&lt;&gt;Closed"))</x:f>
      </x:c>
      <x:c r="E43" s="138" t="str">
        <x:f>IF(OR(A43="",B43=""),"",SUMIFS('12_Production_Log'!$H:$H,'12_Production_Log'!$B:$B,"&gt;="&amp;A43,'12_Production_Log'!$B:$B,"&lt;"&amp;A43+7,'12_Production_Log'!$C:$C,B43))</x:f>
      </x:c>
      <x:c r="F43" s="136" t="str">
        <x:f>IF(OR(A43="",B43=""),"",SUMIFS('13_Labor_Time'!$J:$J,'13_Labor_Time'!$B:$B,"&gt;="&amp;A43,'13_Labor_Time'!$B:$B,"&lt;"&amp;A43+7,'13_Labor_Time'!$C:$C,B43))</x:f>
      </x:c>
      <x:c r="G43" s="70" t="str">
        <x:f>IF(OR(A43="",B43=""),"",SUMIFS('14_Materials_Log'!$I:$I,'14_Materials_Log'!$B:$B,"&gt;="&amp;A43,'14_Materials_Log'!$B:$B,"&lt;"&amp;A43+7,'14_Materials_Log'!$C:$C,B43))</x:f>
      </x:c>
      <x:c r="H43" s="70" t="str">
        <x:f>IF(OR(A43="",B43=""),"",SUMIFS('15_Equipment_Log'!$M:$M,'15_Equipment_Log'!$B:$B,"&gt;="&amp;A43,'15_Equipment_Log'!$B:$B,"&lt;"&amp;A43+7,'15_Equipment_Log'!$C:$C,B43))</x:f>
      </x:c>
      <x:c r="I43" s="70" t="str">
        <x:f>IF(OR(A43="",B43=""),"",SUMIFS('12_Production_Log'!$M:$M,'12_Production_Log'!$B:$B,"&gt;="&amp;A43,'12_Production_Log'!$B:$B,"&lt;"&amp;A43+7,'12_Production_Log'!$C:$C,B43)+SUMIFS('14_Materials_Log'!$I:$I,'14_Materials_Log'!$B:$B,"&gt;="&amp;A43,'14_Materials_Log'!$B:$B,"&lt;"&amp;A43+7,'14_Materials_Log'!$C:$C,B43,'14_Materials_Log'!$J:$J,"Yes"))</x:f>
      </x:c>
      <x:c r="J43" s="70" t="str">
        <x:f>IF(OR(A43="",B43=""),"",SUMIFS('13_Labor_Time'!$L:$L,'13_Labor_Time'!$B:$B,"&gt;="&amp;A43,'13_Labor_Time'!$B:$B,"&lt;"&amp;A43+7,'13_Labor_Time'!$C:$C,B43))</x:f>
      </x:c>
      <x:c r="K43" s="70" t="str">
        <x:f>IF(OR(I43="",G43="",H43="",J43=""),"",I43-G43-H43-J43)</x:f>
      </x:c>
      <x:c r="L43" s="140" t="str">
        <x:f>IF(C43=0,"",COUNTIFS('11_Intake_Daily'!$C:$C,"&gt;="&amp;A43,'11_Intake_Daily'!$C:$C,"&lt;"&amp;A43+7,'11_Intake_Daily'!$D:$D,B43,'11_Intake_Daily'!$AA:$AA,"Yes")/C43)</x:f>
      </x:c>
    </x:row>
    <x:row r="44" ht="20" customHeight="1">
      <x:c r="A44" s="28"/>
      <x:c r="B44" s="15"/>
      <x:c r="C44" s="15" t="str">
        <x:f>IF(OR(A44="",B44=""),"",COUNTIFS('11_Intake_Daily'!$C:$C,"&gt;="&amp;A44,'11_Intake_Daily'!$C:$C,"&lt;"&amp;A44+7,'11_Intake_Daily'!$D:$D,B44))</x:f>
      </x:c>
      <x:c r="D44" s="15" t="str">
        <x:f>IF(OR(A44="",B44=""),"",COUNTIFS('20_Proof_Queue'!$B:$B,"&gt;="&amp;A44,'20_Proof_Queue'!$B:$B,"&lt;"&amp;A44+7,'20_Proof_Queue'!$C:$C,B44,'20_Proof_Queue'!$H:$H,"&lt;&gt;Closed"))</x:f>
      </x:c>
      <x:c r="E44" s="138" t="str">
        <x:f>IF(OR(A44="",B44=""),"",SUMIFS('12_Production_Log'!$H:$H,'12_Production_Log'!$B:$B,"&gt;="&amp;A44,'12_Production_Log'!$B:$B,"&lt;"&amp;A44+7,'12_Production_Log'!$C:$C,B44))</x:f>
      </x:c>
      <x:c r="F44" s="136" t="str">
        <x:f>IF(OR(A44="",B44=""),"",SUMIFS('13_Labor_Time'!$J:$J,'13_Labor_Time'!$B:$B,"&gt;="&amp;A44,'13_Labor_Time'!$B:$B,"&lt;"&amp;A44+7,'13_Labor_Time'!$C:$C,B44))</x:f>
      </x:c>
      <x:c r="G44" s="70" t="str">
        <x:f>IF(OR(A44="",B44=""),"",SUMIFS('14_Materials_Log'!$I:$I,'14_Materials_Log'!$B:$B,"&gt;="&amp;A44,'14_Materials_Log'!$B:$B,"&lt;"&amp;A44+7,'14_Materials_Log'!$C:$C,B44))</x:f>
      </x:c>
      <x:c r="H44" s="70" t="str">
        <x:f>IF(OR(A44="",B44=""),"",SUMIFS('15_Equipment_Log'!$M:$M,'15_Equipment_Log'!$B:$B,"&gt;="&amp;A44,'15_Equipment_Log'!$B:$B,"&lt;"&amp;A44+7,'15_Equipment_Log'!$C:$C,B44))</x:f>
      </x:c>
      <x:c r="I44" s="70" t="str">
        <x:f>IF(OR(A44="",B44=""),"",SUMIFS('12_Production_Log'!$M:$M,'12_Production_Log'!$B:$B,"&gt;="&amp;A44,'12_Production_Log'!$B:$B,"&lt;"&amp;A44+7,'12_Production_Log'!$C:$C,B44)+SUMIFS('14_Materials_Log'!$I:$I,'14_Materials_Log'!$B:$B,"&gt;="&amp;A44,'14_Materials_Log'!$B:$B,"&lt;"&amp;A44+7,'14_Materials_Log'!$C:$C,B44,'14_Materials_Log'!$J:$J,"Yes"))</x:f>
      </x:c>
      <x:c r="J44" s="70" t="str">
        <x:f>IF(OR(A44="",B44=""),"",SUMIFS('13_Labor_Time'!$L:$L,'13_Labor_Time'!$B:$B,"&gt;="&amp;A44,'13_Labor_Time'!$B:$B,"&lt;"&amp;A44+7,'13_Labor_Time'!$C:$C,B44))</x:f>
      </x:c>
      <x:c r="K44" s="70" t="str">
        <x:f>IF(OR(I44="",G44="",H44="",J44=""),"",I44-G44-H44-J44)</x:f>
      </x:c>
      <x:c r="L44" s="140" t="str">
        <x:f>IF(C44=0,"",COUNTIFS('11_Intake_Daily'!$C:$C,"&gt;="&amp;A44,'11_Intake_Daily'!$C:$C,"&lt;"&amp;A44+7,'11_Intake_Daily'!$D:$D,B44,'11_Intake_Daily'!$AA:$AA,"Yes")/C44)</x:f>
      </x:c>
    </x:row>
    <x:row r="45" ht="20" customHeight="1">
      <x:c r="A45" s="28"/>
      <x:c r="B45" s="15"/>
      <x:c r="C45" s="15" t="str">
        <x:f>IF(OR(A45="",B45=""),"",COUNTIFS('11_Intake_Daily'!$C:$C,"&gt;="&amp;A45,'11_Intake_Daily'!$C:$C,"&lt;"&amp;A45+7,'11_Intake_Daily'!$D:$D,B45))</x:f>
      </x:c>
      <x:c r="D45" s="15" t="str">
        <x:f>IF(OR(A45="",B45=""),"",COUNTIFS('20_Proof_Queue'!$B:$B,"&gt;="&amp;A45,'20_Proof_Queue'!$B:$B,"&lt;"&amp;A45+7,'20_Proof_Queue'!$C:$C,B45,'20_Proof_Queue'!$H:$H,"&lt;&gt;Closed"))</x:f>
      </x:c>
      <x:c r="E45" s="138" t="str">
        <x:f>IF(OR(A45="",B45=""),"",SUMIFS('12_Production_Log'!$H:$H,'12_Production_Log'!$B:$B,"&gt;="&amp;A45,'12_Production_Log'!$B:$B,"&lt;"&amp;A45+7,'12_Production_Log'!$C:$C,B45))</x:f>
      </x:c>
      <x:c r="F45" s="136" t="str">
        <x:f>IF(OR(A45="",B45=""),"",SUMIFS('13_Labor_Time'!$J:$J,'13_Labor_Time'!$B:$B,"&gt;="&amp;A45,'13_Labor_Time'!$B:$B,"&lt;"&amp;A45+7,'13_Labor_Time'!$C:$C,B45))</x:f>
      </x:c>
      <x:c r="G45" s="70" t="str">
        <x:f>IF(OR(A45="",B45=""),"",SUMIFS('14_Materials_Log'!$I:$I,'14_Materials_Log'!$B:$B,"&gt;="&amp;A45,'14_Materials_Log'!$B:$B,"&lt;"&amp;A45+7,'14_Materials_Log'!$C:$C,B45))</x:f>
      </x:c>
      <x:c r="H45" s="70" t="str">
        <x:f>IF(OR(A45="",B45=""),"",SUMIFS('15_Equipment_Log'!$M:$M,'15_Equipment_Log'!$B:$B,"&gt;="&amp;A45,'15_Equipment_Log'!$B:$B,"&lt;"&amp;A45+7,'15_Equipment_Log'!$C:$C,B45))</x:f>
      </x:c>
      <x:c r="I45" s="70" t="str">
        <x:f>IF(OR(A45="",B45=""),"",SUMIFS('12_Production_Log'!$M:$M,'12_Production_Log'!$B:$B,"&gt;="&amp;A45,'12_Production_Log'!$B:$B,"&lt;"&amp;A45+7,'12_Production_Log'!$C:$C,B45)+SUMIFS('14_Materials_Log'!$I:$I,'14_Materials_Log'!$B:$B,"&gt;="&amp;A45,'14_Materials_Log'!$B:$B,"&lt;"&amp;A45+7,'14_Materials_Log'!$C:$C,B45,'14_Materials_Log'!$J:$J,"Yes"))</x:f>
      </x:c>
      <x:c r="J45" s="70" t="str">
        <x:f>IF(OR(A45="",B45=""),"",SUMIFS('13_Labor_Time'!$L:$L,'13_Labor_Time'!$B:$B,"&gt;="&amp;A45,'13_Labor_Time'!$B:$B,"&lt;"&amp;A45+7,'13_Labor_Time'!$C:$C,B45))</x:f>
      </x:c>
      <x:c r="K45" s="70" t="str">
        <x:f>IF(OR(I45="",G45="",H45="",J45=""),"",I45-G45-H45-J45)</x:f>
      </x:c>
      <x:c r="L45" s="140" t="str">
        <x:f>IF(C45=0,"",COUNTIFS('11_Intake_Daily'!$C:$C,"&gt;="&amp;A45,'11_Intake_Daily'!$C:$C,"&lt;"&amp;A45+7,'11_Intake_Daily'!$D:$D,B45,'11_Intake_Daily'!$AA:$AA,"Yes")/C45)</x:f>
      </x:c>
    </x:row>
    <x:row r="46" ht="20" customHeight="1">
      <x:c r="A46" s="28"/>
      <x:c r="B46" s="15"/>
      <x:c r="C46" s="15" t="str">
        <x:f>IF(OR(A46="",B46=""),"",COUNTIFS('11_Intake_Daily'!$C:$C,"&gt;="&amp;A46,'11_Intake_Daily'!$C:$C,"&lt;"&amp;A46+7,'11_Intake_Daily'!$D:$D,B46))</x:f>
      </x:c>
      <x:c r="D46" s="15" t="str">
        <x:f>IF(OR(A46="",B46=""),"",COUNTIFS('20_Proof_Queue'!$B:$B,"&gt;="&amp;A46,'20_Proof_Queue'!$B:$B,"&lt;"&amp;A46+7,'20_Proof_Queue'!$C:$C,B46,'20_Proof_Queue'!$H:$H,"&lt;&gt;Closed"))</x:f>
      </x:c>
      <x:c r="E46" s="138" t="str">
        <x:f>IF(OR(A46="",B46=""),"",SUMIFS('12_Production_Log'!$H:$H,'12_Production_Log'!$B:$B,"&gt;="&amp;A46,'12_Production_Log'!$B:$B,"&lt;"&amp;A46+7,'12_Production_Log'!$C:$C,B46))</x:f>
      </x:c>
      <x:c r="F46" s="136" t="str">
        <x:f>IF(OR(A46="",B46=""),"",SUMIFS('13_Labor_Time'!$J:$J,'13_Labor_Time'!$B:$B,"&gt;="&amp;A46,'13_Labor_Time'!$B:$B,"&lt;"&amp;A46+7,'13_Labor_Time'!$C:$C,B46))</x:f>
      </x:c>
      <x:c r="G46" s="70" t="str">
        <x:f>IF(OR(A46="",B46=""),"",SUMIFS('14_Materials_Log'!$I:$I,'14_Materials_Log'!$B:$B,"&gt;="&amp;A46,'14_Materials_Log'!$B:$B,"&lt;"&amp;A46+7,'14_Materials_Log'!$C:$C,B46))</x:f>
      </x:c>
      <x:c r="H46" s="70" t="str">
        <x:f>IF(OR(A46="",B46=""),"",SUMIFS('15_Equipment_Log'!$M:$M,'15_Equipment_Log'!$B:$B,"&gt;="&amp;A46,'15_Equipment_Log'!$B:$B,"&lt;"&amp;A46+7,'15_Equipment_Log'!$C:$C,B46))</x:f>
      </x:c>
      <x:c r="I46" s="70" t="str">
        <x:f>IF(OR(A46="",B46=""),"",SUMIFS('12_Production_Log'!$M:$M,'12_Production_Log'!$B:$B,"&gt;="&amp;A46,'12_Production_Log'!$B:$B,"&lt;"&amp;A46+7,'12_Production_Log'!$C:$C,B46)+SUMIFS('14_Materials_Log'!$I:$I,'14_Materials_Log'!$B:$B,"&gt;="&amp;A46,'14_Materials_Log'!$B:$B,"&lt;"&amp;A46+7,'14_Materials_Log'!$C:$C,B46,'14_Materials_Log'!$J:$J,"Yes"))</x:f>
      </x:c>
      <x:c r="J46" s="70" t="str">
        <x:f>IF(OR(A46="",B46=""),"",SUMIFS('13_Labor_Time'!$L:$L,'13_Labor_Time'!$B:$B,"&gt;="&amp;A46,'13_Labor_Time'!$B:$B,"&lt;"&amp;A46+7,'13_Labor_Time'!$C:$C,B46))</x:f>
      </x:c>
      <x:c r="K46" s="70" t="str">
        <x:f>IF(OR(I46="",G46="",H46="",J46=""),"",I46-G46-H46-J46)</x:f>
      </x:c>
      <x:c r="L46" s="140" t="str">
        <x:f>IF(C46=0,"",COUNTIFS('11_Intake_Daily'!$C:$C,"&gt;="&amp;A46,'11_Intake_Daily'!$C:$C,"&lt;"&amp;A46+7,'11_Intake_Daily'!$D:$D,B46,'11_Intake_Daily'!$AA:$AA,"Yes")/C46)</x:f>
      </x:c>
    </x:row>
    <x:row r="47" ht="20" customHeight="1">
      <x:c r="A47" s="28"/>
      <x:c r="B47" s="15"/>
      <x:c r="C47" s="15" t="str">
        <x:f>IF(OR(A47="",B47=""),"",COUNTIFS('11_Intake_Daily'!$C:$C,"&gt;="&amp;A47,'11_Intake_Daily'!$C:$C,"&lt;"&amp;A47+7,'11_Intake_Daily'!$D:$D,B47))</x:f>
      </x:c>
      <x:c r="D47" s="15" t="str">
        <x:f>IF(OR(A47="",B47=""),"",COUNTIFS('20_Proof_Queue'!$B:$B,"&gt;="&amp;A47,'20_Proof_Queue'!$B:$B,"&lt;"&amp;A47+7,'20_Proof_Queue'!$C:$C,B47,'20_Proof_Queue'!$H:$H,"&lt;&gt;Closed"))</x:f>
      </x:c>
      <x:c r="E47" s="138" t="str">
        <x:f>IF(OR(A47="",B47=""),"",SUMIFS('12_Production_Log'!$H:$H,'12_Production_Log'!$B:$B,"&gt;="&amp;A47,'12_Production_Log'!$B:$B,"&lt;"&amp;A47+7,'12_Production_Log'!$C:$C,B47))</x:f>
      </x:c>
      <x:c r="F47" s="136" t="str">
        <x:f>IF(OR(A47="",B47=""),"",SUMIFS('13_Labor_Time'!$J:$J,'13_Labor_Time'!$B:$B,"&gt;="&amp;A47,'13_Labor_Time'!$B:$B,"&lt;"&amp;A47+7,'13_Labor_Time'!$C:$C,B47))</x:f>
      </x:c>
      <x:c r="G47" s="70" t="str">
        <x:f>IF(OR(A47="",B47=""),"",SUMIFS('14_Materials_Log'!$I:$I,'14_Materials_Log'!$B:$B,"&gt;="&amp;A47,'14_Materials_Log'!$B:$B,"&lt;"&amp;A47+7,'14_Materials_Log'!$C:$C,B47))</x:f>
      </x:c>
      <x:c r="H47" s="70" t="str">
        <x:f>IF(OR(A47="",B47=""),"",SUMIFS('15_Equipment_Log'!$M:$M,'15_Equipment_Log'!$B:$B,"&gt;="&amp;A47,'15_Equipment_Log'!$B:$B,"&lt;"&amp;A47+7,'15_Equipment_Log'!$C:$C,B47))</x:f>
      </x:c>
      <x:c r="I47" s="70" t="str">
        <x:f>IF(OR(A47="",B47=""),"",SUMIFS('12_Production_Log'!$M:$M,'12_Production_Log'!$B:$B,"&gt;="&amp;A47,'12_Production_Log'!$B:$B,"&lt;"&amp;A47+7,'12_Production_Log'!$C:$C,B47)+SUMIFS('14_Materials_Log'!$I:$I,'14_Materials_Log'!$B:$B,"&gt;="&amp;A47,'14_Materials_Log'!$B:$B,"&lt;"&amp;A47+7,'14_Materials_Log'!$C:$C,B47,'14_Materials_Log'!$J:$J,"Yes"))</x:f>
      </x:c>
      <x:c r="J47" s="70" t="str">
        <x:f>IF(OR(A47="",B47=""),"",SUMIFS('13_Labor_Time'!$L:$L,'13_Labor_Time'!$B:$B,"&gt;="&amp;A47,'13_Labor_Time'!$B:$B,"&lt;"&amp;A47+7,'13_Labor_Time'!$C:$C,B47))</x:f>
      </x:c>
      <x:c r="K47" s="70" t="str">
        <x:f>IF(OR(I47="",G47="",H47="",J47=""),"",I47-G47-H47-J47)</x:f>
      </x:c>
      <x:c r="L47" s="140" t="str">
        <x:f>IF(C47=0,"",COUNTIFS('11_Intake_Daily'!$C:$C,"&gt;="&amp;A47,'11_Intake_Daily'!$C:$C,"&lt;"&amp;A47+7,'11_Intake_Daily'!$D:$D,B47,'11_Intake_Daily'!$AA:$AA,"Yes")/C47)</x:f>
      </x:c>
    </x:row>
    <x:row r="48" ht="20" customHeight="1">
      <x:c r="A48" s="28"/>
      <x:c r="B48" s="15"/>
      <x:c r="C48" s="15" t="str">
        <x:f>IF(OR(A48="",B48=""),"",COUNTIFS('11_Intake_Daily'!$C:$C,"&gt;="&amp;A48,'11_Intake_Daily'!$C:$C,"&lt;"&amp;A48+7,'11_Intake_Daily'!$D:$D,B48))</x:f>
      </x:c>
      <x:c r="D48" s="15" t="str">
        <x:f>IF(OR(A48="",B48=""),"",COUNTIFS('20_Proof_Queue'!$B:$B,"&gt;="&amp;A48,'20_Proof_Queue'!$B:$B,"&lt;"&amp;A48+7,'20_Proof_Queue'!$C:$C,B48,'20_Proof_Queue'!$H:$H,"&lt;&gt;Closed"))</x:f>
      </x:c>
      <x:c r="E48" s="138" t="str">
        <x:f>IF(OR(A48="",B48=""),"",SUMIFS('12_Production_Log'!$H:$H,'12_Production_Log'!$B:$B,"&gt;="&amp;A48,'12_Production_Log'!$B:$B,"&lt;"&amp;A48+7,'12_Production_Log'!$C:$C,B48))</x:f>
      </x:c>
      <x:c r="F48" s="136" t="str">
        <x:f>IF(OR(A48="",B48=""),"",SUMIFS('13_Labor_Time'!$J:$J,'13_Labor_Time'!$B:$B,"&gt;="&amp;A48,'13_Labor_Time'!$B:$B,"&lt;"&amp;A48+7,'13_Labor_Time'!$C:$C,B48))</x:f>
      </x:c>
      <x:c r="G48" s="70" t="str">
        <x:f>IF(OR(A48="",B48=""),"",SUMIFS('14_Materials_Log'!$I:$I,'14_Materials_Log'!$B:$B,"&gt;="&amp;A48,'14_Materials_Log'!$B:$B,"&lt;"&amp;A48+7,'14_Materials_Log'!$C:$C,B48))</x:f>
      </x:c>
      <x:c r="H48" s="70" t="str">
        <x:f>IF(OR(A48="",B48=""),"",SUMIFS('15_Equipment_Log'!$M:$M,'15_Equipment_Log'!$B:$B,"&gt;="&amp;A48,'15_Equipment_Log'!$B:$B,"&lt;"&amp;A48+7,'15_Equipment_Log'!$C:$C,B48))</x:f>
      </x:c>
      <x:c r="I48" s="70" t="str">
        <x:f>IF(OR(A48="",B48=""),"",SUMIFS('12_Production_Log'!$M:$M,'12_Production_Log'!$B:$B,"&gt;="&amp;A48,'12_Production_Log'!$B:$B,"&lt;"&amp;A48+7,'12_Production_Log'!$C:$C,B48)+SUMIFS('14_Materials_Log'!$I:$I,'14_Materials_Log'!$B:$B,"&gt;="&amp;A48,'14_Materials_Log'!$B:$B,"&lt;"&amp;A48+7,'14_Materials_Log'!$C:$C,B48,'14_Materials_Log'!$J:$J,"Yes"))</x:f>
      </x:c>
      <x:c r="J48" s="70" t="str">
        <x:f>IF(OR(A48="",B48=""),"",SUMIFS('13_Labor_Time'!$L:$L,'13_Labor_Time'!$B:$B,"&gt;="&amp;A48,'13_Labor_Time'!$B:$B,"&lt;"&amp;A48+7,'13_Labor_Time'!$C:$C,B48))</x:f>
      </x:c>
      <x:c r="K48" s="70" t="str">
        <x:f>IF(OR(I48="",G48="",H48="",J48=""),"",I48-G48-H48-J48)</x:f>
      </x:c>
      <x:c r="L48" s="140" t="str">
        <x:f>IF(C48=0,"",COUNTIFS('11_Intake_Daily'!$C:$C,"&gt;="&amp;A48,'11_Intake_Daily'!$C:$C,"&lt;"&amp;A48+7,'11_Intake_Daily'!$D:$D,B48,'11_Intake_Daily'!$AA:$AA,"Yes")/C48)</x:f>
      </x:c>
    </x:row>
    <x:row r="49" ht="20" customHeight="1">
      <x:c r="A49" s="28"/>
      <x:c r="B49" s="15"/>
      <x:c r="C49" s="15" t="str">
        <x:f>IF(OR(A49="",B49=""),"",COUNTIFS('11_Intake_Daily'!$C:$C,"&gt;="&amp;A49,'11_Intake_Daily'!$C:$C,"&lt;"&amp;A49+7,'11_Intake_Daily'!$D:$D,B49))</x:f>
      </x:c>
      <x:c r="D49" s="15" t="str">
        <x:f>IF(OR(A49="",B49=""),"",COUNTIFS('20_Proof_Queue'!$B:$B,"&gt;="&amp;A49,'20_Proof_Queue'!$B:$B,"&lt;"&amp;A49+7,'20_Proof_Queue'!$C:$C,B49,'20_Proof_Queue'!$H:$H,"&lt;&gt;Closed"))</x:f>
      </x:c>
      <x:c r="E49" s="138" t="str">
        <x:f>IF(OR(A49="",B49=""),"",SUMIFS('12_Production_Log'!$H:$H,'12_Production_Log'!$B:$B,"&gt;="&amp;A49,'12_Production_Log'!$B:$B,"&lt;"&amp;A49+7,'12_Production_Log'!$C:$C,B49))</x:f>
      </x:c>
      <x:c r="F49" s="136" t="str">
        <x:f>IF(OR(A49="",B49=""),"",SUMIFS('13_Labor_Time'!$J:$J,'13_Labor_Time'!$B:$B,"&gt;="&amp;A49,'13_Labor_Time'!$B:$B,"&lt;"&amp;A49+7,'13_Labor_Time'!$C:$C,B49))</x:f>
      </x:c>
      <x:c r="G49" s="70" t="str">
        <x:f>IF(OR(A49="",B49=""),"",SUMIFS('14_Materials_Log'!$I:$I,'14_Materials_Log'!$B:$B,"&gt;="&amp;A49,'14_Materials_Log'!$B:$B,"&lt;"&amp;A49+7,'14_Materials_Log'!$C:$C,B49))</x:f>
      </x:c>
      <x:c r="H49" s="70" t="str">
        <x:f>IF(OR(A49="",B49=""),"",SUMIFS('15_Equipment_Log'!$M:$M,'15_Equipment_Log'!$B:$B,"&gt;="&amp;A49,'15_Equipment_Log'!$B:$B,"&lt;"&amp;A49+7,'15_Equipment_Log'!$C:$C,B49))</x:f>
      </x:c>
      <x:c r="I49" s="70" t="str">
        <x:f>IF(OR(A49="",B49=""),"",SUMIFS('12_Production_Log'!$M:$M,'12_Production_Log'!$B:$B,"&gt;="&amp;A49,'12_Production_Log'!$B:$B,"&lt;"&amp;A49+7,'12_Production_Log'!$C:$C,B49)+SUMIFS('14_Materials_Log'!$I:$I,'14_Materials_Log'!$B:$B,"&gt;="&amp;A49,'14_Materials_Log'!$B:$B,"&lt;"&amp;A49+7,'14_Materials_Log'!$C:$C,B49,'14_Materials_Log'!$J:$J,"Yes"))</x:f>
      </x:c>
      <x:c r="J49" s="70" t="str">
        <x:f>IF(OR(A49="",B49=""),"",SUMIFS('13_Labor_Time'!$L:$L,'13_Labor_Time'!$B:$B,"&gt;="&amp;A49,'13_Labor_Time'!$B:$B,"&lt;"&amp;A49+7,'13_Labor_Time'!$C:$C,B49))</x:f>
      </x:c>
      <x:c r="K49" s="70" t="str">
        <x:f>IF(OR(I49="",G49="",H49="",J49=""),"",I49-G49-H49-J49)</x:f>
      </x:c>
      <x:c r="L49" s="140" t="str">
        <x:f>IF(C49=0,"",COUNTIFS('11_Intake_Daily'!$C:$C,"&gt;="&amp;A49,'11_Intake_Daily'!$C:$C,"&lt;"&amp;A49+7,'11_Intake_Daily'!$D:$D,B49,'11_Intake_Daily'!$AA:$AA,"Yes")/C49)</x:f>
      </x:c>
    </x:row>
    <x:row r="50" ht="20" customHeight="1">
      <x:c r="A50" s="28"/>
      <x:c r="B50" s="15"/>
      <x:c r="C50" s="15" t="str">
        <x:f>IF(OR(A50="",B50=""),"",COUNTIFS('11_Intake_Daily'!$C:$C,"&gt;="&amp;A50,'11_Intake_Daily'!$C:$C,"&lt;"&amp;A50+7,'11_Intake_Daily'!$D:$D,B50))</x:f>
      </x:c>
      <x:c r="D50" s="15" t="str">
        <x:f>IF(OR(A50="",B50=""),"",COUNTIFS('20_Proof_Queue'!$B:$B,"&gt;="&amp;A50,'20_Proof_Queue'!$B:$B,"&lt;"&amp;A50+7,'20_Proof_Queue'!$C:$C,B50,'20_Proof_Queue'!$H:$H,"&lt;&gt;Closed"))</x:f>
      </x:c>
      <x:c r="E50" s="138" t="str">
        <x:f>IF(OR(A50="",B50=""),"",SUMIFS('12_Production_Log'!$H:$H,'12_Production_Log'!$B:$B,"&gt;="&amp;A50,'12_Production_Log'!$B:$B,"&lt;"&amp;A50+7,'12_Production_Log'!$C:$C,B50))</x:f>
      </x:c>
      <x:c r="F50" s="136" t="str">
        <x:f>IF(OR(A50="",B50=""),"",SUMIFS('13_Labor_Time'!$J:$J,'13_Labor_Time'!$B:$B,"&gt;="&amp;A50,'13_Labor_Time'!$B:$B,"&lt;"&amp;A50+7,'13_Labor_Time'!$C:$C,B50))</x:f>
      </x:c>
      <x:c r="G50" s="70" t="str">
        <x:f>IF(OR(A50="",B50=""),"",SUMIFS('14_Materials_Log'!$I:$I,'14_Materials_Log'!$B:$B,"&gt;="&amp;A50,'14_Materials_Log'!$B:$B,"&lt;"&amp;A50+7,'14_Materials_Log'!$C:$C,B50))</x:f>
      </x:c>
      <x:c r="H50" s="70" t="str">
        <x:f>IF(OR(A50="",B50=""),"",SUMIFS('15_Equipment_Log'!$M:$M,'15_Equipment_Log'!$B:$B,"&gt;="&amp;A50,'15_Equipment_Log'!$B:$B,"&lt;"&amp;A50+7,'15_Equipment_Log'!$C:$C,B50))</x:f>
      </x:c>
      <x:c r="I50" s="70" t="str">
        <x:f>IF(OR(A50="",B50=""),"",SUMIFS('12_Production_Log'!$M:$M,'12_Production_Log'!$B:$B,"&gt;="&amp;A50,'12_Production_Log'!$B:$B,"&lt;"&amp;A50+7,'12_Production_Log'!$C:$C,B50)+SUMIFS('14_Materials_Log'!$I:$I,'14_Materials_Log'!$B:$B,"&gt;="&amp;A50,'14_Materials_Log'!$B:$B,"&lt;"&amp;A50+7,'14_Materials_Log'!$C:$C,B50,'14_Materials_Log'!$J:$J,"Yes"))</x:f>
      </x:c>
      <x:c r="J50" s="70" t="str">
        <x:f>IF(OR(A50="",B50=""),"",SUMIFS('13_Labor_Time'!$L:$L,'13_Labor_Time'!$B:$B,"&gt;="&amp;A50,'13_Labor_Time'!$B:$B,"&lt;"&amp;A50+7,'13_Labor_Time'!$C:$C,B50))</x:f>
      </x:c>
      <x:c r="K50" s="70" t="str">
        <x:f>IF(OR(I50="",G50="",H50="",J50=""),"",I50-G50-H50-J50)</x:f>
      </x:c>
      <x:c r="L50" s="140" t="str">
        <x:f>IF(C50=0,"",COUNTIFS('11_Intake_Daily'!$C:$C,"&gt;="&amp;A50,'11_Intake_Daily'!$C:$C,"&lt;"&amp;A50+7,'11_Intake_Daily'!$D:$D,B50,'11_Intake_Daily'!$AA:$AA,"Yes")/C50)</x:f>
      </x:c>
    </x:row>
    <x:row r="51" ht="20" customHeight="1">
      <x:c r="A51" s="28"/>
      <x:c r="B51" s="15"/>
      <x:c r="C51" s="15" t="str">
        <x:f>IF(OR(A51="",B51=""),"",COUNTIFS('11_Intake_Daily'!$C:$C,"&gt;="&amp;A51,'11_Intake_Daily'!$C:$C,"&lt;"&amp;A51+7,'11_Intake_Daily'!$D:$D,B51))</x:f>
      </x:c>
      <x:c r="D51" s="15" t="str">
        <x:f>IF(OR(A51="",B51=""),"",COUNTIFS('20_Proof_Queue'!$B:$B,"&gt;="&amp;A51,'20_Proof_Queue'!$B:$B,"&lt;"&amp;A51+7,'20_Proof_Queue'!$C:$C,B51,'20_Proof_Queue'!$H:$H,"&lt;&gt;Closed"))</x:f>
      </x:c>
      <x:c r="E51" s="138" t="str">
        <x:f>IF(OR(A51="",B51=""),"",SUMIFS('12_Production_Log'!$H:$H,'12_Production_Log'!$B:$B,"&gt;="&amp;A51,'12_Production_Log'!$B:$B,"&lt;"&amp;A51+7,'12_Production_Log'!$C:$C,B51))</x:f>
      </x:c>
      <x:c r="F51" s="136" t="str">
        <x:f>IF(OR(A51="",B51=""),"",SUMIFS('13_Labor_Time'!$J:$J,'13_Labor_Time'!$B:$B,"&gt;="&amp;A51,'13_Labor_Time'!$B:$B,"&lt;"&amp;A51+7,'13_Labor_Time'!$C:$C,B51))</x:f>
      </x:c>
      <x:c r="G51" s="70" t="str">
        <x:f>IF(OR(A51="",B51=""),"",SUMIFS('14_Materials_Log'!$I:$I,'14_Materials_Log'!$B:$B,"&gt;="&amp;A51,'14_Materials_Log'!$B:$B,"&lt;"&amp;A51+7,'14_Materials_Log'!$C:$C,B51))</x:f>
      </x:c>
      <x:c r="H51" s="70" t="str">
        <x:f>IF(OR(A51="",B51=""),"",SUMIFS('15_Equipment_Log'!$M:$M,'15_Equipment_Log'!$B:$B,"&gt;="&amp;A51,'15_Equipment_Log'!$B:$B,"&lt;"&amp;A51+7,'15_Equipment_Log'!$C:$C,B51))</x:f>
      </x:c>
      <x:c r="I51" s="70" t="str">
        <x:f>IF(OR(A51="",B51=""),"",SUMIFS('12_Production_Log'!$M:$M,'12_Production_Log'!$B:$B,"&gt;="&amp;A51,'12_Production_Log'!$B:$B,"&lt;"&amp;A51+7,'12_Production_Log'!$C:$C,B51)+SUMIFS('14_Materials_Log'!$I:$I,'14_Materials_Log'!$B:$B,"&gt;="&amp;A51,'14_Materials_Log'!$B:$B,"&lt;"&amp;A51+7,'14_Materials_Log'!$C:$C,B51,'14_Materials_Log'!$J:$J,"Yes"))</x:f>
      </x:c>
      <x:c r="J51" s="70" t="str">
        <x:f>IF(OR(A51="",B51=""),"",SUMIFS('13_Labor_Time'!$L:$L,'13_Labor_Time'!$B:$B,"&gt;="&amp;A51,'13_Labor_Time'!$B:$B,"&lt;"&amp;A51+7,'13_Labor_Time'!$C:$C,B51))</x:f>
      </x:c>
      <x:c r="K51" s="70" t="str">
        <x:f>IF(OR(I51="",G51="",H51="",J51=""),"",I51-G51-H51-J51)</x:f>
      </x:c>
      <x:c r="L51" s="140" t="str">
        <x:f>IF(C51=0,"",COUNTIFS('11_Intake_Daily'!$C:$C,"&gt;="&amp;A51,'11_Intake_Daily'!$C:$C,"&lt;"&amp;A51+7,'11_Intake_Daily'!$D:$D,B51,'11_Intake_Daily'!$AA:$AA,"Yes")/C51)</x:f>
      </x:c>
    </x:row>
    <x:row r="52" ht="20" customHeight="1">
      <x:c r="A52" s="28"/>
      <x:c r="B52" s="15"/>
      <x:c r="C52" s="15" t="str">
        <x:f>IF(OR(A52="",B52=""),"",COUNTIFS('11_Intake_Daily'!$C:$C,"&gt;="&amp;A52,'11_Intake_Daily'!$C:$C,"&lt;"&amp;A52+7,'11_Intake_Daily'!$D:$D,B52))</x:f>
      </x:c>
      <x:c r="D52" s="15" t="str">
        <x:f>IF(OR(A52="",B52=""),"",COUNTIFS('20_Proof_Queue'!$B:$B,"&gt;="&amp;A52,'20_Proof_Queue'!$B:$B,"&lt;"&amp;A52+7,'20_Proof_Queue'!$C:$C,B52,'20_Proof_Queue'!$H:$H,"&lt;&gt;Closed"))</x:f>
      </x:c>
      <x:c r="E52" s="138" t="str">
        <x:f>IF(OR(A52="",B52=""),"",SUMIFS('12_Production_Log'!$H:$H,'12_Production_Log'!$B:$B,"&gt;="&amp;A52,'12_Production_Log'!$B:$B,"&lt;"&amp;A52+7,'12_Production_Log'!$C:$C,B52))</x:f>
      </x:c>
      <x:c r="F52" s="136" t="str">
        <x:f>IF(OR(A52="",B52=""),"",SUMIFS('13_Labor_Time'!$J:$J,'13_Labor_Time'!$B:$B,"&gt;="&amp;A52,'13_Labor_Time'!$B:$B,"&lt;"&amp;A52+7,'13_Labor_Time'!$C:$C,B52))</x:f>
      </x:c>
      <x:c r="G52" s="70" t="str">
        <x:f>IF(OR(A52="",B52=""),"",SUMIFS('14_Materials_Log'!$I:$I,'14_Materials_Log'!$B:$B,"&gt;="&amp;A52,'14_Materials_Log'!$B:$B,"&lt;"&amp;A52+7,'14_Materials_Log'!$C:$C,B52))</x:f>
      </x:c>
      <x:c r="H52" s="70" t="str">
        <x:f>IF(OR(A52="",B52=""),"",SUMIFS('15_Equipment_Log'!$M:$M,'15_Equipment_Log'!$B:$B,"&gt;="&amp;A52,'15_Equipment_Log'!$B:$B,"&lt;"&amp;A52+7,'15_Equipment_Log'!$C:$C,B52))</x:f>
      </x:c>
      <x:c r="I52" s="70" t="str">
        <x:f>IF(OR(A52="",B52=""),"",SUMIFS('12_Production_Log'!$M:$M,'12_Production_Log'!$B:$B,"&gt;="&amp;A52,'12_Production_Log'!$B:$B,"&lt;"&amp;A52+7,'12_Production_Log'!$C:$C,B52)+SUMIFS('14_Materials_Log'!$I:$I,'14_Materials_Log'!$B:$B,"&gt;="&amp;A52,'14_Materials_Log'!$B:$B,"&lt;"&amp;A52+7,'14_Materials_Log'!$C:$C,B52,'14_Materials_Log'!$J:$J,"Yes"))</x:f>
      </x:c>
      <x:c r="J52" s="70" t="str">
        <x:f>IF(OR(A52="",B52=""),"",SUMIFS('13_Labor_Time'!$L:$L,'13_Labor_Time'!$B:$B,"&gt;="&amp;A52,'13_Labor_Time'!$B:$B,"&lt;"&amp;A52+7,'13_Labor_Time'!$C:$C,B52))</x:f>
      </x:c>
      <x:c r="K52" s="70" t="str">
        <x:f>IF(OR(I52="",G52="",H52="",J52=""),"",I52-G52-H52-J52)</x:f>
      </x:c>
      <x:c r="L52" s="140" t="str">
        <x:f>IF(C52=0,"",COUNTIFS('11_Intake_Daily'!$C:$C,"&gt;="&amp;A52,'11_Intake_Daily'!$C:$C,"&lt;"&amp;A52+7,'11_Intake_Daily'!$D:$D,B52,'11_Intake_Daily'!$AA:$AA,"Yes")/C52)</x:f>
      </x:c>
    </x:row>
    <x:row r="53" ht="20" customHeight="1">
      <x:c r="A53" s="28"/>
      <x:c r="B53" s="15"/>
      <x:c r="C53" s="15" t="str">
        <x:f>IF(OR(A53="",B53=""),"",COUNTIFS('11_Intake_Daily'!$C:$C,"&gt;="&amp;A53,'11_Intake_Daily'!$C:$C,"&lt;"&amp;A53+7,'11_Intake_Daily'!$D:$D,B53))</x:f>
      </x:c>
      <x:c r="D53" s="15" t="str">
        <x:f>IF(OR(A53="",B53=""),"",COUNTIFS('20_Proof_Queue'!$B:$B,"&gt;="&amp;A53,'20_Proof_Queue'!$B:$B,"&lt;"&amp;A53+7,'20_Proof_Queue'!$C:$C,B53,'20_Proof_Queue'!$H:$H,"&lt;&gt;Closed"))</x:f>
      </x:c>
      <x:c r="E53" s="138" t="str">
        <x:f>IF(OR(A53="",B53=""),"",SUMIFS('12_Production_Log'!$H:$H,'12_Production_Log'!$B:$B,"&gt;="&amp;A53,'12_Production_Log'!$B:$B,"&lt;"&amp;A53+7,'12_Production_Log'!$C:$C,B53))</x:f>
      </x:c>
      <x:c r="F53" s="136" t="str">
        <x:f>IF(OR(A53="",B53=""),"",SUMIFS('13_Labor_Time'!$J:$J,'13_Labor_Time'!$B:$B,"&gt;="&amp;A53,'13_Labor_Time'!$B:$B,"&lt;"&amp;A53+7,'13_Labor_Time'!$C:$C,B53))</x:f>
      </x:c>
      <x:c r="G53" s="70" t="str">
        <x:f>IF(OR(A53="",B53=""),"",SUMIFS('14_Materials_Log'!$I:$I,'14_Materials_Log'!$B:$B,"&gt;="&amp;A53,'14_Materials_Log'!$B:$B,"&lt;"&amp;A53+7,'14_Materials_Log'!$C:$C,B53))</x:f>
      </x:c>
      <x:c r="H53" s="70" t="str">
        <x:f>IF(OR(A53="",B53=""),"",SUMIFS('15_Equipment_Log'!$M:$M,'15_Equipment_Log'!$B:$B,"&gt;="&amp;A53,'15_Equipment_Log'!$B:$B,"&lt;"&amp;A53+7,'15_Equipment_Log'!$C:$C,B53))</x:f>
      </x:c>
      <x:c r="I53" s="70" t="str">
        <x:f>IF(OR(A53="",B53=""),"",SUMIFS('12_Production_Log'!$M:$M,'12_Production_Log'!$B:$B,"&gt;="&amp;A53,'12_Production_Log'!$B:$B,"&lt;"&amp;A53+7,'12_Production_Log'!$C:$C,B53)+SUMIFS('14_Materials_Log'!$I:$I,'14_Materials_Log'!$B:$B,"&gt;="&amp;A53,'14_Materials_Log'!$B:$B,"&lt;"&amp;A53+7,'14_Materials_Log'!$C:$C,B53,'14_Materials_Log'!$J:$J,"Yes"))</x:f>
      </x:c>
      <x:c r="J53" s="70" t="str">
        <x:f>IF(OR(A53="",B53=""),"",SUMIFS('13_Labor_Time'!$L:$L,'13_Labor_Time'!$B:$B,"&gt;="&amp;A53,'13_Labor_Time'!$B:$B,"&lt;"&amp;A53+7,'13_Labor_Time'!$C:$C,B53))</x:f>
      </x:c>
      <x:c r="K53" s="70" t="str">
        <x:f>IF(OR(I53="",G53="",H53="",J53=""),"",I53-G53-H53-J53)</x:f>
      </x:c>
      <x:c r="L53" s="140" t="str">
        <x:f>IF(C53=0,"",COUNTIFS('11_Intake_Daily'!$C:$C,"&gt;="&amp;A53,'11_Intake_Daily'!$C:$C,"&lt;"&amp;A53+7,'11_Intake_Daily'!$D:$D,B53,'11_Intake_Daily'!$AA:$AA,"Yes")/C53)</x:f>
      </x:c>
    </x:row>
    <x:row r="54" ht="20" customHeight="1">
      <x:c r="A54" s="28"/>
      <x:c r="B54" s="15"/>
      <x:c r="C54" s="15" t="str">
        <x:f>IF(OR(A54="",B54=""),"",COUNTIFS('11_Intake_Daily'!$C:$C,"&gt;="&amp;A54,'11_Intake_Daily'!$C:$C,"&lt;"&amp;A54+7,'11_Intake_Daily'!$D:$D,B54))</x:f>
      </x:c>
      <x:c r="D54" s="15" t="str">
        <x:f>IF(OR(A54="",B54=""),"",COUNTIFS('20_Proof_Queue'!$B:$B,"&gt;="&amp;A54,'20_Proof_Queue'!$B:$B,"&lt;"&amp;A54+7,'20_Proof_Queue'!$C:$C,B54,'20_Proof_Queue'!$H:$H,"&lt;&gt;Closed"))</x:f>
      </x:c>
      <x:c r="E54" s="138" t="str">
        <x:f>IF(OR(A54="",B54=""),"",SUMIFS('12_Production_Log'!$H:$H,'12_Production_Log'!$B:$B,"&gt;="&amp;A54,'12_Production_Log'!$B:$B,"&lt;"&amp;A54+7,'12_Production_Log'!$C:$C,B54))</x:f>
      </x:c>
      <x:c r="F54" s="136" t="str">
        <x:f>IF(OR(A54="",B54=""),"",SUMIFS('13_Labor_Time'!$J:$J,'13_Labor_Time'!$B:$B,"&gt;="&amp;A54,'13_Labor_Time'!$B:$B,"&lt;"&amp;A54+7,'13_Labor_Time'!$C:$C,B54))</x:f>
      </x:c>
      <x:c r="G54" s="70" t="str">
        <x:f>IF(OR(A54="",B54=""),"",SUMIFS('14_Materials_Log'!$I:$I,'14_Materials_Log'!$B:$B,"&gt;="&amp;A54,'14_Materials_Log'!$B:$B,"&lt;"&amp;A54+7,'14_Materials_Log'!$C:$C,B54))</x:f>
      </x:c>
      <x:c r="H54" s="70" t="str">
        <x:f>IF(OR(A54="",B54=""),"",SUMIFS('15_Equipment_Log'!$M:$M,'15_Equipment_Log'!$B:$B,"&gt;="&amp;A54,'15_Equipment_Log'!$B:$B,"&lt;"&amp;A54+7,'15_Equipment_Log'!$C:$C,B54))</x:f>
      </x:c>
      <x:c r="I54" s="70" t="str">
        <x:f>IF(OR(A54="",B54=""),"",SUMIFS('12_Production_Log'!$M:$M,'12_Production_Log'!$B:$B,"&gt;="&amp;A54,'12_Production_Log'!$B:$B,"&lt;"&amp;A54+7,'12_Production_Log'!$C:$C,B54)+SUMIFS('14_Materials_Log'!$I:$I,'14_Materials_Log'!$B:$B,"&gt;="&amp;A54,'14_Materials_Log'!$B:$B,"&lt;"&amp;A54+7,'14_Materials_Log'!$C:$C,B54,'14_Materials_Log'!$J:$J,"Yes"))</x:f>
      </x:c>
      <x:c r="J54" s="70" t="str">
        <x:f>IF(OR(A54="",B54=""),"",SUMIFS('13_Labor_Time'!$L:$L,'13_Labor_Time'!$B:$B,"&gt;="&amp;A54,'13_Labor_Time'!$B:$B,"&lt;"&amp;A54+7,'13_Labor_Time'!$C:$C,B54))</x:f>
      </x:c>
      <x:c r="K54" s="70" t="str">
        <x:f>IF(OR(I54="",G54="",H54="",J54=""),"",I54-G54-H54-J54)</x:f>
      </x:c>
      <x:c r="L54" s="140" t="str">
        <x:f>IF(C54=0,"",COUNTIFS('11_Intake_Daily'!$C:$C,"&gt;="&amp;A54,'11_Intake_Daily'!$C:$C,"&lt;"&amp;A54+7,'11_Intake_Daily'!$D:$D,B54,'11_Intake_Daily'!$AA:$AA,"Yes")/C54)</x:f>
      </x:c>
    </x:row>
    <x:row r="55" ht="20" customHeight="1">
      <x:c r="A55" s="28"/>
      <x:c r="B55" s="15"/>
      <x:c r="C55" s="15" t="str">
        <x:f>IF(OR(A55="",B55=""),"",COUNTIFS('11_Intake_Daily'!$C:$C,"&gt;="&amp;A55,'11_Intake_Daily'!$C:$C,"&lt;"&amp;A55+7,'11_Intake_Daily'!$D:$D,B55))</x:f>
      </x:c>
      <x:c r="D55" s="15" t="str">
        <x:f>IF(OR(A55="",B55=""),"",COUNTIFS('20_Proof_Queue'!$B:$B,"&gt;="&amp;A55,'20_Proof_Queue'!$B:$B,"&lt;"&amp;A55+7,'20_Proof_Queue'!$C:$C,B55,'20_Proof_Queue'!$H:$H,"&lt;&gt;Closed"))</x:f>
      </x:c>
      <x:c r="E55" s="138" t="str">
        <x:f>IF(OR(A55="",B55=""),"",SUMIFS('12_Production_Log'!$H:$H,'12_Production_Log'!$B:$B,"&gt;="&amp;A55,'12_Production_Log'!$B:$B,"&lt;"&amp;A55+7,'12_Production_Log'!$C:$C,B55))</x:f>
      </x:c>
      <x:c r="F55" s="136" t="str">
        <x:f>IF(OR(A55="",B55=""),"",SUMIFS('13_Labor_Time'!$J:$J,'13_Labor_Time'!$B:$B,"&gt;="&amp;A55,'13_Labor_Time'!$B:$B,"&lt;"&amp;A55+7,'13_Labor_Time'!$C:$C,B55))</x:f>
      </x:c>
      <x:c r="G55" s="70" t="str">
        <x:f>IF(OR(A55="",B55=""),"",SUMIFS('14_Materials_Log'!$I:$I,'14_Materials_Log'!$B:$B,"&gt;="&amp;A55,'14_Materials_Log'!$B:$B,"&lt;"&amp;A55+7,'14_Materials_Log'!$C:$C,B55))</x:f>
      </x:c>
      <x:c r="H55" s="70" t="str">
        <x:f>IF(OR(A55="",B55=""),"",SUMIFS('15_Equipment_Log'!$M:$M,'15_Equipment_Log'!$B:$B,"&gt;="&amp;A55,'15_Equipment_Log'!$B:$B,"&lt;"&amp;A55+7,'15_Equipment_Log'!$C:$C,B55))</x:f>
      </x:c>
      <x:c r="I55" s="70" t="str">
        <x:f>IF(OR(A55="",B55=""),"",SUMIFS('12_Production_Log'!$M:$M,'12_Production_Log'!$B:$B,"&gt;="&amp;A55,'12_Production_Log'!$B:$B,"&lt;"&amp;A55+7,'12_Production_Log'!$C:$C,B55)+SUMIFS('14_Materials_Log'!$I:$I,'14_Materials_Log'!$B:$B,"&gt;="&amp;A55,'14_Materials_Log'!$B:$B,"&lt;"&amp;A55+7,'14_Materials_Log'!$C:$C,B55,'14_Materials_Log'!$J:$J,"Yes"))</x:f>
      </x:c>
      <x:c r="J55" s="70" t="str">
        <x:f>IF(OR(A55="",B55=""),"",SUMIFS('13_Labor_Time'!$L:$L,'13_Labor_Time'!$B:$B,"&gt;="&amp;A55,'13_Labor_Time'!$B:$B,"&lt;"&amp;A55+7,'13_Labor_Time'!$C:$C,B55))</x:f>
      </x:c>
      <x:c r="K55" s="70" t="str">
        <x:f>IF(OR(I55="",G55="",H55="",J55=""),"",I55-G55-H55-J55)</x:f>
      </x:c>
      <x:c r="L55" s="140" t="str">
        <x:f>IF(C55=0,"",COUNTIFS('11_Intake_Daily'!$C:$C,"&gt;="&amp;A55,'11_Intake_Daily'!$C:$C,"&lt;"&amp;A55+7,'11_Intake_Daily'!$D:$D,B55,'11_Intake_Daily'!$AA:$AA,"Yes")/C55)</x:f>
      </x:c>
    </x:row>
    <x:row r="56" ht="20" customHeight="1">
      <x:c r="A56" s="28"/>
      <x:c r="B56" s="15"/>
      <x:c r="C56" s="15" t="str">
        <x:f>IF(OR(A56="",B56=""),"",COUNTIFS('11_Intake_Daily'!$C:$C,"&gt;="&amp;A56,'11_Intake_Daily'!$C:$C,"&lt;"&amp;A56+7,'11_Intake_Daily'!$D:$D,B56))</x:f>
      </x:c>
      <x:c r="D56" s="15" t="str">
        <x:f>IF(OR(A56="",B56=""),"",COUNTIFS('20_Proof_Queue'!$B:$B,"&gt;="&amp;A56,'20_Proof_Queue'!$B:$B,"&lt;"&amp;A56+7,'20_Proof_Queue'!$C:$C,B56,'20_Proof_Queue'!$H:$H,"&lt;&gt;Closed"))</x:f>
      </x:c>
      <x:c r="E56" s="138" t="str">
        <x:f>IF(OR(A56="",B56=""),"",SUMIFS('12_Production_Log'!$H:$H,'12_Production_Log'!$B:$B,"&gt;="&amp;A56,'12_Production_Log'!$B:$B,"&lt;"&amp;A56+7,'12_Production_Log'!$C:$C,B56))</x:f>
      </x:c>
      <x:c r="F56" s="136" t="str">
        <x:f>IF(OR(A56="",B56=""),"",SUMIFS('13_Labor_Time'!$J:$J,'13_Labor_Time'!$B:$B,"&gt;="&amp;A56,'13_Labor_Time'!$B:$B,"&lt;"&amp;A56+7,'13_Labor_Time'!$C:$C,B56))</x:f>
      </x:c>
      <x:c r="G56" s="70" t="str">
        <x:f>IF(OR(A56="",B56=""),"",SUMIFS('14_Materials_Log'!$I:$I,'14_Materials_Log'!$B:$B,"&gt;="&amp;A56,'14_Materials_Log'!$B:$B,"&lt;"&amp;A56+7,'14_Materials_Log'!$C:$C,B56))</x:f>
      </x:c>
      <x:c r="H56" s="70" t="str">
        <x:f>IF(OR(A56="",B56=""),"",SUMIFS('15_Equipment_Log'!$M:$M,'15_Equipment_Log'!$B:$B,"&gt;="&amp;A56,'15_Equipment_Log'!$B:$B,"&lt;"&amp;A56+7,'15_Equipment_Log'!$C:$C,B56))</x:f>
      </x:c>
      <x:c r="I56" s="70" t="str">
        <x:f>IF(OR(A56="",B56=""),"",SUMIFS('12_Production_Log'!$M:$M,'12_Production_Log'!$B:$B,"&gt;="&amp;A56,'12_Production_Log'!$B:$B,"&lt;"&amp;A56+7,'12_Production_Log'!$C:$C,B56)+SUMIFS('14_Materials_Log'!$I:$I,'14_Materials_Log'!$B:$B,"&gt;="&amp;A56,'14_Materials_Log'!$B:$B,"&lt;"&amp;A56+7,'14_Materials_Log'!$C:$C,B56,'14_Materials_Log'!$J:$J,"Yes"))</x:f>
      </x:c>
      <x:c r="J56" s="70" t="str">
        <x:f>IF(OR(A56="",B56=""),"",SUMIFS('13_Labor_Time'!$L:$L,'13_Labor_Time'!$B:$B,"&gt;="&amp;A56,'13_Labor_Time'!$B:$B,"&lt;"&amp;A56+7,'13_Labor_Time'!$C:$C,B56))</x:f>
      </x:c>
      <x:c r="K56" s="70" t="str">
        <x:f>IF(OR(I56="",G56="",H56="",J56=""),"",I56-G56-H56-J56)</x:f>
      </x:c>
      <x:c r="L56" s="140" t="str">
        <x:f>IF(C56=0,"",COUNTIFS('11_Intake_Daily'!$C:$C,"&gt;="&amp;A56,'11_Intake_Daily'!$C:$C,"&lt;"&amp;A56+7,'11_Intake_Daily'!$D:$D,B56,'11_Intake_Daily'!$AA:$AA,"Yes")/C56)</x:f>
      </x:c>
    </x:row>
    <x:row r="57" ht="20" customHeight="1">
      <x:c r="A57" s="28"/>
      <x:c r="B57" s="15"/>
      <x:c r="C57" s="15" t="str">
        <x:f>IF(OR(A57="",B57=""),"",COUNTIFS('11_Intake_Daily'!$C:$C,"&gt;="&amp;A57,'11_Intake_Daily'!$C:$C,"&lt;"&amp;A57+7,'11_Intake_Daily'!$D:$D,B57))</x:f>
      </x:c>
      <x:c r="D57" s="15" t="str">
        <x:f>IF(OR(A57="",B57=""),"",COUNTIFS('20_Proof_Queue'!$B:$B,"&gt;="&amp;A57,'20_Proof_Queue'!$B:$B,"&lt;"&amp;A57+7,'20_Proof_Queue'!$C:$C,B57,'20_Proof_Queue'!$H:$H,"&lt;&gt;Closed"))</x:f>
      </x:c>
      <x:c r="E57" s="138" t="str">
        <x:f>IF(OR(A57="",B57=""),"",SUMIFS('12_Production_Log'!$H:$H,'12_Production_Log'!$B:$B,"&gt;="&amp;A57,'12_Production_Log'!$B:$B,"&lt;"&amp;A57+7,'12_Production_Log'!$C:$C,B57))</x:f>
      </x:c>
      <x:c r="F57" s="136" t="str">
        <x:f>IF(OR(A57="",B57=""),"",SUMIFS('13_Labor_Time'!$J:$J,'13_Labor_Time'!$B:$B,"&gt;="&amp;A57,'13_Labor_Time'!$B:$B,"&lt;"&amp;A57+7,'13_Labor_Time'!$C:$C,B57))</x:f>
      </x:c>
      <x:c r="G57" s="70" t="str">
        <x:f>IF(OR(A57="",B57=""),"",SUMIFS('14_Materials_Log'!$I:$I,'14_Materials_Log'!$B:$B,"&gt;="&amp;A57,'14_Materials_Log'!$B:$B,"&lt;"&amp;A57+7,'14_Materials_Log'!$C:$C,B57))</x:f>
      </x:c>
      <x:c r="H57" s="70" t="str">
        <x:f>IF(OR(A57="",B57=""),"",SUMIFS('15_Equipment_Log'!$M:$M,'15_Equipment_Log'!$B:$B,"&gt;="&amp;A57,'15_Equipment_Log'!$B:$B,"&lt;"&amp;A57+7,'15_Equipment_Log'!$C:$C,B57))</x:f>
      </x:c>
      <x:c r="I57" s="70" t="str">
        <x:f>IF(OR(A57="",B57=""),"",SUMIFS('12_Production_Log'!$M:$M,'12_Production_Log'!$B:$B,"&gt;="&amp;A57,'12_Production_Log'!$B:$B,"&lt;"&amp;A57+7,'12_Production_Log'!$C:$C,B57)+SUMIFS('14_Materials_Log'!$I:$I,'14_Materials_Log'!$B:$B,"&gt;="&amp;A57,'14_Materials_Log'!$B:$B,"&lt;"&amp;A57+7,'14_Materials_Log'!$C:$C,B57,'14_Materials_Log'!$J:$J,"Yes"))</x:f>
      </x:c>
      <x:c r="J57" s="70" t="str">
        <x:f>IF(OR(A57="",B57=""),"",SUMIFS('13_Labor_Time'!$L:$L,'13_Labor_Time'!$B:$B,"&gt;="&amp;A57,'13_Labor_Time'!$B:$B,"&lt;"&amp;A57+7,'13_Labor_Time'!$C:$C,B57))</x:f>
      </x:c>
      <x:c r="K57" s="70" t="str">
        <x:f>IF(OR(I57="",G57="",H57="",J57=""),"",I57-G57-H57-J57)</x:f>
      </x:c>
      <x:c r="L57" s="140" t="str">
        <x:f>IF(C57=0,"",COUNTIFS('11_Intake_Daily'!$C:$C,"&gt;="&amp;A57,'11_Intake_Daily'!$C:$C,"&lt;"&amp;A57+7,'11_Intake_Daily'!$D:$D,B57,'11_Intake_Daily'!$AA:$AA,"Yes")/C57)</x:f>
      </x:c>
    </x:row>
    <x:row r="58" ht="20" customHeight="1">
      <x:c r="A58" s="28"/>
      <x:c r="B58" s="15"/>
      <x:c r="C58" s="15" t="str">
        <x:f>IF(OR(A58="",B58=""),"",COUNTIFS('11_Intake_Daily'!$C:$C,"&gt;="&amp;A58,'11_Intake_Daily'!$C:$C,"&lt;"&amp;A58+7,'11_Intake_Daily'!$D:$D,B58))</x:f>
      </x:c>
      <x:c r="D58" s="15" t="str">
        <x:f>IF(OR(A58="",B58=""),"",COUNTIFS('20_Proof_Queue'!$B:$B,"&gt;="&amp;A58,'20_Proof_Queue'!$B:$B,"&lt;"&amp;A58+7,'20_Proof_Queue'!$C:$C,B58,'20_Proof_Queue'!$H:$H,"&lt;&gt;Closed"))</x:f>
      </x:c>
      <x:c r="E58" s="138" t="str">
        <x:f>IF(OR(A58="",B58=""),"",SUMIFS('12_Production_Log'!$H:$H,'12_Production_Log'!$B:$B,"&gt;="&amp;A58,'12_Production_Log'!$B:$B,"&lt;"&amp;A58+7,'12_Production_Log'!$C:$C,B58))</x:f>
      </x:c>
      <x:c r="F58" s="136" t="str">
        <x:f>IF(OR(A58="",B58=""),"",SUMIFS('13_Labor_Time'!$J:$J,'13_Labor_Time'!$B:$B,"&gt;="&amp;A58,'13_Labor_Time'!$B:$B,"&lt;"&amp;A58+7,'13_Labor_Time'!$C:$C,B58))</x:f>
      </x:c>
      <x:c r="G58" s="70" t="str">
        <x:f>IF(OR(A58="",B58=""),"",SUMIFS('14_Materials_Log'!$I:$I,'14_Materials_Log'!$B:$B,"&gt;="&amp;A58,'14_Materials_Log'!$B:$B,"&lt;"&amp;A58+7,'14_Materials_Log'!$C:$C,B58))</x:f>
      </x:c>
      <x:c r="H58" s="70" t="str">
        <x:f>IF(OR(A58="",B58=""),"",SUMIFS('15_Equipment_Log'!$M:$M,'15_Equipment_Log'!$B:$B,"&gt;="&amp;A58,'15_Equipment_Log'!$B:$B,"&lt;"&amp;A58+7,'15_Equipment_Log'!$C:$C,B58))</x:f>
      </x:c>
      <x:c r="I58" s="70" t="str">
        <x:f>IF(OR(A58="",B58=""),"",SUMIFS('12_Production_Log'!$M:$M,'12_Production_Log'!$B:$B,"&gt;="&amp;A58,'12_Production_Log'!$B:$B,"&lt;"&amp;A58+7,'12_Production_Log'!$C:$C,B58)+SUMIFS('14_Materials_Log'!$I:$I,'14_Materials_Log'!$B:$B,"&gt;="&amp;A58,'14_Materials_Log'!$B:$B,"&lt;"&amp;A58+7,'14_Materials_Log'!$C:$C,B58,'14_Materials_Log'!$J:$J,"Yes"))</x:f>
      </x:c>
      <x:c r="J58" s="70" t="str">
        <x:f>IF(OR(A58="",B58=""),"",SUMIFS('13_Labor_Time'!$L:$L,'13_Labor_Time'!$B:$B,"&gt;="&amp;A58,'13_Labor_Time'!$B:$B,"&lt;"&amp;A58+7,'13_Labor_Time'!$C:$C,B58))</x:f>
      </x:c>
      <x:c r="K58" s="70" t="str">
        <x:f>IF(OR(I58="",G58="",H58="",J58=""),"",I58-G58-H58-J58)</x:f>
      </x:c>
      <x:c r="L58" s="140" t="str">
        <x:f>IF(C58=0,"",COUNTIFS('11_Intake_Daily'!$C:$C,"&gt;="&amp;A58,'11_Intake_Daily'!$C:$C,"&lt;"&amp;A58+7,'11_Intake_Daily'!$D:$D,B58,'11_Intake_Daily'!$AA:$AA,"Yes")/C58)</x:f>
      </x:c>
    </x:row>
    <x:row r="59" ht="20" customHeight="1">
      <x:c r="A59" s="28"/>
      <x:c r="B59" s="15"/>
      <x:c r="C59" s="15" t="str">
        <x:f>IF(OR(A59="",B59=""),"",COUNTIFS('11_Intake_Daily'!$C:$C,"&gt;="&amp;A59,'11_Intake_Daily'!$C:$C,"&lt;"&amp;A59+7,'11_Intake_Daily'!$D:$D,B59))</x:f>
      </x:c>
      <x:c r="D59" s="15" t="str">
        <x:f>IF(OR(A59="",B59=""),"",COUNTIFS('20_Proof_Queue'!$B:$B,"&gt;="&amp;A59,'20_Proof_Queue'!$B:$B,"&lt;"&amp;A59+7,'20_Proof_Queue'!$C:$C,B59,'20_Proof_Queue'!$H:$H,"&lt;&gt;Closed"))</x:f>
      </x:c>
      <x:c r="E59" s="138" t="str">
        <x:f>IF(OR(A59="",B59=""),"",SUMIFS('12_Production_Log'!$H:$H,'12_Production_Log'!$B:$B,"&gt;="&amp;A59,'12_Production_Log'!$B:$B,"&lt;"&amp;A59+7,'12_Production_Log'!$C:$C,B59))</x:f>
      </x:c>
      <x:c r="F59" s="136" t="str">
        <x:f>IF(OR(A59="",B59=""),"",SUMIFS('13_Labor_Time'!$J:$J,'13_Labor_Time'!$B:$B,"&gt;="&amp;A59,'13_Labor_Time'!$B:$B,"&lt;"&amp;A59+7,'13_Labor_Time'!$C:$C,B59))</x:f>
      </x:c>
      <x:c r="G59" s="70" t="str">
        <x:f>IF(OR(A59="",B59=""),"",SUMIFS('14_Materials_Log'!$I:$I,'14_Materials_Log'!$B:$B,"&gt;="&amp;A59,'14_Materials_Log'!$B:$B,"&lt;"&amp;A59+7,'14_Materials_Log'!$C:$C,B59))</x:f>
      </x:c>
      <x:c r="H59" s="70" t="str">
        <x:f>IF(OR(A59="",B59=""),"",SUMIFS('15_Equipment_Log'!$M:$M,'15_Equipment_Log'!$B:$B,"&gt;="&amp;A59,'15_Equipment_Log'!$B:$B,"&lt;"&amp;A59+7,'15_Equipment_Log'!$C:$C,B59))</x:f>
      </x:c>
      <x:c r="I59" s="70" t="str">
        <x:f>IF(OR(A59="",B59=""),"",SUMIFS('12_Production_Log'!$M:$M,'12_Production_Log'!$B:$B,"&gt;="&amp;A59,'12_Production_Log'!$B:$B,"&lt;"&amp;A59+7,'12_Production_Log'!$C:$C,B59)+SUMIFS('14_Materials_Log'!$I:$I,'14_Materials_Log'!$B:$B,"&gt;="&amp;A59,'14_Materials_Log'!$B:$B,"&lt;"&amp;A59+7,'14_Materials_Log'!$C:$C,B59,'14_Materials_Log'!$J:$J,"Yes"))</x:f>
      </x:c>
      <x:c r="J59" s="70" t="str">
        <x:f>IF(OR(A59="",B59=""),"",SUMIFS('13_Labor_Time'!$L:$L,'13_Labor_Time'!$B:$B,"&gt;="&amp;A59,'13_Labor_Time'!$B:$B,"&lt;"&amp;A59+7,'13_Labor_Time'!$C:$C,B59))</x:f>
      </x:c>
      <x:c r="K59" s="70" t="str">
        <x:f>IF(OR(I59="",G59="",H59="",J59=""),"",I59-G59-H59-J59)</x:f>
      </x:c>
      <x:c r="L59" s="140" t="str">
        <x:f>IF(C59=0,"",COUNTIFS('11_Intake_Daily'!$C:$C,"&gt;="&amp;A59,'11_Intake_Daily'!$C:$C,"&lt;"&amp;A59+7,'11_Intake_Daily'!$D:$D,B59,'11_Intake_Daily'!$AA:$AA,"Yes")/C59)</x:f>
      </x:c>
    </x:row>
    <x:row r="60" ht="20" customHeight="1">
      <x:c r="A60" s="28"/>
      <x:c r="B60" s="15"/>
      <x:c r="C60" s="15" t="str">
        <x:f>IF(OR(A60="",B60=""),"",COUNTIFS('11_Intake_Daily'!$C:$C,"&gt;="&amp;A60,'11_Intake_Daily'!$C:$C,"&lt;"&amp;A60+7,'11_Intake_Daily'!$D:$D,B60))</x:f>
      </x:c>
      <x:c r="D60" s="15" t="str">
        <x:f>IF(OR(A60="",B60=""),"",COUNTIFS('20_Proof_Queue'!$B:$B,"&gt;="&amp;A60,'20_Proof_Queue'!$B:$B,"&lt;"&amp;A60+7,'20_Proof_Queue'!$C:$C,B60,'20_Proof_Queue'!$H:$H,"&lt;&gt;Closed"))</x:f>
      </x:c>
      <x:c r="E60" s="138" t="str">
        <x:f>IF(OR(A60="",B60=""),"",SUMIFS('12_Production_Log'!$H:$H,'12_Production_Log'!$B:$B,"&gt;="&amp;A60,'12_Production_Log'!$B:$B,"&lt;"&amp;A60+7,'12_Production_Log'!$C:$C,B60))</x:f>
      </x:c>
      <x:c r="F60" s="136" t="str">
        <x:f>IF(OR(A60="",B60=""),"",SUMIFS('13_Labor_Time'!$J:$J,'13_Labor_Time'!$B:$B,"&gt;="&amp;A60,'13_Labor_Time'!$B:$B,"&lt;"&amp;A60+7,'13_Labor_Time'!$C:$C,B60))</x:f>
      </x:c>
      <x:c r="G60" s="70" t="str">
        <x:f>IF(OR(A60="",B60=""),"",SUMIFS('14_Materials_Log'!$I:$I,'14_Materials_Log'!$B:$B,"&gt;="&amp;A60,'14_Materials_Log'!$B:$B,"&lt;"&amp;A60+7,'14_Materials_Log'!$C:$C,B60))</x:f>
      </x:c>
      <x:c r="H60" s="70" t="str">
        <x:f>IF(OR(A60="",B60=""),"",SUMIFS('15_Equipment_Log'!$M:$M,'15_Equipment_Log'!$B:$B,"&gt;="&amp;A60,'15_Equipment_Log'!$B:$B,"&lt;"&amp;A60+7,'15_Equipment_Log'!$C:$C,B60))</x:f>
      </x:c>
      <x:c r="I60" s="70" t="str">
        <x:f>IF(OR(A60="",B60=""),"",SUMIFS('12_Production_Log'!$M:$M,'12_Production_Log'!$B:$B,"&gt;="&amp;A60,'12_Production_Log'!$B:$B,"&lt;"&amp;A60+7,'12_Production_Log'!$C:$C,B60)+SUMIFS('14_Materials_Log'!$I:$I,'14_Materials_Log'!$B:$B,"&gt;="&amp;A60,'14_Materials_Log'!$B:$B,"&lt;"&amp;A60+7,'14_Materials_Log'!$C:$C,B60,'14_Materials_Log'!$J:$J,"Yes"))</x:f>
      </x:c>
      <x:c r="J60" s="70" t="str">
        <x:f>IF(OR(A60="",B60=""),"",SUMIFS('13_Labor_Time'!$L:$L,'13_Labor_Time'!$B:$B,"&gt;="&amp;A60,'13_Labor_Time'!$B:$B,"&lt;"&amp;A60+7,'13_Labor_Time'!$C:$C,B60))</x:f>
      </x:c>
      <x:c r="K60" s="70" t="str">
        <x:f>IF(OR(I60="",G60="",H60="",J60=""),"",I60-G60-H60-J60)</x:f>
      </x:c>
      <x:c r="L60" s="140" t="str">
        <x:f>IF(C60=0,"",COUNTIFS('11_Intake_Daily'!$C:$C,"&gt;="&amp;A60,'11_Intake_Daily'!$C:$C,"&lt;"&amp;A60+7,'11_Intake_Daily'!$D:$D,B60,'11_Intake_Daily'!$AA:$AA,"Yes")/C60)</x:f>
      </x:c>
    </x:row>
    <x:row r="61" ht="20" customHeight="1">
      <x:c r="A61" s="28"/>
      <x:c r="B61" s="15"/>
      <x:c r="C61" s="15" t="str">
        <x:f>IF(OR(A61="",B61=""),"",COUNTIFS('11_Intake_Daily'!$C:$C,"&gt;="&amp;A61,'11_Intake_Daily'!$C:$C,"&lt;"&amp;A61+7,'11_Intake_Daily'!$D:$D,B61))</x:f>
      </x:c>
      <x:c r="D61" s="15" t="str">
        <x:f>IF(OR(A61="",B61=""),"",COUNTIFS('20_Proof_Queue'!$B:$B,"&gt;="&amp;A61,'20_Proof_Queue'!$B:$B,"&lt;"&amp;A61+7,'20_Proof_Queue'!$C:$C,B61,'20_Proof_Queue'!$H:$H,"&lt;&gt;Closed"))</x:f>
      </x:c>
      <x:c r="E61" s="138" t="str">
        <x:f>IF(OR(A61="",B61=""),"",SUMIFS('12_Production_Log'!$H:$H,'12_Production_Log'!$B:$B,"&gt;="&amp;A61,'12_Production_Log'!$B:$B,"&lt;"&amp;A61+7,'12_Production_Log'!$C:$C,B61))</x:f>
      </x:c>
      <x:c r="F61" s="136" t="str">
        <x:f>IF(OR(A61="",B61=""),"",SUMIFS('13_Labor_Time'!$J:$J,'13_Labor_Time'!$B:$B,"&gt;="&amp;A61,'13_Labor_Time'!$B:$B,"&lt;"&amp;A61+7,'13_Labor_Time'!$C:$C,B61))</x:f>
      </x:c>
      <x:c r="G61" s="70" t="str">
        <x:f>IF(OR(A61="",B61=""),"",SUMIFS('14_Materials_Log'!$I:$I,'14_Materials_Log'!$B:$B,"&gt;="&amp;A61,'14_Materials_Log'!$B:$B,"&lt;"&amp;A61+7,'14_Materials_Log'!$C:$C,B61))</x:f>
      </x:c>
      <x:c r="H61" s="70" t="str">
        <x:f>IF(OR(A61="",B61=""),"",SUMIFS('15_Equipment_Log'!$M:$M,'15_Equipment_Log'!$B:$B,"&gt;="&amp;A61,'15_Equipment_Log'!$B:$B,"&lt;"&amp;A61+7,'15_Equipment_Log'!$C:$C,B61))</x:f>
      </x:c>
      <x:c r="I61" s="70" t="str">
        <x:f>IF(OR(A61="",B61=""),"",SUMIFS('12_Production_Log'!$M:$M,'12_Production_Log'!$B:$B,"&gt;="&amp;A61,'12_Production_Log'!$B:$B,"&lt;"&amp;A61+7,'12_Production_Log'!$C:$C,B61)+SUMIFS('14_Materials_Log'!$I:$I,'14_Materials_Log'!$B:$B,"&gt;="&amp;A61,'14_Materials_Log'!$B:$B,"&lt;"&amp;A61+7,'14_Materials_Log'!$C:$C,B61,'14_Materials_Log'!$J:$J,"Yes"))</x:f>
      </x:c>
      <x:c r="J61" s="70" t="str">
        <x:f>IF(OR(A61="",B61=""),"",SUMIFS('13_Labor_Time'!$L:$L,'13_Labor_Time'!$B:$B,"&gt;="&amp;A61,'13_Labor_Time'!$B:$B,"&lt;"&amp;A61+7,'13_Labor_Time'!$C:$C,B61))</x:f>
      </x:c>
      <x:c r="K61" s="70" t="str">
        <x:f>IF(OR(I61="",G61="",H61="",J61=""),"",I61-G61-H61-J61)</x:f>
      </x:c>
      <x:c r="L61" s="140" t="str">
        <x:f>IF(C61=0,"",COUNTIFS('11_Intake_Daily'!$C:$C,"&gt;="&amp;A61,'11_Intake_Daily'!$C:$C,"&lt;"&amp;A61+7,'11_Intake_Daily'!$D:$D,B61,'11_Intake_Daily'!$AA:$AA,"Yes")/C61)</x:f>
      </x:c>
    </x:row>
    <x:row r="62" ht="20" customHeight="1">
      <x:c r="A62" s="28"/>
      <x:c r="B62" s="15"/>
      <x:c r="C62" s="15" t="str">
        <x:f>IF(OR(A62="",B62=""),"",COUNTIFS('11_Intake_Daily'!$C:$C,"&gt;="&amp;A62,'11_Intake_Daily'!$C:$C,"&lt;"&amp;A62+7,'11_Intake_Daily'!$D:$D,B62))</x:f>
      </x:c>
      <x:c r="D62" s="15" t="str">
        <x:f>IF(OR(A62="",B62=""),"",COUNTIFS('20_Proof_Queue'!$B:$B,"&gt;="&amp;A62,'20_Proof_Queue'!$B:$B,"&lt;"&amp;A62+7,'20_Proof_Queue'!$C:$C,B62,'20_Proof_Queue'!$H:$H,"&lt;&gt;Closed"))</x:f>
      </x:c>
      <x:c r="E62" s="138" t="str">
        <x:f>IF(OR(A62="",B62=""),"",SUMIFS('12_Production_Log'!$H:$H,'12_Production_Log'!$B:$B,"&gt;="&amp;A62,'12_Production_Log'!$B:$B,"&lt;"&amp;A62+7,'12_Production_Log'!$C:$C,B62))</x:f>
      </x:c>
      <x:c r="F62" s="136" t="str">
        <x:f>IF(OR(A62="",B62=""),"",SUMIFS('13_Labor_Time'!$J:$J,'13_Labor_Time'!$B:$B,"&gt;="&amp;A62,'13_Labor_Time'!$B:$B,"&lt;"&amp;A62+7,'13_Labor_Time'!$C:$C,B62))</x:f>
      </x:c>
      <x:c r="G62" s="70" t="str">
        <x:f>IF(OR(A62="",B62=""),"",SUMIFS('14_Materials_Log'!$I:$I,'14_Materials_Log'!$B:$B,"&gt;="&amp;A62,'14_Materials_Log'!$B:$B,"&lt;"&amp;A62+7,'14_Materials_Log'!$C:$C,B62))</x:f>
      </x:c>
      <x:c r="H62" s="70" t="str">
        <x:f>IF(OR(A62="",B62=""),"",SUMIFS('15_Equipment_Log'!$M:$M,'15_Equipment_Log'!$B:$B,"&gt;="&amp;A62,'15_Equipment_Log'!$B:$B,"&lt;"&amp;A62+7,'15_Equipment_Log'!$C:$C,B62))</x:f>
      </x:c>
      <x:c r="I62" s="70" t="str">
        <x:f>IF(OR(A62="",B62=""),"",SUMIFS('12_Production_Log'!$M:$M,'12_Production_Log'!$B:$B,"&gt;="&amp;A62,'12_Production_Log'!$B:$B,"&lt;"&amp;A62+7,'12_Production_Log'!$C:$C,B62)+SUMIFS('14_Materials_Log'!$I:$I,'14_Materials_Log'!$B:$B,"&gt;="&amp;A62,'14_Materials_Log'!$B:$B,"&lt;"&amp;A62+7,'14_Materials_Log'!$C:$C,B62,'14_Materials_Log'!$J:$J,"Yes"))</x:f>
      </x:c>
      <x:c r="J62" s="70" t="str">
        <x:f>IF(OR(A62="",B62=""),"",SUMIFS('13_Labor_Time'!$L:$L,'13_Labor_Time'!$B:$B,"&gt;="&amp;A62,'13_Labor_Time'!$B:$B,"&lt;"&amp;A62+7,'13_Labor_Time'!$C:$C,B62))</x:f>
      </x:c>
      <x:c r="K62" s="70" t="str">
        <x:f>IF(OR(I62="",G62="",H62="",J62=""),"",I62-G62-H62-J62)</x:f>
      </x:c>
      <x:c r="L62" s="140" t="str">
        <x:f>IF(C62=0,"",COUNTIFS('11_Intake_Daily'!$C:$C,"&gt;="&amp;A62,'11_Intake_Daily'!$C:$C,"&lt;"&amp;A62+7,'11_Intake_Daily'!$D:$D,B62,'11_Intake_Daily'!$AA:$AA,"Yes")/C62)</x:f>
      </x:c>
    </x:row>
    <x:row r="63" ht="20" customHeight="1">
      <x:c r="A63" s="28"/>
      <x:c r="B63" s="15"/>
      <x:c r="C63" s="15" t="str">
        <x:f>IF(OR(A63="",B63=""),"",COUNTIFS('11_Intake_Daily'!$C:$C,"&gt;="&amp;A63,'11_Intake_Daily'!$C:$C,"&lt;"&amp;A63+7,'11_Intake_Daily'!$D:$D,B63))</x:f>
      </x:c>
      <x:c r="D63" s="15" t="str">
        <x:f>IF(OR(A63="",B63=""),"",COUNTIFS('20_Proof_Queue'!$B:$B,"&gt;="&amp;A63,'20_Proof_Queue'!$B:$B,"&lt;"&amp;A63+7,'20_Proof_Queue'!$C:$C,B63,'20_Proof_Queue'!$H:$H,"&lt;&gt;Closed"))</x:f>
      </x:c>
      <x:c r="E63" s="138" t="str">
        <x:f>IF(OR(A63="",B63=""),"",SUMIFS('12_Production_Log'!$H:$H,'12_Production_Log'!$B:$B,"&gt;="&amp;A63,'12_Production_Log'!$B:$B,"&lt;"&amp;A63+7,'12_Production_Log'!$C:$C,B63))</x:f>
      </x:c>
      <x:c r="F63" s="136" t="str">
        <x:f>IF(OR(A63="",B63=""),"",SUMIFS('13_Labor_Time'!$J:$J,'13_Labor_Time'!$B:$B,"&gt;="&amp;A63,'13_Labor_Time'!$B:$B,"&lt;"&amp;A63+7,'13_Labor_Time'!$C:$C,B63))</x:f>
      </x:c>
      <x:c r="G63" s="70" t="str">
        <x:f>IF(OR(A63="",B63=""),"",SUMIFS('14_Materials_Log'!$I:$I,'14_Materials_Log'!$B:$B,"&gt;="&amp;A63,'14_Materials_Log'!$B:$B,"&lt;"&amp;A63+7,'14_Materials_Log'!$C:$C,B63))</x:f>
      </x:c>
      <x:c r="H63" s="70" t="str">
        <x:f>IF(OR(A63="",B63=""),"",SUMIFS('15_Equipment_Log'!$M:$M,'15_Equipment_Log'!$B:$B,"&gt;="&amp;A63,'15_Equipment_Log'!$B:$B,"&lt;"&amp;A63+7,'15_Equipment_Log'!$C:$C,B63))</x:f>
      </x:c>
      <x:c r="I63" s="70" t="str">
        <x:f>IF(OR(A63="",B63=""),"",SUMIFS('12_Production_Log'!$M:$M,'12_Production_Log'!$B:$B,"&gt;="&amp;A63,'12_Production_Log'!$B:$B,"&lt;"&amp;A63+7,'12_Production_Log'!$C:$C,B63)+SUMIFS('14_Materials_Log'!$I:$I,'14_Materials_Log'!$B:$B,"&gt;="&amp;A63,'14_Materials_Log'!$B:$B,"&lt;"&amp;A63+7,'14_Materials_Log'!$C:$C,B63,'14_Materials_Log'!$J:$J,"Yes"))</x:f>
      </x:c>
      <x:c r="J63" s="70" t="str">
        <x:f>IF(OR(A63="",B63=""),"",SUMIFS('13_Labor_Time'!$L:$L,'13_Labor_Time'!$B:$B,"&gt;="&amp;A63,'13_Labor_Time'!$B:$B,"&lt;"&amp;A63+7,'13_Labor_Time'!$C:$C,B63))</x:f>
      </x:c>
      <x:c r="K63" s="70" t="str">
        <x:f>IF(OR(I63="",G63="",H63="",J63=""),"",I63-G63-H63-J63)</x:f>
      </x:c>
      <x:c r="L63" s="140" t="str">
        <x:f>IF(C63=0,"",COUNTIFS('11_Intake_Daily'!$C:$C,"&gt;="&amp;A63,'11_Intake_Daily'!$C:$C,"&lt;"&amp;A63+7,'11_Intake_Daily'!$D:$D,B63,'11_Intake_Daily'!$AA:$AA,"Yes")/C63)</x:f>
      </x:c>
    </x:row>
    <x:row r="64" ht="20" customHeight="1">
      <x:c r="A64" s="28"/>
      <x:c r="B64" s="15"/>
      <x:c r="C64" s="15" t="str">
        <x:f>IF(OR(A64="",B64=""),"",COUNTIFS('11_Intake_Daily'!$C:$C,"&gt;="&amp;A64,'11_Intake_Daily'!$C:$C,"&lt;"&amp;A64+7,'11_Intake_Daily'!$D:$D,B64))</x:f>
      </x:c>
      <x:c r="D64" s="15" t="str">
        <x:f>IF(OR(A64="",B64=""),"",COUNTIFS('20_Proof_Queue'!$B:$B,"&gt;="&amp;A64,'20_Proof_Queue'!$B:$B,"&lt;"&amp;A64+7,'20_Proof_Queue'!$C:$C,B64,'20_Proof_Queue'!$H:$H,"&lt;&gt;Closed"))</x:f>
      </x:c>
      <x:c r="E64" s="138" t="str">
        <x:f>IF(OR(A64="",B64=""),"",SUMIFS('12_Production_Log'!$H:$H,'12_Production_Log'!$B:$B,"&gt;="&amp;A64,'12_Production_Log'!$B:$B,"&lt;"&amp;A64+7,'12_Production_Log'!$C:$C,B64))</x:f>
      </x:c>
      <x:c r="F64" s="136" t="str">
        <x:f>IF(OR(A64="",B64=""),"",SUMIFS('13_Labor_Time'!$J:$J,'13_Labor_Time'!$B:$B,"&gt;="&amp;A64,'13_Labor_Time'!$B:$B,"&lt;"&amp;A64+7,'13_Labor_Time'!$C:$C,B64))</x:f>
      </x:c>
      <x:c r="G64" s="70" t="str">
        <x:f>IF(OR(A64="",B64=""),"",SUMIFS('14_Materials_Log'!$I:$I,'14_Materials_Log'!$B:$B,"&gt;="&amp;A64,'14_Materials_Log'!$B:$B,"&lt;"&amp;A64+7,'14_Materials_Log'!$C:$C,B64))</x:f>
      </x:c>
      <x:c r="H64" s="70" t="str">
        <x:f>IF(OR(A64="",B64=""),"",SUMIFS('15_Equipment_Log'!$M:$M,'15_Equipment_Log'!$B:$B,"&gt;="&amp;A64,'15_Equipment_Log'!$B:$B,"&lt;"&amp;A64+7,'15_Equipment_Log'!$C:$C,B64))</x:f>
      </x:c>
      <x:c r="I64" s="70" t="str">
        <x:f>IF(OR(A64="",B64=""),"",SUMIFS('12_Production_Log'!$M:$M,'12_Production_Log'!$B:$B,"&gt;="&amp;A64,'12_Production_Log'!$B:$B,"&lt;"&amp;A64+7,'12_Production_Log'!$C:$C,B64)+SUMIFS('14_Materials_Log'!$I:$I,'14_Materials_Log'!$B:$B,"&gt;="&amp;A64,'14_Materials_Log'!$B:$B,"&lt;"&amp;A64+7,'14_Materials_Log'!$C:$C,B64,'14_Materials_Log'!$J:$J,"Yes"))</x:f>
      </x:c>
      <x:c r="J64" s="70" t="str">
        <x:f>IF(OR(A64="",B64=""),"",SUMIFS('13_Labor_Time'!$L:$L,'13_Labor_Time'!$B:$B,"&gt;="&amp;A64,'13_Labor_Time'!$B:$B,"&lt;"&amp;A64+7,'13_Labor_Time'!$C:$C,B64))</x:f>
      </x:c>
      <x:c r="K64" s="70" t="str">
        <x:f>IF(OR(I64="",G64="",H64="",J64=""),"",I64-G64-H64-J64)</x:f>
      </x:c>
      <x:c r="L64" s="140" t="str">
        <x:f>IF(C64=0,"",COUNTIFS('11_Intake_Daily'!$C:$C,"&gt;="&amp;A64,'11_Intake_Daily'!$C:$C,"&lt;"&amp;A64+7,'11_Intake_Daily'!$D:$D,B64,'11_Intake_Daily'!$AA:$AA,"Yes")/C64)</x:f>
      </x:c>
    </x:row>
    <x:row r="65" ht="20" customHeight="1">
      <x:c r="A65" s="28"/>
      <x:c r="B65" s="15"/>
      <x:c r="C65" s="15" t="str">
        <x:f>IF(OR(A65="",B65=""),"",COUNTIFS('11_Intake_Daily'!$C:$C,"&gt;="&amp;A65,'11_Intake_Daily'!$C:$C,"&lt;"&amp;A65+7,'11_Intake_Daily'!$D:$D,B65))</x:f>
      </x:c>
      <x:c r="D65" s="15" t="str">
        <x:f>IF(OR(A65="",B65=""),"",COUNTIFS('20_Proof_Queue'!$B:$B,"&gt;="&amp;A65,'20_Proof_Queue'!$B:$B,"&lt;"&amp;A65+7,'20_Proof_Queue'!$C:$C,B65,'20_Proof_Queue'!$H:$H,"&lt;&gt;Closed"))</x:f>
      </x:c>
      <x:c r="E65" s="138" t="str">
        <x:f>IF(OR(A65="",B65=""),"",SUMIFS('12_Production_Log'!$H:$H,'12_Production_Log'!$B:$B,"&gt;="&amp;A65,'12_Production_Log'!$B:$B,"&lt;"&amp;A65+7,'12_Production_Log'!$C:$C,B65))</x:f>
      </x:c>
      <x:c r="F65" s="136" t="str">
        <x:f>IF(OR(A65="",B65=""),"",SUMIFS('13_Labor_Time'!$J:$J,'13_Labor_Time'!$B:$B,"&gt;="&amp;A65,'13_Labor_Time'!$B:$B,"&lt;"&amp;A65+7,'13_Labor_Time'!$C:$C,B65))</x:f>
      </x:c>
      <x:c r="G65" s="70" t="str">
        <x:f>IF(OR(A65="",B65=""),"",SUMIFS('14_Materials_Log'!$I:$I,'14_Materials_Log'!$B:$B,"&gt;="&amp;A65,'14_Materials_Log'!$B:$B,"&lt;"&amp;A65+7,'14_Materials_Log'!$C:$C,B65))</x:f>
      </x:c>
      <x:c r="H65" s="70" t="str">
        <x:f>IF(OR(A65="",B65=""),"",SUMIFS('15_Equipment_Log'!$M:$M,'15_Equipment_Log'!$B:$B,"&gt;="&amp;A65,'15_Equipment_Log'!$B:$B,"&lt;"&amp;A65+7,'15_Equipment_Log'!$C:$C,B65))</x:f>
      </x:c>
      <x:c r="I65" s="70" t="str">
        <x:f>IF(OR(A65="",B65=""),"",SUMIFS('12_Production_Log'!$M:$M,'12_Production_Log'!$B:$B,"&gt;="&amp;A65,'12_Production_Log'!$B:$B,"&lt;"&amp;A65+7,'12_Production_Log'!$C:$C,B65)+SUMIFS('14_Materials_Log'!$I:$I,'14_Materials_Log'!$B:$B,"&gt;="&amp;A65,'14_Materials_Log'!$B:$B,"&lt;"&amp;A65+7,'14_Materials_Log'!$C:$C,B65,'14_Materials_Log'!$J:$J,"Yes"))</x:f>
      </x:c>
      <x:c r="J65" s="70" t="str">
        <x:f>IF(OR(A65="",B65=""),"",SUMIFS('13_Labor_Time'!$L:$L,'13_Labor_Time'!$B:$B,"&gt;="&amp;A65,'13_Labor_Time'!$B:$B,"&lt;"&amp;A65+7,'13_Labor_Time'!$C:$C,B65))</x:f>
      </x:c>
      <x:c r="K65" s="70" t="str">
        <x:f>IF(OR(I65="",G65="",H65="",J65=""),"",I65-G65-H65-J65)</x:f>
      </x:c>
      <x:c r="L65" s="140" t="str">
        <x:f>IF(C65=0,"",COUNTIFS('11_Intake_Daily'!$C:$C,"&gt;="&amp;A65,'11_Intake_Daily'!$C:$C,"&lt;"&amp;A65+7,'11_Intake_Daily'!$D:$D,B65,'11_Intake_Daily'!$AA:$AA,"Yes")/C65)</x:f>
      </x:c>
    </x:row>
    <x:row r="66" ht="20" customHeight="1">
      <x:c r="A66" s="28"/>
      <x:c r="B66" s="15"/>
      <x:c r="C66" s="15" t="str">
        <x:f>IF(OR(A66="",B66=""),"",COUNTIFS('11_Intake_Daily'!$C:$C,"&gt;="&amp;A66,'11_Intake_Daily'!$C:$C,"&lt;"&amp;A66+7,'11_Intake_Daily'!$D:$D,B66))</x:f>
      </x:c>
      <x:c r="D66" s="15" t="str">
        <x:f>IF(OR(A66="",B66=""),"",COUNTIFS('20_Proof_Queue'!$B:$B,"&gt;="&amp;A66,'20_Proof_Queue'!$B:$B,"&lt;"&amp;A66+7,'20_Proof_Queue'!$C:$C,B66,'20_Proof_Queue'!$H:$H,"&lt;&gt;Closed"))</x:f>
      </x:c>
      <x:c r="E66" s="138" t="str">
        <x:f>IF(OR(A66="",B66=""),"",SUMIFS('12_Production_Log'!$H:$H,'12_Production_Log'!$B:$B,"&gt;="&amp;A66,'12_Production_Log'!$B:$B,"&lt;"&amp;A66+7,'12_Production_Log'!$C:$C,B66))</x:f>
      </x:c>
      <x:c r="F66" s="136" t="str">
        <x:f>IF(OR(A66="",B66=""),"",SUMIFS('13_Labor_Time'!$J:$J,'13_Labor_Time'!$B:$B,"&gt;="&amp;A66,'13_Labor_Time'!$B:$B,"&lt;"&amp;A66+7,'13_Labor_Time'!$C:$C,B66))</x:f>
      </x:c>
      <x:c r="G66" s="70" t="str">
        <x:f>IF(OR(A66="",B66=""),"",SUMIFS('14_Materials_Log'!$I:$I,'14_Materials_Log'!$B:$B,"&gt;="&amp;A66,'14_Materials_Log'!$B:$B,"&lt;"&amp;A66+7,'14_Materials_Log'!$C:$C,B66))</x:f>
      </x:c>
      <x:c r="H66" s="70" t="str">
        <x:f>IF(OR(A66="",B66=""),"",SUMIFS('15_Equipment_Log'!$M:$M,'15_Equipment_Log'!$B:$B,"&gt;="&amp;A66,'15_Equipment_Log'!$B:$B,"&lt;"&amp;A66+7,'15_Equipment_Log'!$C:$C,B66))</x:f>
      </x:c>
      <x:c r="I66" s="70" t="str">
        <x:f>IF(OR(A66="",B66=""),"",SUMIFS('12_Production_Log'!$M:$M,'12_Production_Log'!$B:$B,"&gt;="&amp;A66,'12_Production_Log'!$B:$B,"&lt;"&amp;A66+7,'12_Production_Log'!$C:$C,B66)+SUMIFS('14_Materials_Log'!$I:$I,'14_Materials_Log'!$B:$B,"&gt;="&amp;A66,'14_Materials_Log'!$B:$B,"&lt;"&amp;A66+7,'14_Materials_Log'!$C:$C,B66,'14_Materials_Log'!$J:$J,"Yes"))</x:f>
      </x:c>
      <x:c r="J66" s="70" t="str">
        <x:f>IF(OR(A66="",B66=""),"",SUMIFS('13_Labor_Time'!$L:$L,'13_Labor_Time'!$B:$B,"&gt;="&amp;A66,'13_Labor_Time'!$B:$B,"&lt;"&amp;A66+7,'13_Labor_Time'!$C:$C,B66))</x:f>
      </x:c>
      <x:c r="K66" s="70" t="str">
        <x:f>IF(OR(I66="",G66="",H66="",J66=""),"",I66-G66-H66-J66)</x:f>
      </x:c>
      <x:c r="L66" s="140" t="str">
        <x:f>IF(C66=0,"",COUNTIFS('11_Intake_Daily'!$C:$C,"&gt;="&amp;A66,'11_Intake_Daily'!$C:$C,"&lt;"&amp;A66+7,'11_Intake_Daily'!$D:$D,B66,'11_Intake_Daily'!$AA:$AA,"Yes")/C66)</x:f>
      </x:c>
    </x:row>
    <x:row r="67" ht="20" customHeight="1">
      <x:c r="A67" s="28"/>
      <x:c r="B67" s="15"/>
      <x:c r="C67" s="15" t="str">
        <x:f>IF(OR(A67="",B67=""),"",COUNTIFS('11_Intake_Daily'!$C:$C,"&gt;="&amp;A67,'11_Intake_Daily'!$C:$C,"&lt;"&amp;A67+7,'11_Intake_Daily'!$D:$D,B67))</x:f>
      </x:c>
      <x:c r="D67" s="15" t="str">
        <x:f>IF(OR(A67="",B67=""),"",COUNTIFS('20_Proof_Queue'!$B:$B,"&gt;="&amp;A67,'20_Proof_Queue'!$B:$B,"&lt;"&amp;A67+7,'20_Proof_Queue'!$C:$C,B67,'20_Proof_Queue'!$H:$H,"&lt;&gt;Closed"))</x:f>
      </x:c>
      <x:c r="E67" s="138" t="str">
        <x:f>IF(OR(A67="",B67=""),"",SUMIFS('12_Production_Log'!$H:$H,'12_Production_Log'!$B:$B,"&gt;="&amp;A67,'12_Production_Log'!$B:$B,"&lt;"&amp;A67+7,'12_Production_Log'!$C:$C,B67))</x:f>
      </x:c>
      <x:c r="F67" s="136" t="str">
        <x:f>IF(OR(A67="",B67=""),"",SUMIFS('13_Labor_Time'!$J:$J,'13_Labor_Time'!$B:$B,"&gt;="&amp;A67,'13_Labor_Time'!$B:$B,"&lt;"&amp;A67+7,'13_Labor_Time'!$C:$C,B67))</x:f>
      </x:c>
      <x:c r="G67" s="70" t="str">
        <x:f>IF(OR(A67="",B67=""),"",SUMIFS('14_Materials_Log'!$I:$I,'14_Materials_Log'!$B:$B,"&gt;="&amp;A67,'14_Materials_Log'!$B:$B,"&lt;"&amp;A67+7,'14_Materials_Log'!$C:$C,B67))</x:f>
      </x:c>
      <x:c r="H67" s="70" t="str">
        <x:f>IF(OR(A67="",B67=""),"",SUMIFS('15_Equipment_Log'!$M:$M,'15_Equipment_Log'!$B:$B,"&gt;="&amp;A67,'15_Equipment_Log'!$B:$B,"&lt;"&amp;A67+7,'15_Equipment_Log'!$C:$C,B67))</x:f>
      </x:c>
      <x:c r="I67" s="70" t="str">
        <x:f>IF(OR(A67="",B67=""),"",SUMIFS('12_Production_Log'!$M:$M,'12_Production_Log'!$B:$B,"&gt;="&amp;A67,'12_Production_Log'!$B:$B,"&lt;"&amp;A67+7,'12_Production_Log'!$C:$C,B67)+SUMIFS('14_Materials_Log'!$I:$I,'14_Materials_Log'!$B:$B,"&gt;="&amp;A67,'14_Materials_Log'!$B:$B,"&lt;"&amp;A67+7,'14_Materials_Log'!$C:$C,B67,'14_Materials_Log'!$J:$J,"Yes"))</x:f>
      </x:c>
      <x:c r="J67" s="70" t="str">
        <x:f>IF(OR(A67="",B67=""),"",SUMIFS('13_Labor_Time'!$L:$L,'13_Labor_Time'!$B:$B,"&gt;="&amp;A67,'13_Labor_Time'!$B:$B,"&lt;"&amp;A67+7,'13_Labor_Time'!$C:$C,B67))</x:f>
      </x:c>
      <x:c r="K67" s="70" t="str">
        <x:f>IF(OR(I67="",G67="",H67="",J67=""),"",I67-G67-H67-J67)</x:f>
      </x:c>
      <x:c r="L67" s="140" t="str">
        <x:f>IF(C67=0,"",COUNTIFS('11_Intake_Daily'!$C:$C,"&gt;="&amp;A67,'11_Intake_Daily'!$C:$C,"&lt;"&amp;A67+7,'11_Intake_Daily'!$D:$D,B67,'11_Intake_Daily'!$AA:$AA,"Yes")/C67)</x:f>
      </x:c>
    </x:row>
    <x:row r="68" ht="20" customHeight="1">
      <x:c r="A68" s="28"/>
      <x:c r="B68" s="15"/>
      <x:c r="C68" s="15" t="str">
        <x:f>IF(OR(A68="",B68=""),"",COUNTIFS('11_Intake_Daily'!$C:$C,"&gt;="&amp;A68,'11_Intake_Daily'!$C:$C,"&lt;"&amp;A68+7,'11_Intake_Daily'!$D:$D,B68))</x:f>
      </x:c>
      <x:c r="D68" s="15" t="str">
        <x:f>IF(OR(A68="",B68=""),"",COUNTIFS('20_Proof_Queue'!$B:$B,"&gt;="&amp;A68,'20_Proof_Queue'!$B:$B,"&lt;"&amp;A68+7,'20_Proof_Queue'!$C:$C,B68,'20_Proof_Queue'!$H:$H,"&lt;&gt;Closed"))</x:f>
      </x:c>
      <x:c r="E68" s="138" t="str">
        <x:f>IF(OR(A68="",B68=""),"",SUMIFS('12_Production_Log'!$H:$H,'12_Production_Log'!$B:$B,"&gt;="&amp;A68,'12_Production_Log'!$B:$B,"&lt;"&amp;A68+7,'12_Production_Log'!$C:$C,B68))</x:f>
      </x:c>
      <x:c r="F68" s="136" t="str">
        <x:f>IF(OR(A68="",B68=""),"",SUMIFS('13_Labor_Time'!$J:$J,'13_Labor_Time'!$B:$B,"&gt;="&amp;A68,'13_Labor_Time'!$B:$B,"&lt;"&amp;A68+7,'13_Labor_Time'!$C:$C,B68))</x:f>
      </x:c>
      <x:c r="G68" s="70" t="str">
        <x:f>IF(OR(A68="",B68=""),"",SUMIFS('14_Materials_Log'!$I:$I,'14_Materials_Log'!$B:$B,"&gt;="&amp;A68,'14_Materials_Log'!$B:$B,"&lt;"&amp;A68+7,'14_Materials_Log'!$C:$C,B68))</x:f>
      </x:c>
      <x:c r="H68" s="70" t="str">
        <x:f>IF(OR(A68="",B68=""),"",SUMIFS('15_Equipment_Log'!$M:$M,'15_Equipment_Log'!$B:$B,"&gt;="&amp;A68,'15_Equipment_Log'!$B:$B,"&lt;"&amp;A68+7,'15_Equipment_Log'!$C:$C,B68))</x:f>
      </x:c>
      <x:c r="I68" s="70" t="str">
        <x:f>IF(OR(A68="",B68=""),"",SUMIFS('12_Production_Log'!$M:$M,'12_Production_Log'!$B:$B,"&gt;="&amp;A68,'12_Production_Log'!$B:$B,"&lt;"&amp;A68+7,'12_Production_Log'!$C:$C,B68)+SUMIFS('14_Materials_Log'!$I:$I,'14_Materials_Log'!$B:$B,"&gt;="&amp;A68,'14_Materials_Log'!$B:$B,"&lt;"&amp;A68+7,'14_Materials_Log'!$C:$C,B68,'14_Materials_Log'!$J:$J,"Yes"))</x:f>
      </x:c>
      <x:c r="J68" s="70" t="str">
        <x:f>IF(OR(A68="",B68=""),"",SUMIFS('13_Labor_Time'!$L:$L,'13_Labor_Time'!$B:$B,"&gt;="&amp;A68,'13_Labor_Time'!$B:$B,"&lt;"&amp;A68+7,'13_Labor_Time'!$C:$C,B68))</x:f>
      </x:c>
      <x:c r="K68" s="70" t="str">
        <x:f>IF(OR(I68="",G68="",H68="",J68=""),"",I68-G68-H68-J68)</x:f>
      </x:c>
      <x:c r="L68" s="140" t="str">
        <x:f>IF(C68=0,"",COUNTIFS('11_Intake_Daily'!$C:$C,"&gt;="&amp;A68,'11_Intake_Daily'!$C:$C,"&lt;"&amp;A68+7,'11_Intake_Daily'!$D:$D,B68,'11_Intake_Daily'!$AA:$AA,"Yes")/C68)</x:f>
      </x:c>
    </x:row>
    <x:row r="69" ht="20" customHeight="1">
      <x:c r="A69" s="28"/>
      <x:c r="B69" s="15"/>
      <x:c r="C69" s="15" t="str">
        <x:f>IF(OR(A69="",B69=""),"",COUNTIFS('11_Intake_Daily'!$C:$C,"&gt;="&amp;A69,'11_Intake_Daily'!$C:$C,"&lt;"&amp;A69+7,'11_Intake_Daily'!$D:$D,B69))</x:f>
      </x:c>
      <x:c r="D69" s="15" t="str">
        <x:f>IF(OR(A69="",B69=""),"",COUNTIFS('20_Proof_Queue'!$B:$B,"&gt;="&amp;A69,'20_Proof_Queue'!$B:$B,"&lt;"&amp;A69+7,'20_Proof_Queue'!$C:$C,B69,'20_Proof_Queue'!$H:$H,"&lt;&gt;Closed"))</x:f>
      </x:c>
      <x:c r="E69" s="138" t="str">
        <x:f>IF(OR(A69="",B69=""),"",SUMIFS('12_Production_Log'!$H:$H,'12_Production_Log'!$B:$B,"&gt;="&amp;A69,'12_Production_Log'!$B:$B,"&lt;"&amp;A69+7,'12_Production_Log'!$C:$C,B69))</x:f>
      </x:c>
      <x:c r="F69" s="136" t="str">
        <x:f>IF(OR(A69="",B69=""),"",SUMIFS('13_Labor_Time'!$J:$J,'13_Labor_Time'!$B:$B,"&gt;="&amp;A69,'13_Labor_Time'!$B:$B,"&lt;"&amp;A69+7,'13_Labor_Time'!$C:$C,B69))</x:f>
      </x:c>
      <x:c r="G69" s="70" t="str">
        <x:f>IF(OR(A69="",B69=""),"",SUMIFS('14_Materials_Log'!$I:$I,'14_Materials_Log'!$B:$B,"&gt;="&amp;A69,'14_Materials_Log'!$B:$B,"&lt;"&amp;A69+7,'14_Materials_Log'!$C:$C,B69))</x:f>
      </x:c>
      <x:c r="H69" s="70" t="str">
        <x:f>IF(OR(A69="",B69=""),"",SUMIFS('15_Equipment_Log'!$M:$M,'15_Equipment_Log'!$B:$B,"&gt;="&amp;A69,'15_Equipment_Log'!$B:$B,"&lt;"&amp;A69+7,'15_Equipment_Log'!$C:$C,B69))</x:f>
      </x:c>
      <x:c r="I69" s="70" t="str">
        <x:f>IF(OR(A69="",B69=""),"",SUMIFS('12_Production_Log'!$M:$M,'12_Production_Log'!$B:$B,"&gt;="&amp;A69,'12_Production_Log'!$B:$B,"&lt;"&amp;A69+7,'12_Production_Log'!$C:$C,B69)+SUMIFS('14_Materials_Log'!$I:$I,'14_Materials_Log'!$B:$B,"&gt;="&amp;A69,'14_Materials_Log'!$B:$B,"&lt;"&amp;A69+7,'14_Materials_Log'!$C:$C,B69,'14_Materials_Log'!$J:$J,"Yes"))</x:f>
      </x:c>
      <x:c r="J69" s="70" t="str">
        <x:f>IF(OR(A69="",B69=""),"",SUMIFS('13_Labor_Time'!$L:$L,'13_Labor_Time'!$B:$B,"&gt;="&amp;A69,'13_Labor_Time'!$B:$B,"&lt;"&amp;A69+7,'13_Labor_Time'!$C:$C,B69))</x:f>
      </x:c>
      <x:c r="K69" s="70" t="str">
        <x:f>IF(OR(I69="",G69="",H69="",J69=""),"",I69-G69-H69-J69)</x:f>
      </x:c>
      <x:c r="L69" s="140" t="str">
        <x:f>IF(C69=0,"",COUNTIFS('11_Intake_Daily'!$C:$C,"&gt;="&amp;A69,'11_Intake_Daily'!$C:$C,"&lt;"&amp;A69+7,'11_Intake_Daily'!$D:$D,B69,'11_Intake_Daily'!$AA:$AA,"Yes")/C69)</x:f>
      </x:c>
    </x:row>
    <x:row r="70" ht="20" customHeight="1">
      <x:c r="A70" s="28"/>
      <x:c r="B70" s="15"/>
      <x:c r="C70" s="15" t="str">
        <x:f>IF(OR(A70="",B70=""),"",COUNTIFS('11_Intake_Daily'!$C:$C,"&gt;="&amp;A70,'11_Intake_Daily'!$C:$C,"&lt;"&amp;A70+7,'11_Intake_Daily'!$D:$D,B70))</x:f>
      </x:c>
      <x:c r="D70" s="15" t="str">
        <x:f>IF(OR(A70="",B70=""),"",COUNTIFS('20_Proof_Queue'!$B:$B,"&gt;="&amp;A70,'20_Proof_Queue'!$B:$B,"&lt;"&amp;A70+7,'20_Proof_Queue'!$C:$C,B70,'20_Proof_Queue'!$H:$H,"&lt;&gt;Closed"))</x:f>
      </x:c>
      <x:c r="E70" s="138" t="str">
        <x:f>IF(OR(A70="",B70=""),"",SUMIFS('12_Production_Log'!$H:$H,'12_Production_Log'!$B:$B,"&gt;="&amp;A70,'12_Production_Log'!$B:$B,"&lt;"&amp;A70+7,'12_Production_Log'!$C:$C,B70))</x:f>
      </x:c>
      <x:c r="F70" s="136" t="str">
        <x:f>IF(OR(A70="",B70=""),"",SUMIFS('13_Labor_Time'!$J:$J,'13_Labor_Time'!$B:$B,"&gt;="&amp;A70,'13_Labor_Time'!$B:$B,"&lt;"&amp;A70+7,'13_Labor_Time'!$C:$C,B70))</x:f>
      </x:c>
      <x:c r="G70" s="70" t="str">
        <x:f>IF(OR(A70="",B70=""),"",SUMIFS('14_Materials_Log'!$I:$I,'14_Materials_Log'!$B:$B,"&gt;="&amp;A70,'14_Materials_Log'!$B:$B,"&lt;"&amp;A70+7,'14_Materials_Log'!$C:$C,B70))</x:f>
      </x:c>
      <x:c r="H70" s="70" t="str">
        <x:f>IF(OR(A70="",B70=""),"",SUMIFS('15_Equipment_Log'!$M:$M,'15_Equipment_Log'!$B:$B,"&gt;="&amp;A70,'15_Equipment_Log'!$B:$B,"&lt;"&amp;A70+7,'15_Equipment_Log'!$C:$C,B70))</x:f>
      </x:c>
      <x:c r="I70" s="70" t="str">
        <x:f>IF(OR(A70="",B70=""),"",SUMIFS('12_Production_Log'!$M:$M,'12_Production_Log'!$B:$B,"&gt;="&amp;A70,'12_Production_Log'!$B:$B,"&lt;"&amp;A70+7,'12_Production_Log'!$C:$C,B70)+SUMIFS('14_Materials_Log'!$I:$I,'14_Materials_Log'!$B:$B,"&gt;="&amp;A70,'14_Materials_Log'!$B:$B,"&lt;"&amp;A70+7,'14_Materials_Log'!$C:$C,B70,'14_Materials_Log'!$J:$J,"Yes"))</x:f>
      </x:c>
      <x:c r="J70" s="70" t="str">
        <x:f>IF(OR(A70="",B70=""),"",SUMIFS('13_Labor_Time'!$L:$L,'13_Labor_Time'!$B:$B,"&gt;="&amp;A70,'13_Labor_Time'!$B:$B,"&lt;"&amp;A70+7,'13_Labor_Time'!$C:$C,B70))</x:f>
      </x:c>
      <x:c r="K70" s="70" t="str">
        <x:f>IF(OR(I70="",G70="",H70="",J70=""),"",I70-G70-H70-J70)</x:f>
      </x:c>
      <x:c r="L70" s="140" t="str">
        <x:f>IF(C70=0,"",COUNTIFS('11_Intake_Daily'!$C:$C,"&gt;="&amp;A70,'11_Intake_Daily'!$C:$C,"&lt;"&amp;A70+7,'11_Intake_Daily'!$D:$D,B70,'11_Intake_Daily'!$AA:$AA,"Yes")/C70)</x:f>
      </x:c>
    </x:row>
    <x:row r="71" ht="20" customHeight="1">
      <x:c r="A71" s="28"/>
      <x:c r="B71" s="15"/>
      <x:c r="C71" s="15" t="str">
        <x:f>IF(OR(A71="",B71=""),"",COUNTIFS('11_Intake_Daily'!$C:$C,"&gt;="&amp;A71,'11_Intake_Daily'!$C:$C,"&lt;"&amp;A71+7,'11_Intake_Daily'!$D:$D,B71))</x:f>
      </x:c>
      <x:c r="D71" s="15" t="str">
        <x:f>IF(OR(A71="",B71=""),"",COUNTIFS('20_Proof_Queue'!$B:$B,"&gt;="&amp;A71,'20_Proof_Queue'!$B:$B,"&lt;"&amp;A71+7,'20_Proof_Queue'!$C:$C,B71,'20_Proof_Queue'!$H:$H,"&lt;&gt;Closed"))</x:f>
      </x:c>
      <x:c r="E71" s="138" t="str">
        <x:f>IF(OR(A71="",B71=""),"",SUMIFS('12_Production_Log'!$H:$H,'12_Production_Log'!$B:$B,"&gt;="&amp;A71,'12_Production_Log'!$B:$B,"&lt;"&amp;A71+7,'12_Production_Log'!$C:$C,B71))</x:f>
      </x:c>
      <x:c r="F71" s="136" t="str">
        <x:f>IF(OR(A71="",B71=""),"",SUMIFS('13_Labor_Time'!$J:$J,'13_Labor_Time'!$B:$B,"&gt;="&amp;A71,'13_Labor_Time'!$B:$B,"&lt;"&amp;A71+7,'13_Labor_Time'!$C:$C,B71))</x:f>
      </x:c>
      <x:c r="G71" s="70" t="str">
        <x:f>IF(OR(A71="",B71=""),"",SUMIFS('14_Materials_Log'!$I:$I,'14_Materials_Log'!$B:$B,"&gt;="&amp;A71,'14_Materials_Log'!$B:$B,"&lt;"&amp;A71+7,'14_Materials_Log'!$C:$C,B71))</x:f>
      </x:c>
      <x:c r="H71" s="70" t="str">
        <x:f>IF(OR(A71="",B71=""),"",SUMIFS('15_Equipment_Log'!$M:$M,'15_Equipment_Log'!$B:$B,"&gt;="&amp;A71,'15_Equipment_Log'!$B:$B,"&lt;"&amp;A71+7,'15_Equipment_Log'!$C:$C,B71))</x:f>
      </x:c>
      <x:c r="I71" s="70" t="str">
        <x:f>IF(OR(A71="",B71=""),"",SUMIFS('12_Production_Log'!$M:$M,'12_Production_Log'!$B:$B,"&gt;="&amp;A71,'12_Production_Log'!$B:$B,"&lt;"&amp;A71+7,'12_Production_Log'!$C:$C,B71)+SUMIFS('14_Materials_Log'!$I:$I,'14_Materials_Log'!$B:$B,"&gt;="&amp;A71,'14_Materials_Log'!$B:$B,"&lt;"&amp;A71+7,'14_Materials_Log'!$C:$C,B71,'14_Materials_Log'!$J:$J,"Yes"))</x:f>
      </x:c>
      <x:c r="J71" s="70" t="str">
        <x:f>IF(OR(A71="",B71=""),"",SUMIFS('13_Labor_Time'!$L:$L,'13_Labor_Time'!$B:$B,"&gt;="&amp;A71,'13_Labor_Time'!$B:$B,"&lt;"&amp;A71+7,'13_Labor_Time'!$C:$C,B71))</x:f>
      </x:c>
      <x:c r="K71" s="70" t="str">
        <x:f>IF(OR(I71="",G71="",H71="",J71=""),"",I71-G71-H71-J71)</x:f>
      </x:c>
      <x:c r="L71" s="140" t="str">
        <x:f>IF(C71=0,"",COUNTIFS('11_Intake_Daily'!$C:$C,"&gt;="&amp;A71,'11_Intake_Daily'!$C:$C,"&lt;"&amp;A71+7,'11_Intake_Daily'!$D:$D,B71,'11_Intake_Daily'!$AA:$AA,"Yes")/C71)</x:f>
      </x:c>
    </x:row>
    <x:row r="72" ht="20" customHeight="1">
      <x:c r="A72" s="28"/>
      <x:c r="B72" s="15"/>
      <x:c r="C72" s="15" t="str">
        <x:f>IF(OR(A72="",B72=""),"",COUNTIFS('11_Intake_Daily'!$C:$C,"&gt;="&amp;A72,'11_Intake_Daily'!$C:$C,"&lt;"&amp;A72+7,'11_Intake_Daily'!$D:$D,B72))</x:f>
      </x:c>
      <x:c r="D72" s="15" t="str">
        <x:f>IF(OR(A72="",B72=""),"",COUNTIFS('20_Proof_Queue'!$B:$B,"&gt;="&amp;A72,'20_Proof_Queue'!$B:$B,"&lt;"&amp;A72+7,'20_Proof_Queue'!$C:$C,B72,'20_Proof_Queue'!$H:$H,"&lt;&gt;Closed"))</x:f>
      </x:c>
      <x:c r="E72" s="138" t="str">
        <x:f>IF(OR(A72="",B72=""),"",SUMIFS('12_Production_Log'!$H:$H,'12_Production_Log'!$B:$B,"&gt;="&amp;A72,'12_Production_Log'!$B:$B,"&lt;"&amp;A72+7,'12_Production_Log'!$C:$C,B72))</x:f>
      </x:c>
      <x:c r="F72" s="136" t="str">
        <x:f>IF(OR(A72="",B72=""),"",SUMIFS('13_Labor_Time'!$J:$J,'13_Labor_Time'!$B:$B,"&gt;="&amp;A72,'13_Labor_Time'!$B:$B,"&lt;"&amp;A72+7,'13_Labor_Time'!$C:$C,B72))</x:f>
      </x:c>
      <x:c r="G72" s="70" t="str">
        <x:f>IF(OR(A72="",B72=""),"",SUMIFS('14_Materials_Log'!$I:$I,'14_Materials_Log'!$B:$B,"&gt;="&amp;A72,'14_Materials_Log'!$B:$B,"&lt;"&amp;A72+7,'14_Materials_Log'!$C:$C,B72))</x:f>
      </x:c>
      <x:c r="H72" s="70" t="str">
        <x:f>IF(OR(A72="",B72=""),"",SUMIFS('15_Equipment_Log'!$M:$M,'15_Equipment_Log'!$B:$B,"&gt;="&amp;A72,'15_Equipment_Log'!$B:$B,"&lt;"&amp;A72+7,'15_Equipment_Log'!$C:$C,B72))</x:f>
      </x:c>
      <x:c r="I72" s="70" t="str">
        <x:f>IF(OR(A72="",B72=""),"",SUMIFS('12_Production_Log'!$M:$M,'12_Production_Log'!$B:$B,"&gt;="&amp;A72,'12_Production_Log'!$B:$B,"&lt;"&amp;A72+7,'12_Production_Log'!$C:$C,B72)+SUMIFS('14_Materials_Log'!$I:$I,'14_Materials_Log'!$B:$B,"&gt;="&amp;A72,'14_Materials_Log'!$B:$B,"&lt;"&amp;A72+7,'14_Materials_Log'!$C:$C,B72,'14_Materials_Log'!$J:$J,"Yes"))</x:f>
      </x:c>
      <x:c r="J72" s="70" t="str">
        <x:f>IF(OR(A72="",B72=""),"",SUMIFS('13_Labor_Time'!$L:$L,'13_Labor_Time'!$B:$B,"&gt;="&amp;A72,'13_Labor_Time'!$B:$B,"&lt;"&amp;A72+7,'13_Labor_Time'!$C:$C,B72))</x:f>
      </x:c>
      <x:c r="K72" s="70" t="str">
        <x:f>IF(OR(I72="",G72="",H72="",J72=""),"",I72-G72-H72-J72)</x:f>
      </x:c>
      <x:c r="L72" s="140" t="str">
        <x:f>IF(C72=0,"",COUNTIFS('11_Intake_Daily'!$C:$C,"&gt;="&amp;A72,'11_Intake_Daily'!$C:$C,"&lt;"&amp;A72+7,'11_Intake_Daily'!$D:$D,B72,'11_Intake_Daily'!$AA:$AA,"Yes")/C72)</x:f>
      </x:c>
    </x:row>
    <x:row r="73" ht="20" customHeight="1">
      <x:c r="A73" s="28"/>
      <x:c r="B73" s="15"/>
      <x:c r="C73" s="15" t="str">
        <x:f>IF(OR(A73="",B73=""),"",COUNTIFS('11_Intake_Daily'!$C:$C,"&gt;="&amp;A73,'11_Intake_Daily'!$C:$C,"&lt;"&amp;A73+7,'11_Intake_Daily'!$D:$D,B73))</x:f>
      </x:c>
      <x:c r="D73" s="15" t="str">
        <x:f>IF(OR(A73="",B73=""),"",COUNTIFS('20_Proof_Queue'!$B:$B,"&gt;="&amp;A73,'20_Proof_Queue'!$B:$B,"&lt;"&amp;A73+7,'20_Proof_Queue'!$C:$C,B73,'20_Proof_Queue'!$H:$H,"&lt;&gt;Closed"))</x:f>
      </x:c>
      <x:c r="E73" s="138" t="str">
        <x:f>IF(OR(A73="",B73=""),"",SUMIFS('12_Production_Log'!$H:$H,'12_Production_Log'!$B:$B,"&gt;="&amp;A73,'12_Production_Log'!$B:$B,"&lt;"&amp;A73+7,'12_Production_Log'!$C:$C,B73))</x:f>
      </x:c>
      <x:c r="F73" s="136" t="str">
        <x:f>IF(OR(A73="",B73=""),"",SUMIFS('13_Labor_Time'!$J:$J,'13_Labor_Time'!$B:$B,"&gt;="&amp;A73,'13_Labor_Time'!$B:$B,"&lt;"&amp;A73+7,'13_Labor_Time'!$C:$C,B73))</x:f>
      </x:c>
      <x:c r="G73" s="70" t="str">
        <x:f>IF(OR(A73="",B73=""),"",SUMIFS('14_Materials_Log'!$I:$I,'14_Materials_Log'!$B:$B,"&gt;="&amp;A73,'14_Materials_Log'!$B:$B,"&lt;"&amp;A73+7,'14_Materials_Log'!$C:$C,B73))</x:f>
      </x:c>
      <x:c r="H73" s="70" t="str">
        <x:f>IF(OR(A73="",B73=""),"",SUMIFS('15_Equipment_Log'!$M:$M,'15_Equipment_Log'!$B:$B,"&gt;="&amp;A73,'15_Equipment_Log'!$B:$B,"&lt;"&amp;A73+7,'15_Equipment_Log'!$C:$C,B73))</x:f>
      </x:c>
      <x:c r="I73" s="70" t="str">
        <x:f>IF(OR(A73="",B73=""),"",SUMIFS('12_Production_Log'!$M:$M,'12_Production_Log'!$B:$B,"&gt;="&amp;A73,'12_Production_Log'!$B:$B,"&lt;"&amp;A73+7,'12_Production_Log'!$C:$C,B73)+SUMIFS('14_Materials_Log'!$I:$I,'14_Materials_Log'!$B:$B,"&gt;="&amp;A73,'14_Materials_Log'!$B:$B,"&lt;"&amp;A73+7,'14_Materials_Log'!$C:$C,B73,'14_Materials_Log'!$J:$J,"Yes"))</x:f>
      </x:c>
      <x:c r="J73" s="70" t="str">
        <x:f>IF(OR(A73="",B73=""),"",SUMIFS('13_Labor_Time'!$L:$L,'13_Labor_Time'!$B:$B,"&gt;="&amp;A73,'13_Labor_Time'!$B:$B,"&lt;"&amp;A73+7,'13_Labor_Time'!$C:$C,B73))</x:f>
      </x:c>
      <x:c r="K73" s="70" t="str">
        <x:f>IF(OR(I73="",G73="",H73="",J73=""),"",I73-G73-H73-J73)</x:f>
      </x:c>
      <x:c r="L73" s="140" t="str">
        <x:f>IF(C73=0,"",COUNTIFS('11_Intake_Daily'!$C:$C,"&gt;="&amp;A73,'11_Intake_Daily'!$C:$C,"&lt;"&amp;A73+7,'11_Intake_Daily'!$D:$D,B73,'11_Intake_Daily'!$AA:$AA,"Yes")/C73)</x:f>
      </x:c>
    </x:row>
    <x:row r="74" ht="20" customHeight="1">
      <x:c r="A74" s="28"/>
      <x:c r="B74" s="15"/>
      <x:c r="C74" s="15" t="str">
        <x:f>IF(OR(A74="",B74=""),"",COUNTIFS('11_Intake_Daily'!$C:$C,"&gt;="&amp;A74,'11_Intake_Daily'!$C:$C,"&lt;"&amp;A74+7,'11_Intake_Daily'!$D:$D,B74))</x:f>
      </x:c>
      <x:c r="D74" s="15" t="str">
        <x:f>IF(OR(A74="",B74=""),"",COUNTIFS('20_Proof_Queue'!$B:$B,"&gt;="&amp;A74,'20_Proof_Queue'!$B:$B,"&lt;"&amp;A74+7,'20_Proof_Queue'!$C:$C,B74,'20_Proof_Queue'!$H:$H,"&lt;&gt;Closed"))</x:f>
      </x:c>
      <x:c r="E74" s="138" t="str">
        <x:f>IF(OR(A74="",B74=""),"",SUMIFS('12_Production_Log'!$H:$H,'12_Production_Log'!$B:$B,"&gt;="&amp;A74,'12_Production_Log'!$B:$B,"&lt;"&amp;A74+7,'12_Production_Log'!$C:$C,B74))</x:f>
      </x:c>
      <x:c r="F74" s="136" t="str">
        <x:f>IF(OR(A74="",B74=""),"",SUMIFS('13_Labor_Time'!$J:$J,'13_Labor_Time'!$B:$B,"&gt;="&amp;A74,'13_Labor_Time'!$B:$B,"&lt;"&amp;A74+7,'13_Labor_Time'!$C:$C,B74))</x:f>
      </x:c>
      <x:c r="G74" s="70" t="str">
        <x:f>IF(OR(A74="",B74=""),"",SUMIFS('14_Materials_Log'!$I:$I,'14_Materials_Log'!$B:$B,"&gt;="&amp;A74,'14_Materials_Log'!$B:$B,"&lt;"&amp;A74+7,'14_Materials_Log'!$C:$C,B74))</x:f>
      </x:c>
      <x:c r="H74" s="70" t="str">
        <x:f>IF(OR(A74="",B74=""),"",SUMIFS('15_Equipment_Log'!$M:$M,'15_Equipment_Log'!$B:$B,"&gt;="&amp;A74,'15_Equipment_Log'!$B:$B,"&lt;"&amp;A74+7,'15_Equipment_Log'!$C:$C,B74))</x:f>
      </x:c>
      <x:c r="I74" s="70" t="str">
        <x:f>IF(OR(A74="",B74=""),"",SUMIFS('12_Production_Log'!$M:$M,'12_Production_Log'!$B:$B,"&gt;="&amp;A74,'12_Production_Log'!$B:$B,"&lt;"&amp;A74+7,'12_Production_Log'!$C:$C,B74)+SUMIFS('14_Materials_Log'!$I:$I,'14_Materials_Log'!$B:$B,"&gt;="&amp;A74,'14_Materials_Log'!$B:$B,"&lt;"&amp;A74+7,'14_Materials_Log'!$C:$C,B74,'14_Materials_Log'!$J:$J,"Yes"))</x:f>
      </x:c>
      <x:c r="J74" s="70" t="str">
        <x:f>IF(OR(A74="",B74=""),"",SUMIFS('13_Labor_Time'!$L:$L,'13_Labor_Time'!$B:$B,"&gt;="&amp;A74,'13_Labor_Time'!$B:$B,"&lt;"&amp;A74+7,'13_Labor_Time'!$C:$C,B74))</x:f>
      </x:c>
      <x:c r="K74" s="70" t="str">
        <x:f>IF(OR(I74="",G74="",H74="",J74=""),"",I74-G74-H74-J74)</x:f>
      </x:c>
      <x:c r="L74" s="140" t="str">
        <x:f>IF(C74=0,"",COUNTIFS('11_Intake_Daily'!$C:$C,"&gt;="&amp;A74,'11_Intake_Daily'!$C:$C,"&lt;"&amp;A74+7,'11_Intake_Daily'!$D:$D,B74,'11_Intake_Daily'!$AA:$AA,"Yes")/C74)</x:f>
      </x:c>
    </x:row>
    <x:row r="75" ht="20" customHeight="1">
      <x:c r="A75" s="28"/>
      <x:c r="B75" s="15"/>
      <x:c r="C75" s="15" t="str">
        <x:f>IF(OR(A75="",B75=""),"",COUNTIFS('11_Intake_Daily'!$C:$C,"&gt;="&amp;A75,'11_Intake_Daily'!$C:$C,"&lt;"&amp;A75+7,'11_Intake_Daily'!$D:$D,B75))</x:f>
      </x:c>
      <x:c r="D75" s="15" t="str">
        <x:f>IF(OR(A75="",B75=""),"",COUNTIFS('20_Proof_Queue'!$B:$B,"&gt;="&amp;A75,'20_Proof_Queue'!$B:$B,"&lt;"&amp;A75+7,'20_Proof_Queue'!$C:$C,B75,'20_Proof_Queue'!$H:$H,"&lt;&gt;Closed"))</x:f>
      </x:c>
      <x:c r="E75" s="138" t="str">
        <x:f>IF(OR(A75="",B75=""),"",SUMIFS('12_Production_Log'!$H:$H,'12_Production_Log'!$B:$B,"&gt;="&amp;A75,'12_Production_Log'!$B:$B,"&lt;"&amp;A75+7,'12_Production_Log'!$C:$C,B75))</x:f>
      </x:c>
      <x:c r="F75" s="136" t="str">
        <x:f>IF(OR(A75="",B75=""),"",SUMIFS('13_Labor_Time'!$J:$J,'13_Labor_Time'!$B:$B,"&gt;="&amp;A75,'13_Labor_Time'!$B:$B,"&lt;"&amp;A75+7,'13_Labor_Time'!$C:$C,B75))</x:f>
      </x:c>
      <x:c r="G75" s="70" t="str">
        <x:f>IF(OR(A75="",B75=""),"",SUMIFS('14_Materials_Log'!$I:$I,'14_Materials_Log'!$B:$B,"&gt;="&amp;A75,'14_Materials_Log'!$B:$B,"&lt;"&amp;A75+7,'14_Materials_Log'!$C:$C,B75))</x:f>
      </x:c>
      <x:c r="H75" s="70" t="str">
        <x:f>IF(OR(A75="",B75=""),"",SUMIFS('15_Equipment_Log'!$M:$M,'15_Equipment_Log'!$B:$B,"&gt;="&amp;A75,'15_Equipment_Log'!$B:$B,"&lt;"&amp;A75+7,'15_Equipment_Log'!$C:$C,B75))</x:f>
      </x:c>
      <x:c r="I75" s="70" t="str">
        <x:f>IF(OR(A75="",B75=""),"",SUMIFS('12_Production_Log'!$M:$M,'12_Production_Log'!$B:$B,"&gt;="&amp;A75,'12_Production_Log'!$B:$B,"&lt;"&amp;A75+7,'12_Production_Log'!$C:$C,B75)+SUMIFS('14_Materials_Log'!$I:$I,'14_Materials_Log'!$B:$B,"&gt;="&amp;A75,'14_Materials_Log'!$B:$B,"&lt;"&amp;A75+7,'14_Materials_Log'!$C:$C,B75,'14_Materials_Log'!$J:$J,"Yes"))</x:f>
      </x:c>
      <x:c r="J75" s="70" t="str">
        <x:f>IF(OR(A75="",B75=""),"",SUMIFS('13_Labor_Time'!$L:$L,'13_Labor_Time'!$B:$B,"&gt;="&amp;A75,'13_Labor_Time'!$B:$B,"&lt;"&amp;A75+7,'13_Labor_Time'!$C:$C,B75))</x:f>
      </x:c>
      <x:c r="K75" s="70" t="str">
        <x:f>IF(OR(I75="",G75="",H75="",J75=""),"",I75-G75-H75-J75)</x:f>
      </x:c>
      <x:c r="L75" s="140" t="str">
        <x:f>IF(C75=0,"",COUNTIFS('11_Intake_Daily'!$C:$C,"&gt;="&amp;A75,'11_Intake_Daily'!$C:$C,"&lt;"&amp;A75+7,'11_Intake_Daily'!$D:$D,B75,'11_Intake_Daily'!$AA:$AA,"Yes")/C75)</x:f>
      </x:c>
    </x:row>
    <x:row r="76" ht="20" customHeight="1">
      <x:c r="A76" s="28"/>
      <x:c r="B76" s="15"/>
      <x:c r="C76" s="15" t="str">
        <x:f>IF(OR(A76="",B76=""),"",COUNTIFS('11_Intake_Daily'!$C:$C,"&gt;="&amp;A76,'11_Intake_Daily'!$C:$C,"&lt;"&amp;A76+7,'11_Intake_Daily'!$D:$D,B76))</x:f>
      </x:c>
      <x:c r="D76" s="15" t="str">
        <x:f>IF(OR(A76="",B76=""),"",COUNTIFS('20_Proof_Queue'!$B:$B,"&gt;="&amp;A76,'20_Proof_Queue'!$B:$B,"&lt;"&amp;A76+7,'20_Proof_Queue'!$C:$C,B76,'20_Proof_Queue'!$H:$H,"&lt;&gt;Closed"))</x:f>
      </x:c>
      <x:c r="E76" s="138" t="str">
        <x:f>IF(OR(A76="",B76=""),"",SUMIFS('12_Production_Log'!$H:$H,'12_Production_Log'!$B:$B,"&gt;="&amp;A76,'12_Production_Log'!$B:$B,"&lt;"&amp;A76+7,'12_Production_Log'!$C:$C,B76))</x:f>
      </x:c>
      <x:c r="F76" s="136" t="str">
        <x:f>IF(OR(A76="",B76=""),"",SUMIFS('13_Labor_Time'!$J:$J,'13_Labor_Time'!$B:$B,"&gt;="&amp;A76,'13_Labor_Time'!$B:$B,"&lt;"&amp;A76+7,'13_Labor_Time'!$C:$C,B76))</x:f>
      </x:c>
      <x:c r="G76" s="70" t="str">
        <x:f>IF(OR(A76="",B76=""),"",SUMIFS('14_Materials_Log'!$I:$I,'14_Materials_Log'!$B:$B,"&gt;="&amp;A76,'14_Materials_Log'!$B:$B,"&lt;"&amp;A76+7,'14_Materials_Log'!$C:$C,B76))</x:f>
      </x:c>
      <x:c r="H76" s="70" t="str">
        <x:f>IF(OR(A76="",B76=""),"",SUMIFS('15_Equipment_Log'!$M:$M,'15_Equipment_Log'!$B:$B,"&gt;="&amp;A76,'15_Equipment_Log'!$B:$B,"&lt;"&amp;A76+7,'15_Equipment_Log'!$C:$C,B76))</x:f>
      </x:c>
      <x:c r="I76" s="70" t="str">
        <x:f>IF(OR(A76="",B76=""),"",SUMIFS('12_Production_Log'!$M:$M,'12_Production_Log'!$B:$B,"&gt;="&amp;A76,'12_Production_Log'!$B:$B,"&lt;"&amp;A76+7,'12_Production_Log'!$C:$C,B76)+SUMIFS('14_Materials_Log'!$I:$I,'14_Materials_Log'!$B:$B,"&gt;="&amp;A76,'14_Materials_Log'!$B:$B,"&lt;"&amp;A76+7,'14_Materials_Log'!$C:$C,B76,'14_Materials_Log'!$J:$J,"Yes"))</x:f>
      </x:c>
      <x:c r="J76" s="70" t="str">
        <x:f>IF(OR(A76="",B76=""),"",SUMIFS('13_Labor_Time'!$L:$L,'13_Labor_Time'!$B:$B,"&gt;="&amp;A76,'13_Labor_Time'!$B:$B,"&lt;"&amp;A76+7,'13_Labor_Time'!$C:$C,B76))</x:f>
      </x:c>
      <x:c r="K76" s="70" t="str">
        <x:f>IF(OR(I76="",G76="",H76="",J76=""),"",I76-G76-H76-J76)</x:f>
      </x:c>
      <x:c r="L76" s="140" t="str">
        <x:f>IF(C76=0,"",COUNTIFS('11_Intake_Daily'!$C:$C,"&gt;="&amp;A76,'11_Intake_Daily'!$C:$C,"&lt;"&amp;A76+7,'11_Intake_Daily'!$D:$D,B76,'11_Intake_Daily'!$AA:$AA,"Yes")/C76)</x:f>
      </x:c>
    </x:row>
    <x:row r="77" ht="20" customHeight="1">
      <x:c r="A77" s="28"/>
      <x:c r="B77" s="15"/>
      <x:c r="C77" s="15" t="str">
        <x:f>IF(OR(A77="",B77=""),"",COUNTIFS('11_Intake_Daily'!$C:$C,"&gt;="&amp;A77,'11_Intake_Daily'!$C:$C,"&lt;"&amp;A77+7,'11_Intake_Daily'!$D:$D,B77))</x:f>
      </x:c>
      <x:c r="D77" s="15" t="str">
        <x:f>IF(OR(A77="",B77=""),"",COUNTIFS('20_Proof_Queue'!$B:$B,"&gt;="&amp;A77,'20_Proof_Queue'!$B:$B,"&lt;"&amp;A77+7,'20_Proof_Queue'!$C:$C,B77,'20_Proof_Queue'!$H:$H,"&lt;&gt;Closed"))</x:f>
      </x:c>
      <x:c r="E77" s="138" t="str">
        <x:f>IF(OR(A77="",B77=""),"",SUMIFS('12_Production_Log'!$H:$H,'12_Production_Log'!$B:$B,"&gt;="&amp;A77,'12_Production_Log'!$B:$B,"&lt;"&amp;A77+7,'12_Production_Log'!$C:$C,B77))</x:f>
      </x:c>
      <x:c r="F77" s="136" t="str">
        <x:f>IF(OR(A77="",B77=""),"",SUMIFS('13_Labor_Time'!$J:$J,'13_Labor_Time'!$B:$B,"&gt;="&amp;A77,'13_Labor_Time'!$B:$B,"&lt;"&amp;A77+7,'13_Labor_Time'!$C:$C,B77))</x:f>
      </x:c>
      <x:c r="G77" s="70" t="str">
        <x:f>IF(OR(A77="",B77=""),"",SUMIFS('14_Materials_Log'!$I:$I,'14_Materials_Log'!$B:$B,"&gt;="&amp;A77,'14_Materials_Log'!$B:$B,"&lt;"&amp;A77+7,'14_Materials_Log'!$C:$C,B77))</x:f>
      </x:c>
      <x:c r="H77" s="70" t="str">
        <x:f>IF(OR(A77="",B77=""),"",SUMIFS('15_Equipment_Log'!$M:$M,'15_Equipment_Log'!$B:$B,"&gt;="&amp;A77,'15_Equipment_Log'!$B:$B,"&lt;"&amp;A77+7,'15_Equipment_Log'!$C:$C,B77))</x:f>
      </x:c>
      <x:c r="I77" s="70" t="str">
        <x:f>IF(OR(A77="",B77=""),"",SUMIFS('12_Production_Log'!$M:$M,'12_Production_Log'!$B:$B,"&gt;="&amp;A77,'12_Production_Log'!$B:$B,"&lt;"&amp;A77+7,'12_Production_Log'!$C:$C,B77)+SUMIFS('14_Materials_Log'!$I:$I,'14_Materials_Log'!$B:$B,"&gt;="&amp;A77,'14_Materials_Log'!$B:$B,"&lt;"&amp;A77+7,'14_Materials_Log'!$C:$C,B77,'14_Materials_Log'!$J:$J,"Yes"))</x:f>
      </x:c>
      <x:c r="J77" s="70" t="str">
        <x:f>IF(OR(A77="",B77=""),"",SUMIFS('13_Labor_Time'!$L:$L,'13_Labor_Time'!$B:$B,"&gt;="&amp;A77,'13_Labor_Time'!$B:$B,"&lt;"&amp;A77+7,'13_Labor_Time'!$C:$C,B77))</x:f>
      </x:c>
      <x:c r="K77" s="70" t="str">
        <x:f>IF(OR(I77="",G77="",H77="",J77=""),"",I77-G77-H77-J77)</x:f>
      </x:c>
      <x:c r="L77" s="140" t="str">
        <x:f>IF(C77=0,"",COUNTIFS('11_Intake_Daily'!$C:$C,"&gt;="&amp;A77,'11_Intake_Daily'!$C:$C,"&lt;"&amp;A77+7,'11_Intake_Daily'!$D:$D,B77,'11_Intake_Daily'!$AA:$AA,"Yes")/C77)</x:f>
      </x:c>
    </x:row>
    <x:row r="78" ht="20" customHeight="1">
      <x:c r="A78" s="28"/>
      <x:c r="B78" s="15"/>
      <x:c r="C78" s="15" t="str">
        <x:f>IF(OR(A78="",B78=""),"",COUNTIFS('11_Intake_Daily'!$C:$C,"&gt;="&amp;A78,'11_Intake_Daily'!$C:$C,"&lt;"&amp;A78+7,'11_Intake_Daily'!$D:$D,B78))</x:f>
      </x:c>
      <x:c r="D78" s="15" t="str">
        <x:f>IF(OR(A78="",B78=""),"",COUNTIFS('20_Proof_Queue'!$B:$B,"&gt;="&amp;A78,'20_Proof_Queue'!$B:$B,"&lt;"&amp;A78+7,'20_Proof_Queue'!$C:$C,B78,'20_Proof_Queue'!$H:$H,"&lt;&gt;Closed"))</x:f>
      </x:c>
      <x:c r="E78" s="138" t="str">
        <x:f>IF(OR(A78="",B78=""),"",SUMIFS('12_Production_Log'!$H:$H,'12_Production_Log'!$B:$B,"&gt;="&amp;A78,'12_Production_Log'!$B:$B,"&lt;"&amp;A78+7,'12_Production_Log'!$C:$C,B78))</x:f>
      </x:c>
      <x:c r="F78" s="136" t="str">
        <x:f>IF(OR(A78="",B78=""),"",SUMIFS('13_Labor_Time'!$J:$J,'13_Labor_Time'!$B:$B,"&gt;="&amp;A78,'13_Labor_Time'!$B:$B,"&lt;"&amp;A78+7,'13_Labor_Time'!$C:$C,B78))</x:f>
      </x:c>
      <x:c r="G78" s="70" t="str">
        <x:f>IF(OR(A78="",B78=""),"",SUMIFS('14_Materials_Log'!$I:$I,'14_Materials_Log'!$B:$B,"&gt;="&amp;A78,'14_Materials_Log'!$B:$B,"&lt;"&amp;A78+7,'14_Materials_Log'!$C:$C,B78))</x:f>
      </x:c>
      <x:c r="H78" s="70" t="str">
        <x:f>IF(OR(A78="",B78=""),"",SUMIFS('15_Equipment_Log'!$M:$M,'15_Equipment_Log'!$B:$B,"&gt;="&amp;A78,'15_Equipment_Log'!$B:$B,"&lt;"&amp;A78+7,'15_Equipment_Log'!$C:$C,B78))</x:f>
      </x:c>
      <x:c r="I78" s="70" t="str">
        <x:f>IF(OR(A78="",B78=""),"",SUMIFS('12_Production_Log'!$M:$M,'12_Production_Log'!$B:$B,"&gt;="&amp;A78,'12_Production_Log'!$B:$B,"&lt;"&amp;A78+7,'12_Production_Log'!$C:$C,B78)+SUMIFS('14_Materials_Log'!$I:$I,'14_Materials_Log'!$B:$B,"&gt;="&amp;A78,'14_Materials_Log'!$B:$B,"&lt;"&amp;A78+7,'14_Materials_Log'!$C:$C,B78,'14_Materials_Log'!$J:$J,"Yes"))</x:f>
      </x:c>
      <x:c r="J78" s="70" t="str">
        <x:f>IF(OR(A78="",B78=""),"",SUMIFS('13_Labor_Time'!$L:$L,'13_Labor_Time'!$B:$B,"&gt;="&amp;A78,'13_Labor_Time'!$B:$B,"&lt;"&amp;A78+7,'13_Labor_Time'!$C:$C,B78))</x:f>
      </x:c>
      <x:c r="K78" s="70" t="str">
        <x:f>IF(OR(I78="",G78="",H78="",J78=""),"",I78-G78-H78-J78)</x:f>
      </x:c>
      <x:c r="L78" s="140" t="str">
        <x:f>IF(C78=0,"",COUNTIFS('11_Intake_Daily'!$C:$C,"&gt;="&amp;A78,'11_Intake_Daily'!$C:$C,"&lt;"&amp;A78+7,'11_Intake_Daily'!$D:$D,B78,'11_Intake_Daily'!$AA:$AA,"Yes")/C78)</x:f>
      </x:c>
    </x:row>
    <x:row r="79" ht="20" customHeight="1">
      <x:c r="A79" s="28"/>
      <x:c r="B79" s="15"/>
      <x:c r="C79" s="15" t="str">
        <x:f>IF(OR(A79="",B79=""),"",COUNTIFS('11_Intake_Daily'!$C:$C,"&gt;="&amp;A79,'11_Intake_Daily'!$C:$C,"&lt;"&amp;A79+7,'11_Intake_Daily'!$D:$D,B79))</x:f>
      </x:c>
      <x:c r="D79" s="15" t="str">
        <x:f>IF(OR(A79="",B79=""),"",COUNTIFS('20_Proof_Queue'!$B:$B,"&gt;="&amp;A79,'20_Proof_Queue'!$B:$B,"&lt;"&amp;A79+7,'20_Proof_Queue'!$C:$C,B79,'20_Proof_Queue'!$H:$H,"&lt;&gt;Closed"))</x:f>
      </x:c>
      <x:c r="E79" s="138" t="str">
        <x:f>IF(OR(A79="",B79=""),"",SUMIFS('12_Production_Log'!$H:$H,'12_Production_Log'!$B:$B,"&gt;="&amp;A79,'12_Production_Log'!$B:$B,"&lt;"&amp;A79+7,'12_Production_Log'!$C:$C,B79))</x:f>
      </x:c>
      <x:c r="F79" s="136" t="str">
        <x:f>IF(OR(A79="",B79=""),"",SUMIFS('13_Labor_Time'!$J:$J,'13_Labor_Time'!$B:$B,"&gt;="&amp;A79,'13_Labor_Time'!$B:$B,"&lt;"&amp;A79+7,'13_Labor_Time'!$C:$C,B79))</x:f>
      </x:c>
      <x:c r="G79" s="70" t="str">
        <x:f>IF(OR(A79="",B79=""),"",SUMIFS('14_Materials_Log'!$I:$I,'14_Materials_Log'!$B:$B,"&gt;="&amp;A79,'14_Materials_Log'!$B:$B,"&lt;"&amp;A79+7,'14_Materials_Log'!$C:$C,B79))</x:f>
      </x:c>
      <x:c r="H79" s="70" t="str">
        <x:f>IF(OR(A79="",B79=""),"",SUMIFS('15_Equipment_Log'!$M:$M,'15_Equipment_Log'!$B:$B,"&gt;="&amp;A79,'15_Equipment_Log'!$B:$B,"&lt;"&amp;A79+7,'15_Equipment_Log'!$C:$C,B79))</x:f>
      </x:c>
      <x:c r="I79" s="70" t="str">
        <x:f>IF(OR(A79="",B79=""),"",SUMIFS('12_Production_Log'!$M:$M,'12_Production_Log'!$B:$B,"&gt;="&amp;A79,'12_Production_Log'!$B:$B,"&lt;"&amp;A79+7,'12_Production_Log'!$C:$C,B79)+SUMIFS('14_Materials_Log'!$I:$I,'14_Materials_Log'!$B:$B,"&gt;="&amp;A79,'14_Materials_Log'!$B:$B,"&lt;"&amp;A79+7,'14_Materials_Log'!$C:$C,B79,'14_Materials_Log'!$J:$J,"Yes"))</x:f>
      </x:c>
      <x:c r="J79" s="70" t="str">
        <x:f>IF(OR(A79="",B79=""),"",SUMIFS('13_Labor_Time'!$L:$L,'13_Labor_Time'!$B:$B,"&gt;="&amp;A79,'13_Labor_Time'!$B:$B,"&lt;"&amp;A79+7,'13_Labor_Time'!$C:$C,B79))</x:f>
      </x:c>
      <x:c r="K79" s="70" t="str">
        <x:f>IF(OR(I79="",G79="",H79="",J79=""),"",I79-G79-H79-J79)</x:f>
      </x:c>
      <x:c r="L79" s="140" t="str">
        <x:f>IF(C79=0,"",COUNTIFS('11_Intake_Daily'!$C:$C,"&gt;="&amp;A79,'11_Intake_Daily'!$C:$C,"&lt;"&amp;A79+7,'11_Intake_Daily'!$D:$D,B79,'11_Intake_Daily'!$AA:$AA,"Yes")/C79)</x:f>
      </x:c>
    </x:row>
    <x:row r="80" ht="20" customHeight="1">
      <x:c r="A80" s="28"/>
      <x:c r="B80" s="15"/>
      <x:c r="C80" s="15" t="str">
        <x:f>IF(OR(A80="",B80=""),"",COUNTIFS('11_Intake_Daily'!$C:$C,"&gt;="&amp;A80,'11_Intake_Daily'!$C:$C,"&lt;"&amp;A80+7,'11_Intake_Daily'!$D:$D,B80))</x:f>
      </x:c>
      <x:c r="D80" s="15" t="str">
        <x:f>IF(OR(A80="",B80=""),"",COUNTIFS('20_Proof_Queue'!$B:$B,"&gt;="&amp;A80,'20_Proof_Queue'!$B:$B,"&lt;"&amp;A80+7,'20_Proof_Queue'!$C:$C,B80,'20_Proof_Queue'!$H:$H,"&lt;&gt;Closed"))</x:f>
      </x:c>
      <x:c r="E80" s="138" t="str">
        <x:f>IF(OR(A80="",B80=""),"",SUMIFS('12_Production_Log'!$H:$H,'12_Production_Log'!$B:$B,"&gt;="&amp;A80,'12_Production_Log'!$B:$B,"&lt;"&amp;A80+7,'12_Production_Log'!$C:$C,B80))</x:f>
      </x:c>
      <x:c r="F80" s="136" t="str">
        <x:f>IF(OR(A80="",B80=""),"",SUMIFS('13_Labor_Time'!$J:$J,'13_Labor_Time'!$B:$B,"&gt;="&amp;A80,'13_Labor_Time'!$B:$B,"&lt;"&amp;A80+7,'13_Labor_Time'!$C:$C,B80))</x:f>
      </x:c>
      <x:c r="G80" s="70" t="str">
        <x:f>IF(OR(A80="",B80=""),"",SUMIFS('14_Materials_Log'!$I:$I,'14_Materials_Log'!$B:$B,"&gt;="&amp;A80,'14_Materials_Log'!$B:$B,"&lt;"&amp;A80+7,'14_Materials_Log'!$C:$C,B80))</x:f>
      </x:c>
      <x:c r="H80" s="70" t="str">
        <x:f>IF(OR(A80="",B80=""),"",SUMIFS('15_Equipment_Log'!$M:$M,'15_Equipment_Log'!$B:$B,"&gt;="&amp;A80,'15_Equipment_Log'!$B:$B,"&lt;"&amp;A80+7,'15_Equipment_Log'!$C:$C,B80))</x:f>
      </x:c>
      <x:c r="I80" s="70" t="str">
        <x:f>IF(OR(A80="",B80=""),"",SUMIFS('12_Production_Log'!$M:$M,'12_Production_Log'!$B:$B,"&gt;="&amp;A80,'12_Production_Log'!$B:$B,"&lt;"&amp;A80+7,'12_Production_Log'!$C:$C,B80)+SUMIFS('14_Materials_Log'!$I:$I,'14_Materials_Log'!$B:$B,"&gt;="&amp;A80,'14_Materials_Log'!$B:$B,"&lt;"&amp;A80+7,'14_Materials_Log'!$C:$C,B80,'14_Materials_Log'!$J:$J,"Yes"))</x:f>
      </x:c>
      <x:c r="J80" s="70" t="str">
        <x:f>IF(OR(A80="",B80=""),"",SUMIFS('13_Labor_Time'!$L:$L,'13_Labor_Time'!$B:$B,"&gt;="&amp;A80,'13_Labor_Time'!$B:$B,"&lt;"&amp;A80+7,'13_Labor_Time'!$C:$C,B80))</x:f>
      </x:c>
      <x:c r="K80" s="70" t="str">
        <x:f>IF(OR(I80="",G80="",H80="",J80=""),"",I80-G80-H80-J80)</x:f>
      </x:c>
      <x:c r="L80" s="140" t="str">
        <x:f>IF(C80=0,"",COUNTIFS('11_Intake_Daily'!$C:$C,"&gt;="&amp;A80,'11_Intake_Daily'!$C:$C,"&lt;"&amp;A80+7,'11_Intake_Daily'!$D:$D,B80,'11_Intake_Daily'!$AA:$AA,"Yes")/C80)</x:f>
      </x:c>
    </x:row>
    <x:row r="81" ht="20" customHeight="1">
      <x:c r="A81" s="28"/>
      <x:c r="B81" s="15"/>
      <x:c r="C81" s="15" t="str">
        <x:f>IF(OR(A81="",B81=""),"",COUNTIFS('11_Intake_Daily'!$C:$C,"&gt;="&amp;A81,'11_Intake_Daily'!$C:$C,"&lt;"&amp;A81+7,'11_Intake_Daily'!$D:$D,B81))</x:f>
      </x:c>
      <x:c r="D81" s="15" t="str">
        <x:f>IF(OR(A81="",B81=""),"",COUNTIFS('20_Proof_Queue'!$B:$B,"&gt;="&amp;A81,'20_Proof_Queue'!$B:$B,"&lt;"&amp;A81+7,'20_Proof_Queue'!$C:$C,B81,'20_Proof_Queue'!$H:$H,"&lt;&gt;Closed"))</x:f>
      </x:c>
      <x:c r="E81" s="138" t="str">
        <x:f>IF(OR(A81="",B81=""),"",SUMIFS('12_Production_Log'!$H:$H,'12_Production_Log'!$B:$B,"&gt;="&amp;A81,'12_Production_Log'!$B:$B,"&lt;"&amp;A81+7,'12_Production_Log'!$C:$C,B81))</x:f>
      </x:c>
      <x:c r="F81" s="136" t="str">
        <x:f>IF(OR(A81="",B81=""),"",SUMIFS('13_Labor_Time'!$J:$J,'13_Labor_Time'!$B:$B,"&gt;="&amp;A81,'13_Labor_Time'!$B:$B,"&lt;"&amp;A81+7,'13_Labor_Time'!$C:$C,B81))</x:f>
      </x:c>
      <x:c r="G81" s="70" t="str">
        <x:f>IF(OR(A81="",B81=""),"",SUMIFS('14_Materials_Log'!$I:$I,'14_Materials_Log'!$B:$B,"&gt;="&amp;A81,'14_Materials_Log'!$B:$B,"&lt;"&amp;A81+7,'14_Materials_Log'!$C:$C,B81))</x:f>
      </x:c>
      <x:c r="H81" s="70" t="str">
        <x:f>IF(OR(A81="",B81=""),"",SUMIFS('15_Equipment_Log'!$M:$M,'15_Equipment_Log'!$B:$B,"&gt;="&amp;A81,'15_Equipment_Log'!$B:$B,"&lt;"&amp;A81+7,'15_Equipment_Log'!$C:$C,B81))</x:f>
      </x:c>
      <x:c r="I81" s="70" t="str">
        <x:f>IF(OR(A81="",B81=""),"",SUMIFS('12_Production_Log'!$M:$M,'12_Production_Log'!$B:$B,"&gt;="&amp;A81,'12_Production_Log'!$B:$B,"&lt;"&amp;A81+7,'12_Production_Log'!$C:$C,B81)+SUMIFS('14_Materials_Log'!$I:$I,'14_Materials_Log'!$B:$B,"&gt;="&amp;A81,'14_Materials_Log'!$B:$B,"&lt;"&amp;A81+7,'14_Materials_Log'!$C:$C,B81,'14_Materials_Log'!$J:$J,"Yes"))</x:f>
      </x:c>
      <x:c r="J81" s="70" t="str">
        <x:f>IF(OR(A81="",B81=""),"",SUMIFS('13_Labor_Time'!$L:$L,'13_Labor_Time'!$B:$B,"&gt;="&amp;A81,'13_Labor_Time'!$B:$B,"&lt;"&amp;A81+7,'13_Labor_Time'!$C:$C,B81))</x:f>
      </x:c>
      <x:c r="K81" s="70" t="str">
        <x:f>IF(OR(I81="",G81="",H81="",J81=""),"",I81-G81-H81-J81)</x:f>
      </x:c>
      <x:c r="L81" s="140" t="str">
        <x:f>IF(C81=0,"",COUNTIFS('11_Intake_Daily'!$C:$C,"&gt;="&amp;A81,'11_Intake_Daily'!$C:$C,"&lt;"&amp;A81+7,'11_Intake_Daily'!$D:$D,B81,'11_Intake_Daily'!$AA:$AA,"Yes")/C81)</x:f>
      </x:c>
    </x:row>
  </x:sheetData>
  <x:pageMargins left="0.7" right="0.7" top="0.75" bottom="0.75" header="0.3" footer="0.3"/>
  <x:tableParts count="1">
    <x:tablePart xmlns:r="http://schemas.openxmlformats.org/officeDocument/2006/relationships" r:id="R3a2f9629a9d04f3f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14" hidden="0" customWidth="1"/>
    <x:col min="11" max="11" width="18" hidden="0" customWidth="1"/>
    <x:col min="12" max="12" width="14" hidden="0" customWidth="1"/>
  </x:cols>
  <x:sheetData>
    <x:row r="1" ht="30" customHeight="1">
      <x:c r="A1" s="248" t="str">
        <x:v>MonthStart</x:v>
      </x:c>
      <x:c r="B1" s="248" t="str">
        <x:v>ProjectID</x:v>
      </x:c>
      <x:c r="C1" s="248" t="str">
        <x:v>Submissions</x:v>
      </x:c>
      <x:c r="D1" s="248" t="str">
        <x:v>OpenProofIssues</x:v>
      </x:c>
      <x:c r="E1" s="248" t="str">
        <x:v>ProductionQty</x:v>
      </x:c>
      <x:c r="F1" s="248" t="str">
        <x:v>LaborHours</x:v>
      </x:c>
      <x:c r="G1" s="248" t="str">
        <x:v>MaterialCost</x:v>
      </x:c>
      <x:c r="H1" s="248" t="str">
        <x:v>EquipmentCost</x:v>
      </x:c>
      <x:c r="I1" s="248" t="str">
        <x:v>BillableRevenue</x:v>
      </x:c>
      <x:c r="J1" s="248" t="str">
        <x:v>LaborCost</x:v>
      </x:c>
      <x:c r="K1" s="248" t="str">
        <x:v>MarginEstimate</x:v>
      </x:c>
      <x:c r="L1" s="248" t="str">
        <x:v>ProofReadyRate</x:v>
      </x:c>
    </x:row>
    <x:row r="2" ht="20" customHeight="1">
      <x:c r="A2" s="28" t="n">
        <x:v>46174</x:v>
      </x:c>
      <x:c r="B2" s="15" t="str">
        <x:v>PRJ-1001</x:v>
      </x:c>
      <x:c r="C2" s="15" t="n">
        <x:f>IF(OR(A2="",B2=""),"",COUNTIFS('11_Intake_Daily'!$C:$C,"&gt;="&amp;A2,'11_Intake_Daily'!$C:$C,"&lt;"&amp;EOMONTH(A2,0)+1,'11_Intake_Daily'!$D:$D,B2))</x:f>
        <x:v>0</x:v>
      </x:c>
      <x:c r="D2" s="15" t="n">
        <x:f>IF(OR(A2="",B2=""),"",COUNTIFS('20_Proof_Queue'!$B:$B,"&gt;="&amp;A2,'20_Proof_Queue'!$B:$B,"&lt;"&amp;EOMONTH(A2,0)+1,'20_Proof_Queue'!$C:$C,B2,'20_Proof_Queue'!$H:$H,"&lt;&gt;Closed"))</x:f>
        <x:v>0</x:v>
      </x:c>
      <x:c r="E2" s="138" t="n">
        <x:f>IF(OR(A2="",B2=""),"",SUMIFS('12_Production_Log'!$H:$H,'12_Production_Log'!$B:$B,"&gt;="&amp;A2,'12_Production_Log'!$B:$B,"&lt;"&amp;EOMONTH(A2,0)+1,'12_Production_Log'!$C:$C,B2))</x:f>
        <x:v>0</x:v>
      </x:c>
      <x:c r="F2" s="136" t="n">
        <x:f>IF(OR(A2="",B2=""),"",SUMIFS('13_Labor_Time'!$J:$J,'13_Labor_Time'!$B:$B,"&gt;="&amp;A2,'13_Labor_Time'!$B:$B,"&lt;"&amp;EOMONTH(A2,0)+1,'13_Labor_Time'!$C:$C,B2))</x:f>
        <x:v>0</x:v>
      </x:c>
      <x:c r="G2" s="70" t="n">
        <x:f>IF(OR(A2="",B2=""),"",SUMIFS('14_Materials_Log'!$I:$I,'14_Materials_Log'!$B:$B,"&gt;="&amp;A2,'14_Materials_Log'!$B:$B,"&lt;"&amp;EOMONTH(A2,0)+1,'14_Materials_Log'!$C:$C,B2))</x:f>
        <x:v>0</x:v>
      </x:c>
      <x:c r="H2" s="70" t="n">
        <x:f>IF(OR(A2="",B2=""),"",SUMIFS('15_Equipment_Log'!$M:$M,'15_Equipment_Log'!$B:$B,"&gt;="&amp;A2,'15_Equipment_Log'!$B:$B,"&lt;"&amp;EOMONTH(A2,0)+1,'15_Equipment_Log'!$C:$C,B2))</x:f>
        <x:v>0</x:v>
      </x:c>
      <x:c r="I2" s="70" t="n">
        <x:f>IF(OR(A2="",B2=""),"",SUMIFS('12_Production_Log'!$M:$M,'12_Production_Log'!$B:$B,"&gt;="&amp;A2,'12_Production_Log'!$B:$B,"&lt;"&amp;EOMONTH(A2,0)+1,'12_Production_Log'!$C:$C,B2)+SUMIFS('14_Materials_Log'!$I:$I,'14_Materials_Log'!$B:$B,"&gt;="&amp;A2,'14_Materials_Log'!$B:$B,"&lt;"&amp;EOMONTH(A2,0)+1,'14_Materials_Log'!$C:$C,B2,'14_Materials_Log'!$J:$J,"Yes"))</x:f>
        <x:v>0</x:v>
      </x:c>
      <x:c r="J2" s="70" t="n">
        <x:f>IF(OR(A2="",B2=""),"",SUMIFS('13_Labor_Time'!$L:$L,'13_Labor_Time'!$B:$B,"&gt;="&amp;A2,'13_Labor_Time'!$B:$B,"&lt;"&amp;EOMONTH(A2,0)+1,'13_Labor_Time'!$C:$C,B2))</x:f>
        <x:v>0</x:v>
      </x:c>
      <x:c r="K2" s="70" t="str">
        <x:f>IF(OR(I2="",G2="",H2="",J2=""),"",I2-G2-H2-J2)</x:f>
      </x:c>
      <x:c r="L2" s="140" t="str">
        <x:f>IF(C2=0,"",COUNTIFS('11_Intake_Daily'!$C:$C,"&gt;="&amp;A2,'11_Intake_Daily'!$C:$C,"&lt;"&amp;EOMONTH(A2,0)+1,'11_Intake_Daily'!$D:$D,B2,'11_Intake_Daily'!$AA:$AA,"Yes")/C2)</x:f>
      </x:c>
    </x:row>
    <x:row r="3" ht="20" customHeight="1">
      <x:c r="A3" s="28" t="n">
        <x:v>46174</x:v>
      </x:c>
      <x:c r="B3" s="15" t="str">
        <x:v>PRJ-1002</x:v>
      </x:c>
      <x:c r="C3" s="15" t="n">
        <x:f>IF(OR(A3="",B3=""),"",COUNTIFS('11_Intake_Daily'!$C:$C,"&gt;="&amp;A3,'11_Intake_Daily'!$C:$C,"&lt;"&amp;EOMONTH(A3,0)+1,'11_Intake_Daily'!$D:$D,B3))</x:f>
        <x:v>0</x:v>
      </x:c>
      <x:c r="D3" s="15" t="n">
        <x:f>IF(OR(A3="",B3=""),"",COUNTIFS('20_Proof_Queue'!$B:$B,"&gt;="&amp;A3,'20_Proof_Queue'!$B:$B,"&lt;"&amp;EOMONTH(A3,0)+1,'20_Proof_Queue'!$C:$C,B3,'20_Proof_Queue'!$H:$H,"&lt;&gt;Closed"))</x:f>
        <x:v>0</x:v>
      </x:c>
      <x:c r="E3" s="138" t="n">
        <x:f>IF(OR(A3="",B3=""),"",SUMIFS('12_Production_Log'!$H:$H,'12_Production_Log'!$B:$B,"&gt;="&amp;A3,'12_Production_Log'!$B:$B,"&lt;"&amp;EOMONTH(A3,0)+1,'12_Production_Log'!$C:$C,B3))</x:f>
        <x:v>0</x:v>
      </x:c>
      <x:c r="F3" s="136" t="n">
        <x:f>IF(OR(A3="",B3=""),"",SUMIFS('13_Labor_Time'!$J:$J,'13_Labor_Time'!$B:$B,"&gt;="&amp;A3,'13_Labor_Time'!$B:$B,"&lt;"&amp;EOMONTH(A3,0)+1,'13_Labor_Time'!$C:$C,B3))</x:f>
        <x:v>0</x:v>
      </x:c>
      <x:c r="G3" s="70" t="n">
        <x:f>IF(OR(A3="",B3=""),"",SUMIFS('14_Materials_Log'!$I:$I,'14_Materials_Log'!$B:$B,"&gt;="&amp;A3,'14_Materials_Log'!$B:$B,"&lt;"&amp;EOMONTH(A3,0)+1,'14_Materials_Log'!$C:$C,B3))</x:f>
        <x:v>0</x:v>
      </x:c>
      <x:c r="H3" s="70" t="n">
        <x:f>IF(OR(A3="",B3=""),"",SUMIFS('15_Equipment_Log'!$M:$M,'15_Equipment_Log'!$B:$B,"&gt;="&amp;A3,'15_Equipment_Log'!$B:$B,"&lt;"&amp;EOMONTH(A3,0)+1,'15_Equipment_Log'!$C:$C,B3))</x:f>
        <x:v>0</x:v>
      </x:c>
      <x:c r="I3" s="70" t="n">
        <x:f>IF(OR(A3="",B3=""),"",SUMIFS('12_Production_Log'!$M:$M,'12_Production_Log'!$B:$B,"&gt;="&amp;A3,'12_Production_Log'!$B:$B,"&lt;"&amp;EOMONTH(A3,0)+1,'12_Production_Log'!$C:$C,B3)+SUMIFS('14_Materials_Log'!$I:$I,'14_Materials_Log'!$B:$B,"&gt;="&amp;A3,'14_Materials_Log'!$B:$B,"&lt;"&amp;EOMONTH(A3,0)+1,'14_Materials_Log'!$C:$C,B3,'14_Materials_Log'!$J:$J,"Yes"))</x:f>
        <x:v>0</x:v>
      </x:c>
      <x:c r="J3" s="70" t="n">
        <x:f>IF(OR(A3="",B3=""),"",SUMIFS('13_Labor_Time'!$L:$L,'13_Labor_Time'!$B:$B,"&gt;="&amp;A3,'13_Labor_Time'!$B:$B,"&lt;"&amp;EOMONTH(A3,0)+1,'13_Labor_Time'!$C:$C,B3))</x:f>
        <x:v>0</x:v>
      </x:c>
      <x:c r="K3" s="70" t="str">
        <x:f>IF(OR(I3="",G3="",H3="",J3=""),"",I3-G3-H3-J3)</x:f>
      </x:c>
      <x:c r="L3" s="140" t="str">
        <x:f>IF(C3=0,"",COUNTIFS('11_Intake_Daily'!$C:$C,"&gt;="&amp;A3,'11_Intake_Daily'!$C:$C,"&lt;"&amp;EOMONTH(A3,0)+1,'11_Intake_Daily'!$D:$D,B3,'11_Intake_Daily'!$AA:$AA,"Yes")/C3)</x:f>
      </x:c>
    </x:row>
    <x:row r="4" ht="20" customHeight="1">
      <x:c r="A4" s="28" t="n">
        <x:v>46174</x:v>
      </x:c>
      <x:c r="B4" s="15" t="str">
        <x:v>PRJ-1003</x:v>
      </x:c>
      <x:c r="C4" s="15" t="n">
        <x:f>IF(OR(A4="",B4=""),"",COUNTIFS('11_Intake_Daily'!$C:$C,"&gt;="&amp;A4,'11_Intake_Daily'!$C:$C,"&lt;"&amp;EOMONTH(A4,0)+1,'11_Intake_Daily'!$D:$D,B4))</x:f>
        <x:v>0</x:v>
      </x:c>
      <x:c r="D4" s="15" t="n">
        <x:f>IF(OR(A4="",B4=""),"",COUNTIFS('20_Proof_Queue'!$B:$B,"&gt;="&amp;A4,'20_Proof_Queue'!$B:$B,"&lt;"&amp;EOMONTH(A4,0)+1,'20_Proof_Queue'!$C:$C,B4,'20_Proof_Queue'!$H:$H,"&lt;&gt;Closed"))</x:f>
        <x:v>0</x:v>
      </x:c>
      <x:c r="E4" s="138" t="n">
        <x:f>IF(OR(A4="",B4=""),"",SUMIFS('12_Production_Log'!$H:$H,'12_Production_Log'!$B:$B,"&gt;="&amp;A4,'12_Production_Log'!$B:$B,"&lt;"&amp;EOMONTH(A4,0)+1,'12_Production_Log'!$C:$C,B4))</x:f>
        <x:v>0</x:v>
      </x:c>
      <x:c r="F4" s="136" t="n">
        <x:f>IF(OR(A4="",B4=""),"",SUMIFS('13_Labor_Time'!$J:$J,'13_Labor_Time'!$B:$B,"&gt;="&amp;A4,'13_Labor_Time'!$B:$B,"&lt;"&amp;EOMONTH(A4,0)+1,'13_Labor_Time'!$C:$C,B4))</x:f>
        <x:v>0</x:v>
      </x:c>
      <x:c r="G4" s="70" t="n">
        <x:f>IF(OR(A4="",B4=""),"",SUMIFS('14_Materials_Log'!$I:$I,'14_Materials_Log'!$B:$B,"&gt;="&amp;A4,'14_Materials_Log'!$B:$B,"&lt;"&amp;EOMONTH(A4,0)+1,'14_Materials_Log'!$C:$C,B4))</x:f>
        <x:v>0</x:v>
      </x:c>
      <x:c r="H4" s="70" t="n">
        <x:f>IF(OR(A4="",B4=""),"",SUMIFS('15_Equipment_Log'!$M:$M,'15_Equipment_Log'!$B:$B,"&gt;="&amp;A4,'15_Equipment_Log'!$B:$B,"&lt;"&amp;EOMONTH(A4,0)+1,'15_Equipment_Log'!$C:$C,B4))</x:f>
        <x:v>0</x:v>
      </x:c>
      <x:c r="I4" s="70" t="n">
        <x:f>IF(OR(A4="",B4=""),"",SUMIFS('12_Production_Log'!$M:$M,'12_Production_Log'!$B:$B,"&gt;="&amp;A4,'12_Production_Log'!$B:$B,"&lt;"&amp;EOMONTH(A4,0)+1,'12_Production_Log'!$C:$C,B4)+SUMIFS('14_Materials_Log'!$I:$I,'14_Materials_Log'!$B:$B,"&gt;="&amp;A4,'14_Materials_Log'!$B:$B,"&lt;"&amp;EOMONTH(A4,0)+1,'14_Materials_Log'!$C:$C,B4,'14_Materials_Log'!$J:$J,"Yes"))</x:f>
        <x:v>0</x:v>
      </x:c>
      <x:c r="J4" s="70" t="n">
        <x:f>IF(OR(A4="",B4=""),"",SUMIFS('13_Labor_Time'!$L:$L,'13_Labor_Time'!$B:$B,"&gt;="&amp;A4,'13_Labor_Time'!$B:$B,"&lt;"&amp;EOMONTH(A4,0)+1,'13_Labor_Time'!$C:$C,B4))</x:f>
        <x:v>0</x:v>
      </x:c>
      <x:c r="K4" s="70" t="str">
        <x:f>IF(OR(I4="",G4="",H4="",J4=""),"",I4-G4-H4-J4)</x:f>
      </x:c>
      <x:c r="L4" s="140" t="str">
        <x:f>IF(C4=0,"",COUNTIFS('11_Intake_Daily'!$C:$C,"&gt;="&amp;A4,'11_Intake_Daily'!$C:$C,"&lt;"&amp;EOMONTH(A4,0)+1,'11_Intake_Daily'!$D:$D,B4,'11_Intake_Daily'!$AA:$AA,"Yes")/C4)</x:f>
      </x:c>
    </x:row>
    <x:row r="5" ht="20" customHeight="1">
      <x:c r="A5" s="28" t="n">
        <x:v>46204</x:v>
      </x:c>
      <x:c r="B5" s="15" t="str">
        <x:v>PRJ-1001</x:v>
      </x:c>
      <x:c r="C5" s="15" t="n">
        <x:f>IF(OR(A5="",B5=""),"",COUNTIFS('11_Intake_Daily'!$C:$C,"&gt;="&amp;A5,'11_Intake_Daily'!$C:$C,"&lt;"&amp;EOMONTH(A5,0)+1,'11_Intake_Daily'!$D:$D,B5))</x:f>
        <x:v>3</x:v>
      </x:c>
      <x:c r="D5" s="15" t="n">
        <x:f>IF(OR(A5="",B5=""),"",COUNTIFS('20_Proof_Queue'!$B:$B,"&gt;="&amp;A5,'20_Proof_Queue'!$B:$B,"&lt;"&amp;EOMONTH(A5,0)+1,'20_Proof_Queue'!$C:$C,B5,'20_Proof_Queue'!$H:$H,"&lt;&gt;Closed"))</x:f>
        <x:v>2</x:v>
      </x:c>
      <x:c r="E5" s="138" t="n">
        <x:f>IF(OR(A5="",B5=""),"",SUMIFS('12_Production_Log'!$H:$H,'12_Production_Log'!$B:$B,"&gt;="&amp;A5,'12_Production_Log'!$B:$B,"&lt;"&amp;EOMONTH(A5,0)+1,'12_Production_Log'!$C:$C,B5))</x:f>
        <x:v>2970</x:v>
      </x:c>
      <x:c r="F5" s="136" t="n">
        <x:f>IF(OR(A5="",B5=""),"",SUMIFS('13_Labor_Time'!$J:$J,'13_Labor_Time'!$B:$B,"&gt;="&amp;A5,'13_Labor_Time'!$B:$B,"&lt;"&amp;EOMONTH(A5,0)+1,'13_Labor_Time'!$C:$C,B5))</x:f>
        <x:v>44.5</x:v>
      </x:c>
      <x:c r="G5" s="70" t="n">
        <x:f>IF(OR(A5="",B5=""),"",SUMIFS('14_Materials_Log'!$I:$I,'14_Materials_Log'!$B:$B,"&gt;="&amp;A5,'14_Materials_Log'!$B:$B,"&lt;"&amp;EOMONTH(A5,0)+1,'14_Materials_Log'!$C:$C,B5))</x:f>
        <x:v>1761</x:v>
      </x:c>
      <x:c r="H5" s="70" t="n">
        <x:f>IF(OR(A5="",B5=""),"",SUMIFS('15_Equipment_Log'!$M:$M,'15_Equipment_Log'!$B:$B,"&gt;="&amp;A5,'15_Equipment_Log'!$B:$B,"&lt;"&amp;EOMONTH(A5,0)+1,'15_Equipment_Log'!$C:$C,B5))</x:f>
        <x:v>2404.5</x:v>
      </x:c>
      <x:c r="I5" s="70" t="n">
        <x:f>IF(OR(A5="",B5=""),"",SUMIFS('12_Production_Log'!$M:$M,'12_Production_Log'!$B:$B,"&gt;="&amp;A5,'12_Production_Log'!$B:$B,"&lt;"&amp;EOMONTH(A5,0)+1,'12_Production_Log'!$C:$C,B5)+SUMIFS('14_Materials_Log'!$I:$I,'14_Materials_Log'!$B:$B,"&gt;="&amp;A5,'14_Materials_Log'!$B:$B,"&lt;"&amp;EOMONTH(A5,0)+1,'14_Materials_Log'!$C:$C,B5,'14_Materials_Log'!$J:$J,"Yes"))</x:f>
        <x:v>31326</x:v>
      </x:c>
      <x:c r="J5" s="70" t="n">
        <x:f>IF(OR(A5="",B5=""),"",SUMIFS('13_Labor_Time'!$L:$L,'13_Labor_Time'!$B:$B,"&gt;="&amp;A5,'13_Labor_Time'!$B:$B,"&lt;"&amp;EOMONTH(A5,0)+1,'13_Labor_Time'!$C:$C,B5))</x:f>
        <x:v>1566</x:v>
      </x:c>
      <x:c r="K5" s="70" t="n">
        <x:f>IF(OR(I5="",G5="",H5="",J5=""),"",I5-G5-H5-J5)</x:f>
        <x:v>25594.5</x:v>
      </x:c>
      <x:c r="L5" s="140" t="n">
        <x:f>IF(C5=0,"",COUNTIFS('11_Intake_Daily'!$C:$C,"&gt;="&amp;A5,'11_Intake_Daily'!$C:$C,"&lt;"&amp;EOMONTH(A5,0)+1,'11_Intake_Daily'!$D:$D,B5,'11_Intake_Daily'!$AA:$AA,"Yes")/C5)</x:f>
        <x:v>0.6666666666666666</x:v>
      </x:c>
    </x:row>
    <x:row r="6" ht="20" customHeight="1">
      <x:c r="A6" s="28" t="n">
        <x:v>46204</x:v>
      </x:c>
      <x:c r="B6" s="15" t="str">
        <x:v>PRJ-1002</x:v>
      </x:c>
      <x:c r="C6" s="15" t="n">
        <x:f>IF(OR(A6="",B6=""),"",COUNTIFS('11_Intake_Daily'!$C:$C,"&gt;="&amp;A6,'11_Intake_Daily'!$C:$C,"&lt;"&amp;EOMONTH(A6,0)+1,'11_Intake_Daily'!$D:$D,B6))</x:f>
        <x:v>1</x:v>
      </x:c>
      <x:c r="D6" s="15" t="n">
        <x:f>IF(OR(A6="",B6=""),"",COUNTIFS('20_Proof_Queue'!$B:$B,"&gt;="&amp;A6,'20_Proof_Queue'!$B:$B,"&lt;"&amp;EOMONTH(A6,0)+1,'20_Proof_Queue'!$C:$C,B6,'20_Proof_Queue'!$H:$H,"&lt;&gt;Closed"))</x:f>
        <x:v>1</x:v>
      </x:c>
      <x:c r="E6" s="138" t="n">
        <x:f>IF(OR(A6="",B6=""),"",SUMIFS('12_Production_Log'!$H:$H,'12_Production_Log'!$B:$B,"&gt;="&amp;A6,'12_Production_Log'!$B:$B,"&lt;"&amp;EOMONTH(A6,0)+1,'12_Production_Log'!$C:$C,B6))</x:f>
        <x:v>4</x:v>
      </x:c>
      <x:c r="F6" s="136" t="n">
        <x:f>IF(OR(A6="",B6=""),"",SUMIFS('13_Labor_Time'!$J:$J,'13_Labor_Time'!$B:$B,"&gt;="&amp;A6,'13_Labor_Time'!$B:$B,"&lt;"&amp;EOMONTH(A6,0)+1,'13_Labor_Time'!$C:$C,B6))</x:f>
        <x:v>7</x:v>
      </x:c>
      <x:c r="G6" s="70" t="n">
        <x:f>IF(OR(A6="",B6=""),"",SUMIFS('14_Materials_Log'!$I:$I,'14_Materials_Log'!$B:$B,"&gt;="&amp;A6,'14_Materials_Log'!$B:$B,"&lt;"&amp;EOMONTH(A6,0)+1,'14_Materials_Log'!$C:$C,B6))</x:f>
        <x:v>0</x:v>
      </x:c>
      <x:c r="H6" s="70" t="n">
        <x:f>IF(OR(A6="",B6=""),"",SUMIFS('15_Equipment_Log'!$M:$M,'15_Equipment_Log'!$B:$B,"&gt;="&amp;A6,'15_Equipment_Log'!$B:$B,"&lt;"&amp;EOMONTH(A6,0)+1,'15_Equipment_Log'!$C:$C,B6))</x:f>
        <x:v>0</x:v>
      </x:c>
      <x:c r="I6" s="70" t="n">
        <x:f>IF(OR(A6="",B6=""),"",SUMIFS('12_Production_Log'!$M:$M,'12_Production_Log'!$B:$B,"&gt;="&amp;A6,'12_Production_Log'!$B:$B,"&lt;"&amp;EOMONTH(A6,0)+1,'12_Production_Log'!$C:$C,B6)+SUMIFS('14_Materials_Log'!$I:$I,'14_Materials_Log'!$B:$B,"&gt;="&amp;A6,'14_Materials_Log'!$B:$B,"&lt;"&amp;EOMONTH(A6,0)+1,'14_Materials_Log'!$C:$C,B6,'14_Materials_Log'!$J:$J,"Yes"))</x:f>
        <x:v>740</x:v>
      </x:c>
      <x:c r="J6" s="70" t="n">
        <x:f>IF(OR(A6="",B6=""),"",SUMIFS('13_Labor_Time'!$L:$L,'13_Labor_Time'!$B:$B,"&gt;="&amp;A6,'13_Labor_Time'!$B:$B,"&lt;"&amp;EOMONTH(A6,0)+1,'13_Labor_Time'!$C:$C,B6))</x:f>
        <x:v>308</x:v>
      </x:c>
      <x:c r="K6" s="70" t="str">
        <x:f>IF(OR(I6="",G6="",H6="",J6=""),"",I6-G6-H6-J6)</x:f>
      </x:c>
      <x:c r="L6" s="140" t="n">
        <x:f>IF(C6=0,"",COUNTIFS('11_Intake_Daily'!$C:$C,"&gt;="&amp;A6,'11_Intake_Daily'!$C:$C,"&lt;"&amp;EOMONTH(A6,0)+1,'11_Intake_Daily'!$D:$D,B6,'11_Intake_Daily'!$AA:$AA,"Yes")/C6)</x:f>
        <x:v>0</x:v>
      </x:c>
    </x:row>
    <x:row r="7" ht="20" customHeight="1">
      <x:c r="A7" s="28" t="n">
        <x:v>46204</x:v>
      </x:c>
      <x:c r="B7" s="15" t="str">
        <x:v>PRJ-1003</x:v>
      </x:c>
      <x:c r="C7" s="15" t="n">
        <x:f>IF(OR(A7="",B7=""),"",COUNTIFS('11_Intake_Daily'!$C:$C,"&gt;="&amp;A7,'11_Intake_Daily'!$C:$C,"&lt;"&amp;EOMONTH(A7,0)+1,'11_Intake_Daily'!$D:$D,B7))</x:f>
        <x:v>0</x:v>
      </x:c>
      <x:c r="D7" s="15" t="n">
        <x:f>IF(OR(A7="",B7=""),"",COUNTIFS('20_Proof_Queue'!$B:$B,"&gt;="&amp;A7,'20_Proof_Queue'!$B:$B,"&lt;"&amp;EOMONTH(A7,0)+1,'20_Proof_Queue'!$C:$C,B7,'20_Proof_Queue'!$H:$H,"&lt;&gt;Closed"))</x:f>
        <x:v>0</x:v>
      </x:c>
      <x:c r="E7" s="138" t="n">
        <x:f>IF(OR(A7="",B7=""),"",SUMIFS('12_Production_Log'!$H:$H,'12_Production_Log'!$B:$B,"&gt;="&amp;A7,'12_Production_Log'!$B:$B,"&lt;"&amp;EOMONTH(A7,0)+1,'12_Production_Log'!$C:$C,B7))</x:f>
        <x:v>0</x:v>
      </x:c>
      <x:c r="F7" s="136" t="n">
        <x:f>IF(OR(A7="",B7=""),"",SUMIFS('13_Labor_Time'!$J:$J,'13_Labor_Time'!$B:$B,"&gt;="&amp;A7,'13_Labor_Time'!$B:$B,"&lt;"&amp;EOMONTH(A7,0)+1,'13_Labor_Time'!$C:$C,B7))</x:f>
        <x:v>0</x:v>
      </x:c>
      <x:c r="G7" s="70" t="n">
        <x:f>IF(OR(A7="",B7=""),"",SUMIFS('14_Materials_Log'!$I:$I,'14_Materials_Log'!$B:$B,"&gt;="&amp;A7,'14_Materials_Log'!$B:$B,"&lt;"&amp;EOMONTH(A7,0)+1,'14_Materials_Log'!$C:$C,B7))</x:f>
        <x:v>0</x:v>
      </x:c>
      <x:c r="H7" s="70" t="n">
        <x:f>IF(OR(A7="",B7=""),"",SUMIFS('15_Equipment_Log'!$M:$M,'15_Equipment_Log'!$B:$B,"&gt;="&amp;A7,'15_Equipment_Log'!$B:$B,"&lt;"&amp;EOMONTH(A7,0)+1,'15_Equipment_Log'!$C:$C,B7))</x:f>
        <x:v>0</x:v>
      </x:c>
      <x:c r="I7" s="70" t="n">
        <x:f>IF(OR(A7="",B7=""),"",SUMIFS('12_Production_Log'!$M:$M,'12_Production_Log'!$B:$B,"&gt;="&amp;A7,'12_Production_Log'!$B:$B,"&lt;"&amp;EOMONTH(A7,0)+1,'12_Production_Log'!$C:$C,B7)+SUMIFS('14_Materials_Log'!$I:$I,'14_Materials_Log'!$B:$B,"&gt;="&amp;A7,'14_Materials_Log'!$B:$B,"&lt;"&amp;EOMONTH(A7,0)+1,'14_Materials_Log'!$C:$C,B7,'14_Materials_Log'!$J:$J,"Yes"))</x:f>
        <x:v>0</x:v>
      </x:c>
      <x:c r="J7" s="70" t="n">
        <x:f>IF(OR(A7="",B7=""),"",SUMIFS('13_Labor_Time'!$L:$L,'13_Labor_Time'!$B:$B,"&gt;="&amp;A7,'13_Labor_Time'!$B:$B,"&lt;"&amp;EOMONTH(A7,0)+1,'13_Labor_Time'!$C:$C,B7))</x:f>
        <x:v>0</x:v>
      </x:c>
      <x:c r="K7" s="70" t="str">
        <x:f>IF(OR(I7="",G7="",H7="",J7=""),"",I7-G7-H7-J7)</x:f>
      </x:c>
      <x:c r="L7" s="140" t="str">
        <x:f>IF(C7=0,"",COUNTIFS('11_Intake_Daily'!$C:$C,"&gt;="&amp;A7,'11_Intake_Daily'!$C:$C,"&lt;"&amp;EOMONTH(A7,0)+1,'11_Intake_Daily'!$D:$D,B7,'11_Intake_Daily'!$AA:$AA,"Yes")/C7)</x:f>
      </x:c>
    </x:row>
    <x:row r="8" ht="20" customHeight="1">
      <x:c r="A8" s="28" t="n">
        <x:v>46235</x:v>
      </x:c>
      <x:c r="B8" s="15" t="str">
        <x:v>PRJ-1001</x:v>
      </x:c>
      <x:c r="C8" s="15" t="n">
        <x:f>IF(OR(A8="",B8=""),"",COUNTIFS('11_Intake_Daily'!$C:$C,"&gt;="&amp;A8,'11_Intake_Daily'!$C:$C,"&lt;"&amp;EOMONTH(A8,0)+1,'11_Intake_Daily'!$D:$D,B8))</x:f>
        <x:v>0</x:v>
      </x:c>
      <x:c r="D8" s="15" t="n">
        <x:f>IF(OR(A8="",B8=""),"",COUNTIFS('20_Proof_Queue'!$B:$B,"&gt;="&amp;A8,'20_Proof_Queue'!$B:$B,"&lt;"&amp;EOMONTH(A8,0)+1,'20_Proof_Queue'!$C:$C,B8,'20_Proof_Queue'!$H:$H,"&lt;&gt;Closed"))</x:f>
        <x:v>0</x:v>
      </x:c>
      <x:c r="E8" s="138" t="n">
        <x:f>IF(OR(A8="",B8=""),"",SUMIFS('12_Production_Log'!$H:$H,'12_Production_Log'!$B:$B,"&gt;="&amp;A8,'12_Production_Log'!$B:$B,"&lt;"&amp;EOMONTH(A8,0)+1,'12_Production_Log'!$C:$C,B8))</x:f>
        <x:v>0</x:v>
      </x:c>
      <x:c r="F8" s="136" t="n">
        <x:f>IF(OR(A8="",B8=""),"",SUMIFS('13_Labor_Time'!$J:$J,'13_Labor_Time'!$B:$B,"&gt;="&amp;A8,'13_Labor_Time'!$B:$B,"&lt;"&amp;EOMONTH(A8,0)+1,'13_Labor_Time'!$C:$C,B8))</x:f>
        <x:v>0</x:v>
      </x:c>
      <x:c r="G8" s="70" t="n">
        <x:f>IF(OR(A8="",B8=""),"",SUMIFS('14_Materials_Log'!$I:$I,'14_Materials_Log'!$B:$B,"&gt;="&amp;A8,'14_Materials_Log'!$B:$B,"&lt;"&amp;EOMONTH(A8,0)+1,'14_Materials_Log'!$C:$C,B8))</x:f>
        <x:v>0</x:v>
      </x:c>
      <x:c r="H8" s="70" t="n">
        <x:f>IF(OR(A8="",B8=""),"",SUMIFS('15_Equipment_Log'!$M:$M,'15_Equipment_Log'!$B:$B,"&gt;="&amp;A8,'15_Equipment_Log'!$B:$B,"&lt;"&amp;EOMONTH(A8,0)+1,'15_Equipment_Log'!$C:$C,B8))</x:f>
        <x:v>0</x:v>
      </x:c>
      <x:c r="I8" s="70" t="n">
        <x:f>IF(OR(A8="",B8=""),"",SUMIFS('12_Production_Log'!$M:$M,'12_Production_Log'!$B:$B,"&gt;="&amp;A8,'12_Production_Log'!$B:$B,"&lt;"&amp;EOMONTH(A8,0)+1,'12_Production_Log'!$C:$C,B8)+SUMIFS('14_Materials_Log'!$I:$I,'14_Materials_Log'!$B:$B,"&gt;="&amp;A8,'14_Materials_Log'!$B:$B,"&lt;"&amp;EOMONTH(A8,0)+1,'14_Materials_Log'!$C:$C,B8,'14_Materials_Log'!$J:$J,"Yes"))</x:f>
        <x:v>0</x:v>
      </x:c>
      <x:c r="J8" s="70" t="n">
        <x:f>IF(OR(A8="",B8=""),"",SUMIFS('13_Labor_Time'!$L:$L,'13_Labor_Time'!$B:$B,"&gt;="&amp;A8,'13_Labor_Time'!$B:$B,"&lt;"&amp;EOMONTH(A8,0)+1,'13_Labor_Time'!$C:$C,B8))</x:f>
        <x:v>0</x:v>
      </x:c>
      <x:c r="K8" s="70" t="str">
        <x:f>IF(OR(I8="",G8="",H8="",J8=""),"",I8-G8-H8-J8)</x:f>
      </x:c>
      <x:c r="L8" s="140" t="str">
        <x:f>IF(C8=0,"",COUNTIFS('11_Intake_Daily'!$C:$C,"&gt;="&amp;A8,'11_Intake_Daily'!$C:$C,"&lt;"&amp;EOMONTH(A8,0)+1,'11_Intake_Daily'!$D:$D,B8,'11_Intake_Daily'!$AA:$AA,"Yes")/C8)</x:f>
      </x:c>
    </x:row>
    <x:row r="9" ht="20" customHeight="1">
      <x:c r="A9" s="28" t="n">
        <x:v>46235</x:v>
      </x:c>
      <x:c r="B9" s="15" t="str">
        <x:v>PRJ-1002</x:v>
      </x:c>
      <x:c r="C9" s="15" t="n">
        <x:f>IF(OR(A9="",B9=""),"",COUNTIFS('11_Intake_Daily'!$C:$C,"&gt;="&amp;A9,'11_Intake_Daily'!$C:$C,"&lt;"&amp;EOMONTH(A9,0)+1,'11_Intake_Daily'!$D:$D,B9))</x:f>
        <x:v>0</x:v>
      </x:c>
      <x:c r="D9" s="15" t="n">
        <x:f>IF(OR(A9="",B9=""),"",COUNTIFS('20_Proof_Queue'!$B:$B,"&gt;="&amp;A9,'20_Proof_Queue'!$B:$B,"&lt;"&amp;EOMONTH(A9,0)+1,'20_Proof_Queue'!$C:$C,B9,'20_Proof_Queue'!$H:$H,"&lt;&gt;Closed"))</x:f>
        <x:v>0</x:v>
      </x:c>
      <x:c r="E9" s="138" t="n">
        <x:f>IF(OR(A9="",B9=""),"",SUMIFS('12_Production_Log'!$H:$H,'12_Production_Log'!$B:$B,"&gt;="&amp;A9,'12_Production_Log'!$B:$B,"&lt;"&amp;EOMONTH(A9,0)+1,'12_Production_Log'!$C:$C,B9))</x:f>
        <x:v>0</x:v>
      </x:c>
      <x:c r="F9" s="136" t="n">
        <x:f>IF(OR(A9="",B9=""),"",SUMIFS('13_Labor_Time'!$J:$J,'13_Labor_Time'!$B:$B,"&gt;="&amp;A9,'13_Labor_Time'!$B:$B,"&lt;"&amp;EOMONTH(A9,0)+1,'13_Labor_Time'!$C:$C,B9))</x:f>
        <x:v>0</x:v>
      </x:c>
      <x:c r="G9" s="70" t="n">
        <x:f>IF(OR(A9="",B9=""),"",SUMIFS('14_Materials_Log'!$I:$I,'14_Materials_Log'!$B:$B,"&gt;="&amp;A9,'14_Materials_Log'!$B:$B,"&lt;"&amp;EOMONTH(A9,0)+1,'14_Materials_Log'!$C:$C,B9))</x:f>
        <x:v>0</x:v>
      </x:c>
      <x:c r="H9" s="70" t="n">
        <x:f>IF(OR(A9="",B9=""),"",SUMIFS('15_Equipment_Log'!$M:$M,'15_Equipment_Log'!$B:$B,"&gt;="&amp;A9,'15_Equipment_Log'!$B:$B,"&lt;"&amp;EOMONTH(A9,0)+1,'15_Equipment_Log'!$C:$C,B9))</x:f>
        <x:v>0</x:v>
      </x:c>
      <x:c r="I9" s="70" t="n">
        <x:f>IF(OR(A9="",B9=""),"",SUMIFS('12_Production_Log'!$M:$M,'12_Production_Log'!$B:$B,"&gt;="&amp;A9,'12_Production_Log'!$B:$B,"&lt;"&amp;EOMONTH(A9,0)+1,'12_Production_Log'!$C:$C,B9)+SUMIFS('14_Materials_Log'!$I:$I,'14_Materials_Log'!$B:$B,"&gt;="&amp;A9,'14_Materials_Log'!$B:$B,"&lt;"&amp;EOMONTH(A9,0)+1,'14_Materials_Log'!$C:$C,B9,'14_Materials_Log'!$J:$J,"Yes"))</x:f>
        <x:v>0</x:v>
      </x:c>
      <x:c r="J9" s="70" t="n">
        <x:f>IF(OR(A9="",B9=""),"",SUMIFS('13_Labor_Time'!$L:$L,'13_Labor_Time'!$B:$B,"&gt;="&amp;A9,'13_Labor_Time'!$B:$B,"&lt;"&amp;EOMONTH(A9,0)+1,'13_Labor_Time'!$C:$C,B9))</x:f>
        <x:v>0</x:v>
      </x:c>
      <x:c r="K9" s="70" t="str">
        <x:f>IF(OR(I9="",G9="",H9="",J9=""),"",I9-G9-H9-J9)</x:f>
      </x:c>
      <x:c r="L9" s="140" t="str">
        <x:f>IF(C9=0,"",COUNTIFS('11_Intake_Daily'!$C:$C,"&gt;="&amp;A9,'11_Intake_Daily'!$C:$C,"&lt;"&amp;EOMONTH(A9,0)+1,'11_Intake_Daily'!$D:$D,B9,'11_Intake_Daily'!$AA:$AA,"Yes")/C9)</x:f>
      </x:c>
    </x:row>
    <x:row r="10" ht="20" customHeight="1">
      <x:c r="A10" s="28" t="n">
        <x:v>46235</x:v>
      </x:c>
      <x:c r="B10" s="15" t="str">
        <x:v>PRJ-1003</x:v>
      </x:c>
      <x:c r="C10" s="15" t="n">
        <x:f>IF(OR(A10="",B10=""),"",COUNTIFS('11_Intake_Daily'!$C:$C,"&gt;="&amp;A10,'11_Intake_Daily'!$C:$C,"&lt;"&amp;EOMONTH(A10,0)+1,'11_Intake_Daily'!$D:$D,B10))</x:f>
        <x:v>0</x:v>
      </x:c>
      <x:c r="D10" s="15" t="n">
        <x:f>IF(OR(A10="",B10=""),"",COUNTIFS('20_Proof_Queue'!$B:$B,"&gt;="&amp;A10,'20_Proof_Queue'!$B:$B,"&lt;"&amp;EOMONTH(A10,0)+1,'20_Proof_Queue'!$C:$C,B10,'20_Proof_Queue'!$H:$H,"&lt;&gt;Closed"))</x:f>
        <x:v>0</x:v>
      </x:c>
      <x:c r="E10" s="138" t="n">
        <x:f>IF(OR(A10="",B10=""),"",SUMIFS('12_Production_Log'!$H:$H,'12_Production_Log'!$B:$B,"&gt;="&amp;A10,'12_Production_Log'!$B:$B,"&lt;"&amp;EOMONTH(A10,0)+1,'12_Production_Log'!$C:$C,B10))</x:f>
        <x:v>0</x:v>
      </x:c>
      <x:c r="F10" s="136" t="n">
        <x:f>IF(OR(A10="",B10=""),"",SUMIFS('13_Labor_Time'!$J:$J,'13_Labor_Time'!$B:$B,"&gt;="&amp;A10,'13_Labor_Time'!$B:$B,"&lt;"&amp;EOMONTH(A10,0)+1,'13_Labor_Time'!$C:$C,B10))</x:f>
        <x:v>0</x:v>
      </x:c>
      <x:c r="G10" s="70" t="n">
        <x:f>IF(OR(A10="",B10=""),"",SUMIFS('14_Materials_Log'!$I:$I,'14_Materials_Log'!$B:$B,"&gt;="&amp;A10,'14_Materials_Log'!$B:$B,"&lt;"&amp;EOMONTH(A10,0)+1,'14_Materials_Log'!$C:$C,B10))</x:f>
        <x:v>0</x:v>
      </x:c>
      <x:c r="H10" s="70" t="n">
        <x:f>IF(OR(A10="",B10=""),"",SUMIFS('15_Equipment_Log'!$M:$M,'15_Equipment_Log'!$B:$B,"&gt;="&amp;A10,'15_Equipment_Log'!$B:$B,"&lt;"&amp;EOMONTH(A10,0)+1,'15_Equipment_Log'!$C:$C,B10))</x:f>
        <x:v>0</x:v>
      </x:c>
      <x:c r="I10" s="70" t="n">
        <x:f>IF(OR(A10="",B10=""),"",SUMIFS('12_Production_Log'!$M:$M,'12_Production_Log'!$B:$B,"&gt;="&amp;A10,'12_Production_Log'!$B:$B,"&lt;"&amp;EOMONTH(A10,0)+1,'12_Production_Log'!$C:$C,B10)+SUMIFS('14_Materials_Log'!$I:$I,'14_Materials_Log'!$B:$B,"&gt;="&amp;A10,'14_Materials_Log'!$B:$B,"&lt;"&amp;EOMONTH(A10,0)+1,'14_Materials_Log'!$C:$C,B10,'14_Materials_Log'!$J:$J,"Yes"))</x:f>
        <x:v>0</x:v>
      </x:c>
      <x:c r="J10" s="70" t="n">
        <x:f>IF(OR(A10="",B10=""),"",SUMIFS('13_Labor_Time'!$L:$L,'13_Labor_Time'!$B:$B,"&gt;="&amp;A10,'13_Labor_Time'!$B:$B,"&lt;"&amp;EOMONTH(A10,0)+1,'13_Labor_Time'!$C:$C,B10))</x:f>
        <x:v>0</x:v>
      </x:c>
      <x:c r="K10" s="70" t="str">
        <x:f>IF(OR(I10="",G10="",H10="",J10=""),"",I10-G10-H10-J10)</x:f>
      </x:c>
      <x:c r="L10" s="140" t="str">
        <x:f>IF(C10=0,"",COUNTIFS('11_Intake_Daily'!$C:$C,"&gt;="&amp;A10,'11_Intake_Daily'!$C:$C,"&lt;"&amp;EOMONTH(A10,0)+1,'11_Intake_Daily'!$D:$D,B10,'11_Intake_Daily'!$AA:$AA,"Yes")/C10)</x:f>
      </x:c>
    </x:row>
    <x:row r="11" ht="20" customHeight="1">
      <x:c r="A11" s="28" t="n">
        <x:v>46266</x:v>
      </x:c>
      <x:c r="B11" s="15" t="str">
        <x:v>PRJ-1001</x:v>
      </x:c>
      <x:c r="C11" s="15" t="n">
        <x:f>IF(OR(A11="",B11=""),"",COUNTIFS('11_Intake_Daily'!$C:$C,"&gt;="&amp;A11,'11_Intake_Daily'!$C:$C,"&lt;"&amp;EOMONTH(A11,0)+1,'11_Intake_Daily'!$D:$D,B11))</x:f>
        <x:v>0</x:v>
      </x:c>
      <x:c r="D11" s="15" t="n">
        <x:f>IF(OR(A11="",B11=""),"",COUNTIFS('20_Proof_Queue'!$B:$B,"&gt;="&amp;A11,'20_Proof_Queue'!$B:$B,"&lt;"&amp;EOMONTH(A11,0)+1,'20_Proof_Queue'!$C:$C,B11,'20_Proof_Queue'!$H:$H,"&lt;&gt;Closed"))</x:f>
        <x:v>0</x:v>
      </x:c>
      <x:c r="E11" s="138" t="n">
        <x:f>IF(OR(A11="",B11=""),"",SUMIFS('12_Production_Log'!$H:$H,'12_Production_Log'!$B:$B,"&gt;="&amp;A11,'12_Production_Log'!$B:$B,"&lt;"&amp;EOMONTH(A11,0)+1,'12_Production_Log'!$C:$C,B11))</x:f>
        <x:v>0</x:v>
      </x:c>
      <x:c r="F11" s="136" t="n">
        <x:f>IF(OR(A11="",B11=""),"",SUMIFS('13_Labor_Time'!$J:$J,'13_Labor_Time'!$B:$B,"&gt;="&amp;A11,'13_Labor_Time'!$B:$B,"&lt;"&amp;EOMONTH(A11,0)+1,'13_Labor_Time'!$C:$C,B11))</x:f>
        <x:v>0</x:v>
      </x:c>
      <x:c r="G11" s="70" t="n">
        <x:f>IF(OR(A11="",B11=""),"",SUMIFS('14_Materials_Log'!$I:$I,'14_Materials_Log'!$B:$B,"&gt;="&amp;A11,'14_Materials_Log'!$B:$B,"&lt;"&amp;EOMONTH(A11,0)+1,'14_Materials_Log'!$C:$C,B11))</x:f>
        <x:v>0</x:v>
      </x:c>
      <x:c r="H11" s="70" t="n">
        <x:f>IF(OR(A11="",B11=""),"",SUMIFS('15_Equipment_Log'!$M:$M,'15_Equipment_Log'!$B:$B,"&gt;="&amp;A11,'15_Equipment_Log'!$B:$B,"&lt;"&amp;EOMONTH(A11,0)+1,'15_Equipment_Log'!$C:$C,B11))</x:f>
        <x:v>0</x:v>
      </x:c>
      <x:c r="I11" s="70" t="n">
        <x:f>IF(OR(A11="",B11=""),"",SUMIFS('12_Production_Log'!$M:$M,'12_Production_Log'!$B:$B,"&gt;="&amp;A11,'12_Production_Log'!$B:$B,"&lt;"&amp;EOMONTH(A11,0)+1,'12_Production_Log'!$C:$C,B11)+SUMIFS('14_Materials_Log'!$I:$I,'14_Materials_Log'!$B:$B,"&gt;="&amp;A11,'14_Materials_Log'!$B:$B,"&lt;"&amp;EOMONTH(A11,0)+1,'14_Materials_Log'!$C:$C,B11,'14_Materials_Log'!$J:$J,"Yes"))</x:f>
        <x:v>0</x:v>
      </x:c>
      <x:c r="J11" s="70" t="n">
        <x:f>IF(OR(A11="",B11=""),"",SUMIFS('13_Labor_Time'!$L:$L,'13_Labor_Time'!$B:$B,"&gt;="&amp;A11,'13_Labor_Time'!$B:$B,"&lt;"&amp;EOMONTH(A11,0)+1,'13_Labor_Time'!$C:$C,B11))</x:f>
        <x:v>0</x:v>
      </x:c>
      <x:c r="K11" s="70" t="str">
        <x:f>IF(OR(I11="",G11="",H11="",J11=""),"",I11-G11-H11-J11)</x:f>
      </x:c>
      <x:c r="L11" s="140" t="str">
        <x:f>IF(C11=0,"",COUNTIFS('11_Intake_Daily'!$C:$C,"&gt;="&amp;A11,'11_Intake_Daily'!$C:$C,"&lt;"&amp;EOMONTH(A11,0)+1,'11_Intake_Daily'!$D:$D,B11,'11_Intake_Daily'!$AA:$AA,"Yes")/C11)</x:f>
      </x:c>
    </x:row>
    <x:row r="12" ht="20" customHeight="1">
      <x:c r="A12" s="28" t="n">
        <x:v>46266</x:v>
      </x:c>
      <x:c r="B12" s="15" t="str">
        <x:v>PRJ-1002</x:v>
      </x:c>
      <x:c r="C12" s="15" t="n">
        <x:f>IF(OR(A12="",B12=""),"",COUNTIFS('11_Intake_Daily'!$C:$C,"&gt;="&amp;A12,'11_Intake_Daily'!$C:$C,"&lt;"&amp;EOMONTH(A12,0)+1,'11_Intake_Daily'!$D:$D,B12))</x:f>
        <x:v>0</x:v>
      </x:c>
      <x:c r="D12" s="15" t="n">
        <x:f>IF(OR(A12="",B12=""),"",COUNTIFS('20_Proof_Queue'!$B:$B,"&gt;="&amp;A12,'20_Proof_Queue'!$B:$B,"&lt;"&amp;EOMONTH(A12,0)+1,'20_Proof_Queue'!$C:$C,B12,'20_Proof_Queue'!$H:$H,"&lt;&gt;Closed"))</x:f>
        <x:v>0</x:v>
      </x:c>
      <x:c r="E12" s="138" t="n">
        <x:f>IF(OR(A12="",B12=""),"",SUMIFS('12_Production_Log'!$H:$H,'12_Production_Log'!$B:$B,"&gt;="&amp;A12,'12_Production_Log'!$B:$B,"&lt;"&amp;EOMONTH(A12,0)+1,'12_Production_Log'!$C:$C,B12))</x:f>
        <x:v>0</x:v>
      </x:c>
      <x:c r="F12" s="136" t="n">
        <x:f>IF(OR(A12="",B12=""),"",SUMIFS('13_Labor_Time'!$J:$J,'13_Labor_Time'!$B:$B,"&gt;="&amp;A12,'13_Labor_Time'!$B:$B,"&lt;"&amp;EOMONTH(A12,0)+1,'13_Labor_Time'!$C:$C,B12))</x:f>
        <x:v>0</x:v>
      </x:c>
      <x:c r="G12" s="70" t="n">
        <x:f>IF(OR(A12="",B12=""),"",SUMIFS('14_Materials_Log'!$I:$I,'14_Materials_Log'!$B:$B,"&gt;="&amp;A12,'14_Materials_Log'!$B:$B,"&lt;"&amp;EOMONTH(A12,0)+1,'14_Materials_Log'!$C:$C,B12))</x:f>
        <x:v>0</x:v>
      </x:c>
      <x:c r="H12" s="70" t="n">
        <x:f>IF(OR(A12="",B12=""),"",SUMIFS('15_Equipment_Log'!$M:$M,'15_Equipment_Log'!$B:$B,"&gt;="&amp;A12,'15_Equipment_Log'!$B:$B,"&lt;"&amp;EOMONTH(A12,0)+1,'15_Equipment_Log'!$C:$C,B12))</x:f>
        <x:v>0</x:v>
      </x:c>
      <x:c r="I12" s="70" t="n">
        <x:f>IF(OR(A12="",B12=""),"",SUMIFS('12_Production_Log'!$M:$M,'12_Production_Log'!$B:$B,"&gt;="&amp;A12,'12_Production_Log'!$B:$B,"&lt;"&amp;EOMONTH(A12,0)+1,'12_Production_Log'!$C:$C,B12)+SUMIFS('14_Materials_Log'!$I:$I,'14_Materials_Log'!$B:$B,"&gt;="&amp;A12,'14_Materials_Log'!$B:$B,"&lt;"&amp;EOMONTH(A12,0)+1,'14_Materials_Log'!$C:$C,B12,'14_Materials_Log'!$J:$J,"Yes"))</x:f>
        <x:v>0</x:v>
      </x:c>
      <x:c r="J12" s="70" t="n">
        <x:f>IF(OR(A12="",B12=""),"",SUMIFS('13_Labor_Time'!$L:$L,'13_Labor_Time'!$B:$B,"&gt;="&amp;A12,'13_Labor_Time'!$B:$B,"&lt;"&amp;EOMONTH(A12,0)+1,'13_Labor_Time'!$C:$C,B12))</x:f>
        <x:v>0</x:v>
      </x:c>
      <x:c r="K12" s="70" t="str">
        <x:f>IF(OR(I12="",G12="",H12="",J12=""),"",I12-G12-H12-J12)</x:f>
      </x:c>
      <x:c r="L12" s="140" t="str">
        <x:f>IF(C12=0,"",COUNTIFS('11_Intake_Daily'!$C:$C,"&gt;="&amp;A12,'11_Intake_Daily'!$C:$C,"&lt;"&amp;EOMONTH(A12,0)+1,'11_Intake_Daily'!$D:$D,B12,'11_Intake_Daily'!$AA:$AA,"Yes")/C12)</x:f>
      </x:c>
    </x:row>
    <x:row r="13" ht="20" customHeight="1">
      <x:c r="A13" s="28" t="n">
        <x:v>46266</x:v>
      </x:c>
      <x:c r="B13" s="15" t="str">
        <x:v>PRJ-1003</x:v>
      </x:c>
      <x:c r="C13" s="15" t="n">
        <x:f>IF(OR(A13="",B13=""),"",COUNTIFS('11_Intake_Daily'!$C:$C,"&gt;="&amp;A13,'11_Intake_Daily'!$C:$C,"&lt;"&amp;EOMONTH(A13,0)+1,'11_Intake_Daily'!$D:$D,B13))</x:f>
        <x:v>0</x:v>
      </x:c>
      <x:c r="D13" s="15" t="n">
        <x:f>IF(OR(A13="",B13=""),"",COUNTIFS('20_Proof_Queue'!$B:$B,"&gt;="&amp;A13,'20_Proof_Queue'!$B:$B,"&lt;"&amp;EOMONTH(A13,0)+1,'20_Proof_Queue'!$C:$C,B13,'20_Proof_Queue'!$H:$H,"&lt;&gt;Closed"))</x:f>
        <x:v>0</x:v>
      </x:c>
      <x:c r="E13" s="138" t="n">
        <x:f>IF(OR(A13="",B13=""),"",SUMIFS('12_Production_Log'!$H:$H,'12_Production_Log'!$B:$B,"&gt;="&amp;A13,'12_Production_Log'!$B:$B,"&lt;"&amp;EOMONTH(A13,0)+1,'12_Production_Log'!$C:$C,B13))</x:f>
        <x:v>0</x:v>
      </x:c>
      <x:c r="F13" s="136" t="n">
        <x:f>IF(OR(A13="",B13=""),"",SUMIFS('13_Labor_Time'!$J:$J,'13_Labor_Time'!$B:$B,"&gt;="&amp;A13,'13_Labor_Time'!$B:$B,"&lt;"&amp;EOMONTH(A13,0)+1,'13_Labor_Time'!$C:$C,B13))</x:f>
        <x:v>0</x:v>
      </x:c>
      <x:c r="G13" s="70" t="n">
        <x:f>IF(OR(A13="",B13=""),"",SUMIFS('14_Materials_Log'!$I:$I,'14_Materials_Log'!$B:$B,"&gt;="&amp;A13,'14_Materials_Log'!$B:$B,"&lt;"&amp;EOMONTH(A13,0)+1,'14_Materials_Log'!$C:$C,B13))</x:f>
        <x:v>0</x:v>
      </x:c>
      <x:c r="H13" s="70" t="n">
        <x:f>IF(OR(A13="",B13=""),"",SUMIFS('15_Equipment_Log'!$M:$M,'15_Equipment_Log'!$B:$B,"&gt;="&amp;A13,'15_Equipment_Log'!$B:$B,"&lt;"&amp;EOMONTH(A13,0)+1,'15_Equipment_Log'!$C:$C,B13))</x:f>
        <x:v>0</x:v>
      </x:c>
      <x:c r="I13" s="70" t="n">
        <x:f>IF(OR(A13="",B13=""),"",SUMIFS('12_Production_Log'!$M:$M,'12_Production_Log'!$B:$B,"&gt;="&amp;A13,'12_Production_Log'!$B:$B,"&lt;"&amp;EOMONTH(A13,0)+1,'12_Production_Log'!$C:$C,B13)+SUMIFS('14_Materials_Log'!$I:$I,'14_Materials_Log'!$B:$B,"&gt;="&amp;A13,'14_Materials_Log'!$B:$B,"&lt;"&amp;EOMONTH(A13,0)+1,'14_Materials_Log'!$C:$C,B13,'14_Materials_Log'!$J:$J,"Yes"))</x:f>
        <x:v>0</x:v>
      </x:c>
      <x:c r="J13" s="70" t="n">
        <x:f>IF(OR(A13="",B13=""),"",SUMIFS('13_Labor_Time'!$L:$L,'13_Labor_Time'!$B:$B,"&gt;="&amp;A13,'13_Labor_Time'!$B:$B,"&lt;"&amp;EOMONTH(A13,0)+1,'13_Labor_Time'!$C:$C,B13))</x:f>
        <x:v>0</x:v>
      </x:c>
      <x:c r="K13" s="70" t="str">
        <x:f>IF(OR(I13="",G13="",H13="",J13=""),"",I13-G13-H13-J13)</x:f>
      </x:c>
      <x:c r="L13" s="140" t="str">
        <x:f>IF(C13=0,"",COUNTIFS('11_Intake_Daily'!$C:$C,"&gt;="&amp;A13,'11_Intake_Daily'!$C:$C,"&lt;"&amp;EOMONTH(A13,0)+1,'11_Intake_Daily'!$D:$D,B13,'11_Intake_Daily'!$AA:$AA,"Yes")/C13)</x:f>
      </x:c>
    </x:row>
    <x:row r="14" ht="20" customHeight="1">
      <x:c r="A14" s="28" t="n">
        <x:v>46296</x:v>
      </x:c>
      <x:c r="B14" s="15" t="str">
        <x:v>PRJ-1001</x:v>
      </x:c>
      <x:c r="C14" s="15" t="n">
        <x:f>IF(OR(A14="",B14=""),"",COUNTIFS('11_Intake_Daily'!$C:$C,"&gt;="&amp;A14,'11_Intake_Daily'!$C:$C,"&lt;"&amp;EOMONTH(A14,0)+1,'11_Intake_Daily'!$D:$D,B14))</x:f>
        <x:v>0</x:v>
      </x:c>
      <x:c r="D14" s="15" t="n">
        <x:f>IF(OR(A14="",B14=""),"",COUNTIFS('20_Proof_Queue'!$B:$B,"&gt;="&amp;A14,'20_Proof_Queue'!$B:$B,"&lt;"&amp;EOMONTH(A14,0)+1,'20_Proof_Queue'!$C:$C,B14,'20_Proof_Queue'!$H:$H,"&lt;&gt;Closed"))</x:f>
        <x:v>0</x:v>
      </x:c>
      <x:c r="E14" s="138" t="n">
        <x:f>IF(OR(A14="",B14=""),"",SUMIFS('12_Production_Log'!$H:$H,'12_Production_Log'!$B:$B,"&gt;="&amp;A14,'12_Production_Log'!$B:$B,"&lt;"&amp;EOMONTH(A14,0)+1,'12_Production_Log'!$C:$C,B14))</x:f>
        <x:v>0</x:v>
      </x:c>
      <x:c r="F14" s="136" t="n">
        <x:f>IF(OR(A14="",B14=""),"",SUMIFS('13_Labor_Time'!$J:$J,'13_Labor_Time'!$B:$B,"&gt;="&amp;A14,'13_Labor_Time'!$B:$B,"&lt;"&amp;EOMONTH(A14,0)+1,'13_Labor_Time'!$C:$C,B14))</x:f>
        <x:v>0</x:v>
      </x:c>
      <x:c r="G14" s="70" t="n">
        <x:f>IF(OR(A14="",B14=""),"",SUMIFS('14_Materials_Log'!$I:$I,'14_Materials_Log'!$B:$B,"&gt;="&amp;A14,'14_Materials_Log'!$B:$B,"&lt;"&amp;EOMONTH(A14,0)+1,'14_Materials_Log'!$C:$C,B14))</x:f>
        <x:v>0</x:v>
      </x:c>
      <x:c r="H14" s="70" t="n">
        <x:f>IF(OR(A14="",B14=""),"",SUMIFS('15_Equipment_Log'!$M:$M,'15_Equipment_Log'!$B:$B,"&gt;="&amp;A14,'15_Equipment_Log'!$B:$B,"&lt;"&amp;EOMONTH(A14,0)+1,'15_Equipment_Log'!$C:$C,B14))</x:f>
        <x:v>0</x:v>
      </x:c>
      <x:c r="I14" s="70" t="n">
        <x:f>IF(OR(A14="",B14=""),"",SUMIFS('12_Production_Log'!$M:$M,'12_Production_Log'!$B:$B,"&gt;="&amp;A14,'12_Production_Log'!$B:$B,"&lt;"&amp;EOMONTH(A14,0)+1,'12_Production_Log'!$C:$C,B14)+SUMIFS('14_Materials_Log'!$I:$I,'14_Materials_Log'!$B:$B,"&gt;="&amp;A14,'14_Materials_Log'!$B:$B,"&lt;"&amp;EOMONTH(A14,0)+1,'14_Materials_Log'!$C:$C,B14,'14_Materials_Log'!$J:$J,"Yes"))</x:f>
        <x:v>0</x:v>
      </x:c>
      <x:c r="J14" s="70" t="n">
        <x:f>IF(OR(A14="",B14=""),"",SUMIFS('13_Labor_Time'!$L:$L,'13_Labor_Time'!$B:$B,"&gt;="&amp;A14,'13_Labor_Time'!$B:$B,"&lt;"&amp;EOMONTH(A14,0)+1,'13_Labor_Time'!$C:$C,B14))</x:f>
        <x:v>0</x:v>
      </x:c>
      <x:c r="K14" s="70" t="str">
        <x:f>IF(OR(I14="",G14="",H14="",J14=""),"",I14-G14-H14-J14)</x:f>
      </x:c>
      <x:c r="L14" s="140" t="str">
        <x:f>IF(C14=0,"",COUNTIFS('11_Intake_Daily'!$C:$C,"&gt;="&amp;A14,'11_Intake_Daily'!$C:$C,"&lt;"&amp;EOMONTH(A14,0)+1,'11_Intake_Daily'!$D:$D,B14,'11_Intake_Daily'!$AA:$AA,"Yes")/C14)</x:f>
      </x:c>
    </x:row>
    <x:row r="15" ht="20" customHeight="1">
      <x:c r="A15" s="28" t="n">
        <x:v>46296</x:v>
      </x:c>
      <x:c r="B15" s="15" t="str">
        <x:v>PRJ-1002</x:v>
      </x:c>
      <x:c r="C15" s="15" t="n">
        <x:f>IF(OR(A15="",B15=""),"",COUNTIFS('11_Intake_Daily'!$C:$C,"&gt;="&amp;A15,'11_Intake_Daily'!$C:$C,"&lt;"&amp;EOMONTH(A15,0)+1,'11_Intake_Daily'!$D:$D,B15))</x:f>
        <x:v>0</x:v>
      </x:c>
      <x:c r="D15" s="15" t="n">
        <x:f>IF(OR(A15="",B15=""),"",COUNTIFS('20_Proof_Queue'!$B:$B,"&gt;="&amp;A15,'20_Proof_Queue'!$B:$B,"&lt;"&amp;EOMONTH(A15,0)+1,'20_Proof_Queue'!$C:$C,B15,'20_Proof_Queue'!$H:$H,"&lt;&gt;Closed"))</x:f>
        <x:v>0</x:v>
      </x:c>
      <x:c r="E15" s="138" t="n">
        <x:f>IF(OR(A15="",B15=""),"",SUMIFS('12_Production_Log'!$H:$H,'12_Production_Log'!$B:$B,"&gt;="&amp;A15,'12_Production_Log'!$B:$B,"&lt;"&amp;EOMONTH(A15,0)+1,'12_Production_Log'!$C:$C,B15))</x:f>
        <x:v>0</x:v>
      </x:c>
      <x:c r="F15" s="136" t="n">
        <x:f>IF(OR(A15="",B15=""),"",SUMIFS('13_Labor_Time'!$J:$J,'13_Labor_Time'!$B:$B,"&gt;="&amp;A15,'13_Labor_Time'!$B:$B,"&lt;"&amp;EOMONTH(A15,0)+1,'13_Labor_Time'!$C:$C,B15))</x:f>
        <x:v>0</x:v>
      </x:c>
      <x:c r="G15" s="70" t="n">
        <x:f>IF(OR(A15="",B15=""),"",SUMIFS('14_Materials_Log'!$I:$I,'14_Materials_Log'!$B:$B,"&gt;="&amp;A15,'14_Materials_Log'!$B:$B,"&lt;"&amp;EOMONTH(A15,0)+1,'14_Materials_Log'!$C:$C,B15))</x:f>
        <x:v>0</x:v>
      </x:c>
      <x:c r="H15" s="70" t="n">
        <x:f>IF(OR(A15="",B15=""),"",SUMIFS('15_Equipment_Log'!$M:$M,'15_Equipment_Log'!$B:$B,"&gt;="&amp;A15,'15_Equipment_Log'!$B:$B,"&lt;"&amp;EOMONTH(A15,0)+1,'15_Equipment_Log'!$C:$C,B15))</x:f>
        <x:v>0</x:v>
      </x:c>
      <x:c r="I15" s="70" t="n">
        <x:f>IF(OR(A15="",B15=""),"",SUMIFS('12_Production_Log'!$M:$M,'12_Production_Log'!$B:$B,"&gt;="&amp;A15,'12_Production_Log'!$B:$B,"&lt;"&amp;EOMONTH(A15,0)+1,'12_Production_Log'!$C:$C,B15)+SUMIFS('14_Materials_Log'!$I:$I,'14_Materials_Log'!$B:$B,"&gt;="&amp;A15,'14_Materials_Log'!$B:$B,"&lt;"&amp;EOMONTH(A15,0)+1,'14_Materials_Log'!$C:$C,B15,'14_Materials_Log'!$J:$J,"Yes"))</x:f>
        <x:v>0</x:v>
      </x:c>
      <x:c r="J15" s="70" t="n">
        <x:f>IF(OR(A15="",B15=""),"",SUMIFS('13_Labor_Time'!$L:$L,'13_Labor_Time'!$B:$B,"&gt;="&amp;A15,'13_Labor_Time'!$B:$B,"&lt;"&amp;EOMONTH(A15,0)+1,'13_Labor_Time'!$C:$C,B15))</x:f>
        <x:v>0</x:v>
      </x:c>
      <x:c r="K15" s="70" t="str">
        <x:f>IF(OR(I15="",G15="",H15="",J15=""),"",I15-G15-H15-J15)</x:f>
      </x:c>
      <x:c r="L15" s="140" t="str">
        <x:f>IF(C15=0,"",COUNTIFS('11_Intake_Daily'!$C:$C,"&gt;="&amp;A15,'11_Intake_Daily'!$C:$C,"&lt;"&amp;EOMONTH(A15,0)+1,'11_Intake_Daily'!$D:$D,B15,'11_Intake_Daily'!$AA:$AA,"Yes")/C15)</x:f>
      </x:c>
    </x:row>
    <x:row r="16" ht="20" customHeight="1">
      <x:c r="A16" s="28" t="n">
        <x:v>46296</x:v>
      </x:c>
      <x:c r="B16" s="15" t="str">
        <x:v>PRJ-1003</x:v>
      </x:c>
      <x:c r="C16" s="15" t="n">
        <x:f>IF(OR(A16="",B16=""),"",COUNTIFS('11_Intake_Daily'!$C:$C,"&gt;="&amp;A16,'11_Intake_Daily'!$C:$C,"&lt;"&amp;EOMONTH(A16,0)+1,'11_Intake_Daily'!$D:$D,B16))</x:f>
        <x:v>0</x:v>
      </x:c>
      <x:c r="D16" s="15" t="n">
        <x:f>IF(OR(A16="",B16=""),"",COUNTIFS('20_Proof_Queue'!$B:$B,"&gt;="&amp;A16,'20_Proof_Queue'!$B:$B,"&lt;"&amp;EOMONTH(A16,0)+1,'20_Proof_Queue'!$C:$C,B16,'20_Proof_Queue'!$H:$H,"&lt;&gt;Closed"))</x:f>
        <x:v>0</x:v>
      </x:c>
      <x:c r="E16" s="138" t="n">
        <x:f>IF(OR(A16="",B16=""),"",SUMIFS('12_Production_Log'!$H:$H,'12_Production_Log'!$B:$B,"&gt;="&amp;A16,'12_Production_Log'!$B:$B,"&lt;"&amp;EOMONTH(A16,0)+1,'12_Production_Log'!$C:$C,B16))</x:f>
        <x:v>0</x:v>
      </x:c>
      <x:c r="F16" s="136" t="n">
        <x:f>IF(OR(A16="",B16=""),"",SUMIFS('13_Labor_Time'!$J:$J,'13_Labor_Time'!$B:$B,"&gt;="&amp;A16,'13_Labor_Time'!$B:$B,"&lt;"&amp;EOMONTH(A16,0)+1,'13_Labor_Time'!$C:$C,B16))</x:f>
        <x:v>0</x:v>
      </x:c>
      <x:c r="G16" s="70" t="n">
        <x:f>IF(OR(A16="",B16=""),"",SUMIFS('14_Materials_Log'!$I:$I,'14_Materials_Log'!$B:$B,"&gt;="&amp;A16,'14_Materials_Log'!$B:$B,"&lt;"&amp;EOMONTH(A16,0)+1,'14_Materials_Log'!$C:$C,B16))</x:f>
        <x:v>0</x:v>
      </x:c>
      <x:c r="H16" s="70" t="n">
        <x:f>IF(OR(A16="",B16=""),"",SUMIFS('15_Equipment_Log'!$M:$M,'15_Equipment_Log'!$B:$B,"&gt;="&amp;A16,'15_Equipment_Log'!$B:$B,"&lt;"&amp;EOMONTH(A16,0)+1,'15_Equipment_Log'!$C:$C,B16))</x:f>
        <x:v>0</x:v>
      </x:c>
      <x:c r="I16" s="70" t="n">
        <x:f>IF(OR(A16="",B16=""),"",SUMIFS('12_Production_Log'!$M:$M,'12_Production_Log'!$B:$B,"&gt;="&amp;A16,'12_Production_Log'!$B:$B,"&lt;"&amp;EOMONTH(A16,0)+1,'12_Production_Log'!$C:$C,B16)+SUMIFS('14_Materials_Log'!$I:$I,'14_Materials_Log'!$B:$B,"&gt;="&amp;A16,'14_Materials_Log'!$B:$B,"&lt;"&amp;EOMONTH(A16,0)+1,'14_Materials_Log'!$C:$C,B16,'14_Materials_Log'!$J:$J,"Yes"))</x:f>
        <x:v>0</x:v>
      </x:c>
      <x:c r="J16" s="70" t="n">
        <x:f>IF(OR(A16="",B16=""),"",SUMIFS('13_Labor_Time'!$L:$L,'13_Labor_Time'!$B:$B,"&gt;="&amp;A16,'13_Labor_Time'!$B:$B,"&lt;"&amp;EOMONTH(A16,0)+1,'13_Labor_Time'!$C:$C,B16))</x:f>
        <x:v>0</x:v>
      </x:c>
      <x:c r="K16" s="70" t="str">
        <x:f>IF(OR(I16="",G16="",H16="",J16=""),"",I16-G16-H16-J16)</x:f>
      </x:c>
      <x:c r="L16" s="140" t="str">
        <x:f>IF(C16=0,"",COUNTIFS('11_Intake_Daily'!$C:$C,"&gt;="&amp;A16,'11_Intake_Daily'!$C:$C,"&lt;"&amp;EOMONTH(A16,0)+1,'11_Intake_Daily'!$D:$D,B16,'11_Intake_Daily'!$AA:$AA,"Yes")/C16)</x:f>
      </x:c>
    </x:row>
    <x:row r="17" ht="20" customHeight="1">
      <x:c r="A17" s="28" t="n">
        <x:v>46327</x:v>
      </x:c>
      <x:c r="B17" s="15" t="str">
        <x:v>PRJ-1001</x:v>
      </x:c>
      <x:c r="C17" s="15" t="n">
        <x:f>IF(OR(A17="",B17=""),"",COUNTIFS('11_Intake_Daily'!$C:$C,"&gt;="&amp;A17,'11_Intake_Daily'!$C:$C,"&lt;"&amp;EOMONTH(A17,0)+1,'11_Intake_Daily'!$D:$D,B17))</x:f>
        <x:v>0</x:v>
      </x:c>
      <x:c r="D17" s="15" t="n">
        <x:f>IF(OR(A17="",B17=""),"",COUNTIFS('20_Proof_Queue'!$B:$B,"&gt;="&amp;A17,'20_Proof_Queue'!$B:$B,"&lt;"&amp;EOMONTH(A17,0)+1,'20_Proof_Queue'!$C:$C,B17,'20_Proof_Queue'!$H:$H,"&lt;&gt;Closed"))</x:f>
        <x:v>0</x:v>
      </x:c>
      <x:c r="E17" s="138" t="n">
        <x:f>IF(OR(A17="",B17=""),"",SUMIFS('12_Production_Log'!$H:$H,'12_Production_Log'!$B:$B,"&gt;="&amp;A17,'12_Production_Log'!$B:$B,"&lt;"&amp;EOMONTH(A17,0)+1,'12_Production_Log'!$C:$C,B17))</x:f>
        <x:v>0</x:v>
      </x:c>
      <x:c r="F17" s="136" t="n">
        <x:f>IF(OR(A17="",B17=""),"",SUMIFS('13_Labor_Time'!$J:$J,'13_Labor_Time'!$B:$B,"&gt;="&amp;A17,'13_Labor_Time'!$B:$B,"&lt;"&amp;EOMONTH(A17,0)+1,'13_Labor_Time'!$C:$C,B17))</x:f>
        <x:v>0</x:v>
      </x:c>
      <x:c r="G17" s="70" t="n">
        <x:f>IF(OR(A17="",B17=""),"",SUMIFS('14_Materials_Log'!$I:$I,'14_Materials_Log'!$B:$B,"&gt;="&amp;A17,'14_Materials_Log'!$B:$B,"&lt;"&amp;EOMONTH(A17,0)+1,'14_Materials_Log'!$C:$C,B17))</x:f>
        <x:v>0</x:v>
      </x:c>
      <x:c r="H17" s="70" t="n">
        <x:f>IF(OR(A17="",B17=""),"",SUMIFS('15_Equipment_Log'!$M:$M,'15_Equipment_Log'!$B:$B,"&gt;="&amp;A17,'15_Equipment_Log'!$B:$B,"&lt;"&amp;EOMONTH(A17,0)+1,'15_Equipment_Log'!$C:$C,B17))</x:f>
        <x:v>0</x:v>
      </x:c>
      <x:c r="I17" s="70" t="n">
        <x:f>IF(OR(A17="",B17=""),"",SUMIFS('12_Production_Log'!$M:$M,'12_Production_Log'!$B:$B,"&gt;="&amp;A17,'12_Production_Log'!$B:$B,"&lt;"&amp;EOMONTH(A17,0)+1,'12_Production_Log'!$C:$C,B17)+SUMIFS('14_Materials_Log'!$I:$I,'14_Materials_Log'!$B:$B,"&gt;="&amp;A17,'14_Materials_Log'!$B:$B,"&lt;"&amp;EOMONTH(A17,0)+1,'14_Materials_Log'!$C:$C,B17,'14_Materials_Log'!$J:$J,"Yes"))</x:f>
        <x:v>0</x:v>
      </x:c>
      <x:c r="J17" s="70" t="n">
        <x:f>IF(OR(A17="",B17=""),"",SUMIFS('13_Labor_Time'!$L:$L,'13_Labor_Time'!$B:$B,"&gt;="&amp;A17,'13_Labor_Time'!$B:$B,"&lt;"&amp;EOMONTH(A17,0)+1,'13_Labor_Time'!$C:$C,B17))</x:f>
        <x:v>0</x:v>
      </x:c>
      <x:c r="K17" s="70" t="str">
        <x:f>IF(OR(I17="",G17="",H17="",J17=""),"",I17-G17-H17-J17)</x:f>
      </x:c>
      <x:c r="L17" s="140" t="str">
        <x:f>IF(C17=0,"",COUNTIFS('11_Intake_Daily'!$C:$C,"&gt;="&amp;A17,'11_Intake_Daily'!$C:$C,"&lt;"&amp;EOMONTH(A17,0)+1,'11_Intake_Daily'!$D:$D,B17,'11_Intake_Daily'!$AA:$AA,"Yes")/C17)</x:f>
      </x:c>
    </x:row>
    <x:row r="18" ht="20" customHeight="1">
      <x:c r="A18" s="28" t="n">
        <x:v>46327</x:v>
      </x:c>
      <x:c r="B18" s="15" t="str">
        <x:v>PRJ-1002</x:v>
      </x:c>
      <x:c r="C18" s="15" t="n">
        <x:f>IF(OR(A18="",B18=""),"",COUNTIFS('11_Intake_Daily'!$C:$C,"&gt;="&amp;A18,'11_Intake_Daily'!$C:$C,"&lt;"&amp;EOMONTH(A18,0)+1,'11_Intake_Daily'!$D:$D,B18))</x:f>
        <x:v>0</x:v>
      </x:c>
      <x:c r="D18" s="15" t="n">
        <x:f>IF(OR(A18="",B18=""),"",COUNTIFS('20_Proof_Queue'!$B:$B,"&gt;="&amp;A18,'20_Proof_Queue'!$B:$B,"&lt;"&amp;EOMONTH(A18,0)+1,'20_Proof_Queue'!$C:$C,B18,'20_Proof_Queue'!$H:$H,"&lt;&gt;Closed"))</x:f>
        <x:v>0</x:v>
      </x:c>
      <x:c r="E18" s="138" t="n">
        <x:f>IF(OR(A18="",B18=""),"",SUMIFS('12_Production_Log'!$H:$H,'12_Production_Log'!$B:$B,"&gt;="&amp;A18,'12_Production_Log'!$B:$B,"&lt;"&amp;EOMONTH(A18,0)+1,'12_Production_Log'!$C:$C,B18))</x:f>
        <x:v>0</x:v>
      </x:c>
      <x:c r="F18" s="136" t="n">
        <x:f>IF(OR(A18="",B18=""),"",SUMIFS('13_Labor_Time'!$J:$J,'13_Labor_Time'!$B:$B,"&gt;="&amp;A18,'13_Labor_Time'!$B:$B,"&lt;"&amp;EOMONTH(A18,0)+1,'13_Labor_Time'!$C:$C,B18))</x:f>
        <x:v>0</x:v>
      </x:c>
      <x:c r="G18" s="70" t="n">
        <x:f>IF(OR(A18="",B18=""),"",SUMIFS('14_Materials_Log'!$I:$I,'14_Materials_Log'!$B:$B,"&gt;="&amp;A18,'14_Materials_Log'!$B:$B,"&lt;"&amp;EOMONTH(A18,0)+1,'14_Materials_Log'!$C:$C,B18))</x:f>
        <x:v>0</x:v>
      </x:c>
      <x:c r="H18" s="70" t="n">
        <x:f>IF(OR(A18="",B18=""),"",SUMIFS('15_Equipment_Log'!$M:$M,'15_Equipment_Log'!$B:$B,"&gt;="&amp;A18,'15_Equipment_Log'!$B:$B,"&lt;"&amp;EOMONTH(A18,0)+1,'15_Equipment_Log'!$C:$C,B18))</x:f>
        <x:v>0</x:v>
      </x:c>
      <x:c r="I18" s="70" t="n">
        <x:f>IF(OR(A18="",B18=""),"",SUMIFS('12_Production_Log'!$M:$M,'12_Production_Log'!$B:$B,"&gt;="&amp;A18,'12_Production_Log'!$B:$B,"&lt;"&amp;EOMONTH(A18,0)+1,'12_Production_Log'!$C:$C,B18)+SUMIFS('14_Materials_Log'!$I:$I,'14_Materials_Log'!$B:$B,"&gt;="&amp;A18,'14_Materials_Log'!$B:$B,"&lt;"&amp;EOMONTH(A18,0)+1,'14_Materials_Log'!$C:$C,B18,'14_Materials_Log'!$J:$J,"Yes"))</x:f>
        <x:v>0</x:v>
      </x:c>
      <x:c r="J18" s="70" t="n">
        <x:f>IF(OR(A18="",B18=""),"",SUMIFS('13_Labor_Time'!$L:$L,'13_Labor_Time'!$B:$B,"&gt;="&amp;A18,'13_Labor_Time'!$B:$B,"&lt;"&amp;EOMONTH(A18,0)+1,'13_Labor_Time'!$C:$C,B18))</x:f>
        <x:v>0</x:v>
      </x:c>
      <x:c r="K18" s="70" t="str">
        <x:f>IF(OR(I18="",G18="",H18="",J18=""),"",I18-G18-H18-J18)</x:f>
      </x:c>
      <x:c r="L18" s="140" t="str">
        <x:f>IF(C18=0,"",COUNTIFS('11_Intake_Daily'!$C:$C,"&gt;="&amp;A18,'11_Intake_Daily'!$C:$C,"&lt;"&amp;EOMONTH(A18,0)+1,'11_Intake_Daily'!$D:$D,B18,'11_Intake_Daily'!$AA:$AA,"Yes")/C18)</x:f>
      </x:c>
    </x:row>
    <x:row r="19" ht="20" customHeight="1">
      <x:c r="A19" s="28" t="n">
        <x:v>46327</x:v>
      </x:c>
      <x:c r="B19" s="15" t="str">
        <x:v>PRJ-1003</x:v>
      </x:c>
      <x:c r="C19" s="15" t="n">
        <x:f>IF(OR(A19="",B19=""),"",COUNTIFS('11_Intake_Daily'!$C:$C,"&gt;="&amp;A19,'11_Intake_Daily'!$C:$C,"&lt;"&amp;EOMONTH(A19,0)+1,'11_Intake_Daily'!$D:$D,B19))</x:f>
        <x:v>0</x:v>
      </x:c>
      <x:c r="D19" s="15" t="n">
        <x:f>IF(OR(A19="",B19=""),"",COUNTIFS('20_Proof_Queue'!$B:$B,"&gt;="&amp;A19,'20_Proof_Queue'!$B:$B,"&lt;"&amp;EOMONTH(A19,0)+1,'20_Proof_Queue'!$C:$C,B19,'20_Proof_Queue'!$H:$H,"&lt;&gt;Closed"))</x:f>
        <x:v>0</x:v>
      </x:c>
      <x:c r="E19" s="138" t="n">
        <x:f>IF(OR(A19="",B19=""),"",SUMIFS('12_Production_Log'!$H:$H,'12_Production_Log'!$B:$B,"&gt;="&amp;A19,'12_Production_Log'!$B:$B,"&lt;"&amp;EOMONTH(A19,0)+1,'12_Production_Log'!$C:$C,B19))</x:f>
        <x:v>0</x:v>
      </x:c>
      <x:c r="F19" s="136" t="n">
        <x:f>IF(OR(A19="",B19=""),"",SUMIFS('13_Labor_Time'!$J:$J,'13_Labor_Time'!$B:$B,"&gt;="&amp;A19,'13_Labor_Time'!$B:$B,"&lt;"&amp;EOMONTH(A19,0)+1,'13_Labor_Time'!$C:$C,B19))</x:f>
        <x:v>0</x:v>
      </x:c>
      <x:c r="G19" s="70" t="n">
        <x:f>IF(OR(A19="",B19=""),"",SUMIFS('14_Materials_Log'!$I:$I,'14_Materials_Log'!$B:$B,"&gt;="&amp;A19,'14_Materials_Log'!$B:$B,"&lt;"&amp;EOMONTH(A19,0)+1,'14_Materials_Log'!$C:$C,B19))</x:f>
        <x:v>0</x:v>
      </x:c>
      <x:c r="H19" s="70" t="n">
        <x:f>IF(OR(A19="",B19=""),"",SUMIFS('15_Equipment_Log'!$M:$M,'15_Equipment_Log'!$B:$B,"&gt;="&amp;A19,'15_Equipment_Log'!$B:$B,"&lt;"&amp;EOMONTH(A19,0)+1,'15_Equipment_Log'!$C:$C,B19))</x:f>
        <x:v>0</x:v>
      </x:c>
      <x:c r="I19" s="70" t="n">
        <x:f>IF(OR(A19="",B19=""),"",SUMIFS('12_Production_Log'!$M:$M,'12_Production_Log'!$B:$B,"&gt;="&amp;A19,'12_Production_Log'!$B:$B,"&lt;"&amp;EOMONTH(A19,0)+1,'12_Production_Log'!$C:$C,B19)+SUMIFS('14_Materials_Log'!$I:$I,'14_Materials_Log'!$B:$B,"&gt;="&amp;A19,'14_Materials_Log'!$B:$B,"&lt;"&amp;EOMONTH(A19,0)+1,'14_Materials_Log'!$C:$C,B19,'14_Materials_Log'!$J:$J,"Yes"))</x:f>
        <x:v>0</x:v>
      </x:c>
      <x:c r="J19" s="70" t="n">
        <x:f>IF(OR(A19="",B19=""),"",SUMIFS('13_Labor_Time'!$L:$L,'13_Labor_Time'!$B:$B,"&gt;="&amp;A19,'13_Labor_Time'!$B:$B,"&lt;"&amp;EOMONTH(A19,0)+1,'13_Labor_Time'!$C:$C,B19))</x:f>
        <x:v>0</x:v>
      </x:c>
      <x:c r="K19" s="70" t="str">
        <x:f>IF(OR(I19="",G19="",H19="",J19=""),"",I19-G19-H19-J19)</x:f>
      </x:c>
      <x:c r="L19" s="140" t="str">
        <x:f>IF(C19=0,"",COUNTIFS('11_Intake_Daily'!$C:$C,"&gt;="&amp;A19,'11_Intake_Daily'!$C:$C,"&lt;"&amp;EOMONTH(A19,0)+1,'11_Intake_Daily'!$D:$D,B19,'11_Intake_Daily'!$AA:$AA,"Yes")/C19)</x:f>
      </x:c>
    </x:row>
    <x:row r="20" ht="20" customHeight="1">
      <x:c r="A20" s="28"/>
      <x:c r="B20" s="15"/>
      <x:c r="C20" s="15" t="str">
        <x:f>IF(OR(A20="",B20=""),"",COUNTIFS('11_Intake_Daily'!$C:$C,"&gt;="&amp;A20,'11_Intake_Daily'!$C:$C,"&lt;"&amp;EOMONTH(A20,0)+1,'11_Intake_Daily'!$D:$D,B20))</x:f>
      </x:c>
      <x:c r="D20" s="15" t="str">
        <x:f>IF(OR(A20="",B20=""),"",COUNTIFS('20_Proof_Queue'!$B:$B,"&gt;="&amp;A20,'20_Proof_Queue'!$B:$B,"&lt;"&amp;EOMONTH(A20,0)+1,'20_Proof_Queue'!$C:$C,B20,'20_Proof_Queue'!$H:$H,"&lt;&gt;Closed"))</x:f>
      </x:c>
      <x:c r="E20" s="138" t="str">
        <x:f>IF(OR(A20="",B20=""),"",SUMIFS('12_Production_Log'!$H:$H,'12_Production_Log'!$B:$B,"&gt;="&amp;A20,'12_Production_Log'!$B:$B,"&lt;"&amp;EOMONTH(A20,0)+1,'12_Production_Log'!$C:$C,B20))</x:f>
      </x:c>
      <x:c r="F20" s="136" t="str">
        <x:f>IF(OR(A20="",B20=""),"",SUMIFS('13_Labor_Time'!$J:$J,'13_Labor_Time'!$B:$B,"&gt;="&amp;A20,'13_Labor_Time'!$B:$B,"&lt;"&amp;EOMONTH(A20,0)+1,'13_Labor_Time'!$C:$C,B20))</x:f>
      </x:c>
      <x:c r="G20" s="70" t="str">
        <x:f>IF(OR(A20="",B20=""),"",SUMIFS('14_Materials_Log'!$I:$I,'14_Materials_Log'!$B:$B,"&gt;="&amp;A20,'14_Materials_Log'!$B:$B,"&lt;"&amp;EOMONTH(A20,0)+1,'14_Materials_Log'!$C:$C,B20))</x:f>
      </x:c>
      <x:c r="H20" s="70" t="str">
        <x:f>IF(OR(A20="",B20=""),"",SUMIFS('15_Equipment_Log'!$M:$M,'15_Equipment_Log'!$B:$B,"&gt;="&amp;A20,'15_Equipment_Log'!$B:$B,"&lt;"&amp;EOMONTH(A20,0)+1,'15_Equipment_Log'!$C:$C,B20))</x:f>
      </x:c>
      <x:c r="I20" s="70" t="str">
        <x:f>IF(OR(A20="",B20=""),"",SUMIFS('12_Production_Log'!$M:$M,'12_Production_Log'!$B:$B,"&gt;="&amp;A20,'12_Production_Log'!$B:$B,"&lt;"&amp;EOMONTH(A20,0)+1,'12_Production_Log'!$C:$C,B20)+SUMIFS('14_Materials_Log'!$I:$I,'14_Materials_Log'!$B:$B,"&gt;="&amp;A20,'14_Materials_Log'!$B:$B,"&lt;"&amp;EOMONTH(A20,0)+1,'14_Materials_Log'!$C:$C,B20,'14_Materials_Log'!$J:$J,"Yes"))</x:f>
      </x:c>
      <x:c r="J20" s="70" t="str">
        <x:f>IF(OR(A20="",B20=""),"",SUMIFS('13_Labor_Time'!$L:$L,'13_Labor_Time'!$B:$B,"&gt;="&amp;A20,'13_Labor_Time'!$B:$B,"&lt;"&amp;EOMONTH(A20,0)+1,'13_Labor_Time'!$C:$C,B20))</x:f>
      </x:c>
      <x:c r="K20" s="70" t="str">
        <x:f>IF(OR(I20="",G20="",H20="",J20=""),"",I20-G20-H20-J20)</x:f>
      </x:c>
      <x:c r="L20" s="140" t="str">
        <x:f>IF(C20=0,"",COUNTIFS('11_Intake_Daily'!$C:$C,"&gt;="&amp;A20,'11_Intake_Daily'!$C:$C,"&lt;"&amp;EOMONTH(A20,0)+1,'11_Intake_Daily'!$D:$D,B20,'11_Intake_Daily'!$AA:$AA,"Yes")/C20)</x:f>
      </x:c>
    </x:row>
    <x:row r="21" ht="20" customHeight="1">
      <x:c r="A21" s="28"/>
      <x:c r="B21" s="15"/>
      <x:c r="C21" s="15" t="str">
        <x:f>IF(OR(A21="",B21=""),"",COUNTIFS('11_Intake_Daily'!$C:$C,"&gt;="&amp;A21,'11_Intake_Daily'!$C:$C,"&lt;"&amp;EOMONTH(A21,0)+1,'11_Intake_Daily'!$D:$D,B21))</x:f>
      </x:c>
      <x:c r="D21" s="15" t="str">
        <x:f>IF(OR(A21="",B21=""),"",COUNTIFS('20_Proof_Queue'!$B:$B,"&gt;="&amp;A21,'20_Proof_Queue'!$B:$B,"&lt;"&amp;EOMONTH(A21,0)+1,'20_Proof_Queue'!$C:$C,B21,'20_Proof_Queue'!$H:$H,"&lt;&gt;Closed"))</x:f>
      </x:c>
      <x:c r="E21" s="138" t="str">
        <x:f>IF(OR(A21="",B21=""),"",SUMIFS('12_Production_Log'!$H:$H,'12_Production_Log'!$B:$B,"&gt;="&amp;A21,'12_Production_Log'!$B:$B,"&lt;"&amp;EOMONTH(A21,0)+1,'12_Production_Log'!$C:$C,B21))</x:f>
      </x:c>
      <x:c r="F21" s="136" t="str">
        <x:f>IF(OR(A21="",B21=""),"",SUMIFS('13_Labor_Time'!$J:$J,'13_Labor_Time'!$B:$B,"&gt;="&amp;A21,'13_Labor_Time'!$B:$B,"&lt;"&amp;EOMONTH(A21,0)+1,'13_Labor_Time'!$C:$C,B21))</x:f>
      </x:c>
      <x:c r="G21" s="70" t="str">
        <x:f>IF(OR(A21="",B21=""),"",SUMIFS('14_Materials_Log'!$I:$I,'14_Materials_Log'!$B:$B,"&gt;="&amp;A21,'14_Materials_Log'!$B:$B,"&lt;"&amp;EOMONTH(A21,0)+1,'14_Materials_Log'!$C:$C,B21))</x:f>
      </x:c>
      <x:c r="H21" s="70" t="str">
        <x:f>IF(OR(A21="",B21=""),"",SUMIFS('15_Equipment_Log'!$M:$M,'15_Equipment_Log'!$B:$B,"&gt;="&amp;A21,'15_Equipment_Log'!$B:$B,"&lt;"&amp;EOMONTH(A21,0)+1,'15_Equipment_Log'!$C:$C,B21))</x:f>
      </x:c>
      <x:c r="I21" s="70" t="str">
        <x:f>IF(OR(A21="",B21=""),"",SUMIFS('12_Production_Log'!$M:$M,'12_Production_Log'!$B:$B,"&gt;="&amp;A21,'12_Production_Log'!$B:$B,"&lt;"&amp;EOMONTH(A21,0)+1,'12_Production_Log'!$C:$C,B21)+SUMIFS('14_Materials_Log'!$I:$I,'14_Materials_Log'!$B:$B,"&gt;="&amp;A21,'14_Materials_Log'!$B:$B,"&lt;"&amp;EOMONTH(A21,0)+1,'14_Materials_Log'!$C:$C,B21,'14_Materials_Log'!$J:$J,"Yes"))</x:f>
      </x:c>
      <x:c r="J21" s="70" t="str">
        <x:f>IF(OR(A21="",B21=""),"",SUMIFS('13_Labor_Time'!$L:$L,'13_Labor_Time'!$B:$B,"&gt;="&amp;A21,'13_Labor_Time'!$B:$B,"&lt;"&amp;EOMONTH(A21,0)+1,'13_Labor_Time'!$C:$C,B21))</x:f>
      </x:c>
      <x:c r="K21" s="70" t="str">
        <x:f>IF(OR(I21="",G21="",H21="",J21=""),"",I21-G21-H21-J21)</x:f>
      </x:c>
      <x:c r="L21" s="140" t="str">
        <x:f>IF(C21=0,"",COUNTIFS('11_Intake_Daily'!$C:$C,"&gt;="&amp;A21,'11_Intake_Daily'!$C:$C,"&lt;"&amp;EOMONTH(A21,0)+1,'11_Intake_Daily'!$D:$D,B21,'11_Intake_Daily'!$AA:$AA,"Yes")/C21)</x:f>
      </x:c>
    </x:row>
    <x:row r="22" ht="20" customHeight="1">
      <x:c r="A22" s="28"/>
      <x:c r="B22" s="15"/>
      <x:c r="C22" s="15" t="str">
        <x:f>IF(OR(A22="",B22=""),"",COUNTIFS('11_Intake_Daily'!$C:$C,"&gt;="&amp;A22,'11_Intake_Daily'!$C:$C,"&lt;"&amp;EOMONTH(A22,0)+1,'11_Intake_Daily'!$D:$D,B22))</x:f>
      </x:c>
      <x:c r="D22" s="15" t="str">
        <x:f>IF(OR(A22="",B22=""),"",COUNTIFS('20_Proof_Queue'!$B:$B,"&gt;="&amp;A22,'20_Proof_Queue'!$B:$B,"&lt;"&amp;EOMONTH(A22,0)+1,'20_Proof_Queue'!$C:$C,B22,'20_Proof_Queue'!$H:$H,"&lt;&gt;Closed"))</x:f>
      </x:c>
      <x:c r="E22" s="138" t="str">
        <x:f>IF(OR(A22="",B22=""),"",SUMIFS('12_Production_Log'!$H:$H,'12_Production_Log'!$B:$B,"&gt;="&amp;A22,'12_Production_Log'!$B:$B,"&lt;"&amp;EOMONTH(A22,0)+1,'12_Production_Log'!$C:$C,B22))</x:f>
      </x:c>
      <x:c r="F22" s="136" t="str">
        <x:f>IF(OR(A22="",B22=""),"",SUMIFS('13_Labor_Time'!$J:$J,'13_Labor_Time'!$B:$B,"&gt;="&amp;A22,'13_Labor_Time'!$B:$B,"&lt;"&amp;EOMONTH(A22,0)+1,'13_Labor_Time'!$C:$C,B22))</x:f>
      </x:c>
      <x:c r="G22" s="70" t="str">
        <x:f>IF(OR(A22="",B22=""),"",SUMIFS('14_Materials_Log'!$I:$I,'14_Materials_Log'!$B:$B,"&gt;="&amp;A22,'14_Materials_Log'!$B:$B,"&lt;"&amp;EOMONTH(A22,0)+1,'14_Materials_Log'!$C:$C,B22))</x:f>
      </x:c>
      <x:c r="H22" s="70" t="str">
        <x:f>IF(OR(A22="",B22=""),"",SUMIFS('15_Equipment_Log'!$M:$M,'15_Equipment_Log'!$B:$B,"&gt;="&amp;A22,'15_Equipment_Log'!$B:$B,"&lt;"&amp;EOMONTH(A22,0)+1,'15_Equipment_Log'!$C:$C,B22))</x:f>
      </x:c>
      <x:c r="I22" s="70" t="str">
        <x:f>IF(OR(A22="",B22=""),"",SUMIFS('12_Production_Log'!$M:$M,'12_Production_Log'!$B:$B,"&gt;="&amp;A22,'12_Production_Log'!$B:$B,"&lt;"&amp;EOMONTH(A22,0)+1,'12_Production_Log'!$C:$C,B22)+SUMIFS('14_Materials_Log'!$I:$I,'14_Materials_Log'!$B:$B,"&gt;="&amp;A22,'14_Materials_Log'!$B:$B,"&lt;"&amp;EOMONTH(A22,0)+1,'14_Materials_Log'!$C:$C,B22,'14_Materials_Log'!$J:$J,"Yes"))</x:f>
      </x:c>
      <x:c r="J22" s="70" t="str">
        <x:f>IF(OR(A22="",B22=""),"",SUMIFS('13_Labor_Time'!$L:$L,'13_Labor_Time'!$B:$B,"&gt;="&amp;A22,'13_Labor_Time'!$B:$B,"&lt;"&amp;EOMONTH(A22,0)+1,'13_Labor_Time'!$C:$C,B22))</x:f>
      </x:c>
      <x:c r="K22" s="70" t="str">
        <x:f>IF(OR(I22="",G22="",H22="",J22=""),"",I22-G22-H22-J22)</x:f>
      </x:c>
      <x:c r="L22" s="140" t="str">
        <x:f>IF(C22=0,"",COUNTIFS('11_Intake_Daily'!$C:$C,"&gt;="&amp;A22,'11_Intake_Daily'!$C:$C,"&lt;"&amp;EOMONTH(A22,0)+1,'11_Intake_Daily'!$D:$D,B22,'11_Intake_Daily'!$AA:$AA,"Yes")/C22)</x:f>
      </x:c>
    </x:row>
    <x:row r="23" ht="20" customHeight="1">
      <x:c r="A23" s="28"/>
      <x:c r="B23" s="15"/>
      <x:c r="C23" s="15" t="str">
        <x:f>IF(OR(A23="",B23=""),"",COUNTIFS('11_Intake_Daily'!$C:$C,"&gt;="&amp;A23,'11_Intake_Daily'!$C:$C,"&lt;"&amp;EOMONTH(A23,0)+1,'11_Intake_Daily'!$D:$D,B23))</x:f>
      </x:c>
      <x:c r="D23" s="15" t="str">
        <x:f>IF(OR(A23="",B23=""),"",COUNTIFS('20_Proof_Queue'!$B:$B,"&gt;="&amp;A23,'20_Proof_Queue'!$B:$B,"&lt;"&amp;EOMONTH(A23,0)+1,'20_Proof_Queue'!$C:$C,B23,'20_Proof_Queue'!$H:$H,"&lt;&gt;Closed"))</x:f>
      </x:c>
      <x:c r="E23" s="138" t="str">
        <x:f>IF(OR(A23="",B23=""),"",SUMIFS('12_Production_Log'!$H:$H,'12_Production_Log'!$B:$B,"&gt;="&amp;A23,'12_Production_Log'!$B:$B,"&lt;"&amp;EOMONTH(A23,0)+1,'12_Production_Log'!$C:$C,B23))</x:f>
      </x:c>
      <x:c r="F23" s="136" t="str">
        <x:f>IF(OR(A23="",B23=""),"",SUMIFS('13_Labor_Time'!$J:$J,'13_Labor_Time'!$B:$B,"&gt;="&amp;A23,'13_Labor_Time'!$B:$B,"&lt;"&amp;EOMONTH(A23,0)+1,'13_Labor_Time'!$C:$C,B23))</x:f>
      </x:c>
      <x:c r="G23" s="70" t="str">
        <x:f>IF(OR(A23="",B23=""),"",SUMIFS('14_Materials_Log'!$I:$I,'14_Materials_Log'!$B:$B,"&gt;="&amp;A23,'14_Materials_Log'!$B:$B,"&lt;"&amp;EOMONTH(A23,0)+1,'14_Materials_Log'!$C:$C,B23))</x:f>
      </x:c>
      <x:c r="H23" s="70" t="str">
        <x:f>IF(OR(A23="",B23=""),"",SUMIFS('15_Equipment_Log'!$M:$M,'15_Equipment_Log'!$B:$B,"&gt;="&amp;A23,'15_Equipment_Log'!$B:$B,"&lt;"&amp;EOMONTH(A23,0)+1,'15_Equipment_Log'!$C:$C,B23))</x:f>
      </x:c>
      <x:c r="I23" s="70" t="str">
        <x:f>IF(OR(A23="",B23=""),"",SUMIFS('12_Production_Log'!$M:$M,'12_Production_Log'!$B:$B,"&gt;="&amp;A23,'12_Production_Log'!$B:$B,"&lt;"&amp;EOMONTH(A23,0)+1,'12_Production_Log'!$C:$C,B23)+SUMIFS('14_Materials_Log'!$I:$I,'14_Materials_Log'!$B:$B,"&gt;="&amp;A23,'14_Materials_Log'!$B:$B,"&lt;"&amp;EOMONTH(A23,0)+1,'14_Materials_Log'!$C:$C,B23,'14_Materials_Log'!$J:$J,"Yes"))</x:f>
      </x:c>
      <x:c r="J23" s="70" t="str">
        <x:f>IF(OR(A23="",B23=""),"",SUMIFS('13_Labor_Time'!$L:$L,'13_Labor_Time'!$B:$B,"&gt;="&amp;A23,'13_Labor_Time'!$B:$B,"&lt;"&amp;EOMONTH(A23,0)+1,'13_Labor_Time'!$C:$C,B23))</x:f>
      </x:c>
      <x:c r="K23" s="70" t="str">
        <x:f>IF(OR(I23="",G23="",H23="",J23=""),"",I23-G23-H23-J23)</x:f>
      </x:c>
      <x:c r="L23" s="140" t="str">
        <x:f>IF(C23=0,"",COUNTIFS('11_Intake_Daily'!$C:$C,"&gt;="&amp;A23,'11_Intake_Daily'!$C:$C,"&lt;"&amp;EOMONTH(A23,0)+1,'11_Intake_Daily'!$D:$D,B23,'11_Intake_Daily'!$AA:$AA,"Yes")/C23)</x:f>
      </x:c>
    </x:row>
    <x:row r="24" ht="20" customHeight="1">
      <x:c r="A24" s="28"/>
      <x:c r="B24" s="15"/>
      <x:c r="C24" s="15" t="str">
        <x:f>IF(OR(A24="",B24=""),"",COUNTIFS('11_Intake_Daily'!$C:$C,"&gt;="&amp;A24,'11_Intake_Daily'!$C:$C,"&lt;"&amp;EOMONTH(A24,0)+1,'11_Intake_Daily'!$D:$D,B24))</x:f>
      </x:c>
      <x:c r="D24" s="15" t="str">
        <x:f>IF(OR(A24="",B24=""),"",COUNTIFS('20_Proof_Queue'!$B:$B,"&gt;="&amp;A24,'20_Proof_Queue'!$B:$B,"&lt;"&amp;EOMONTH(A24,0)+1,'20_Proof_Queue'!$C:$C,B24,'20_Proof_Queue'!$H:$H,"&lt;&gt;Closed"))</x:f>
      </x:c>
      <x:c r="E24" s="138" t="str">
        <x:f>IF(OR(A24="",B24=""),"",SUMIFS('12_Production_Log'!$H:$H,'12_Production_Log'!$B:$B,"&gt;="&amp;A24,'12_Production_Log'!$B:$B,"&lt;"&amp;EOMONTH(A24,0)+1,'12_Production_Log'!$C:$C,B24))</x:f>
      </x:c>
      <x:c r="F24" s="136" t="str">
        <x:f>IF(OR(A24="",B24=""),"",SUMIFS('13_Labor_Time'!$J:$J,'13_Labor_Time'!$B:$B,"&gt;="&amp;A24,'13_Labor_Time'!$B:$B,"&lt;"&amp;EOMONTH(A24,0)+1,'13_Labor_Time'!$C:$C,B24))</x:f>
      </x:c>
      <x:c r="G24" s="70" t="str">
        <x:f>IF(OR(A24="",B24=""),"",SUMIFS('14_Materials_Log'!$I:$I,'14_Materials_Log'!$B:$B,"&gt;="&amp;A24,'14_Materials_Log'!$B:$B,"&lt;"&amp;EOMONTH(A24,0)+1,'14_Materials_Log'!$C:$C,B24))</x:f>
      </x:c>
      <x:c r="H24" s="70" t="str">
        <x:f>IF(OR(A24="",B24=""),"",SUMIFS('15_Equipment_Log'!$M:$M,'15_Equipment_Log'!$B:$B,"&gt;="&amp;A24,'15_Equipment_Log'!$B:$B,"&lt;"&amp;EOMONTH(A24,0)+1,'15_Equipment_Log'!$C:$C,B24))</x:f>
      </x:c>
      <x:c r="I24" s="70" t="str">
        <x:f>IF(OR(A24="",B24=""),"",SUMIFS('12_Production_Log'!$M:$M,'12_Production_Log'!$B:$B,"&gt;="&amp;A24,'12_Production_Log'!$B:$B,"&lt;"&amp;EOMONTH(A24,0)+1,'12_Production_Log'!$C:$C,B24)+SUMIFS('14_Materials_Log'!$I:$I,'14_Materials_Log'!$B:$B,"&gt;="&amp;A24,'14_Materials_Log'!$B:$B,"&lt;"&amp;EOMONTH(A24,0)+1,'14_Materials_Log'!$C:$C,B24,'14_Materials_Log'!$J:$J,"Yes"))</x:f>
      </x:c>
      <x:c r="J24" s="70" t="str">
        <x:f>IF(OR(A24="",B24=""),"",SUMIFS('13_Labor_Time'!$L:$L,'13_Labor_Time'!$B:$B,"&gt;="&amp;A24,'13_Labor_Time'!$B:$B,"&lt;"&amp;EOMONTH(A24,0)+1,'13_Labor_Time'!$C:$C,B24))</x:f>
      </x:c>
      <x:c r="K24" s="70" t="str">
        <x:f>IF(OR(I24="",G24="",H24="",J24=""),"",I24-G24-H24-J24)</x:f>
      </x:c>
      <x:c r="L24" s="140" t="str">
        <x:f>IF(C24=0,"",COUNTIFS('11_Intake_Daily'!$C:$C,"&gt;="&amp;A24,'11_Intake_Daily'!$C:$C,"&lt;"&amp;EOMONTH(A24,0)+1,'11_Intake_Daily'!$D:$D,B24,'11_Intake_Daily'!$AA:$AA,"Yes")/C24)</x:f>
      </x:c>
    </x:row>
    <x:row r="25" ht="20" customHeight="1">
      <x:c r="A25" s="28"/>
      <x:c r="B25" s="15"/>
      <x:c r="C25" s="15" t="str">
        <x:f>IF(OR(A25="",B25=""),"",COUNTIFS('11_Intake_Daily'!$C:$C,"&gt;="&amp;A25,'11_Intake_Daily'!$C:$C,"&lt;"&amp;EOMONTH(A25,0)+1,'11_Intake_Daily'!$D:$D,B25))</x:f>
      </x:c>
      <x:c r="D25" s="15" t="str">
        <x:f>IF(OR(A25="",B25=""),"",COUNTIFS('20_Proof_Queue'!$B:$B,"&gt;="&amp;A25,'20_Proof_Queue'!$B:$B,"&lt;"&amp;EOMONTH(A25,0)+1,'20_Proof_Queue'!$C:$C,B25,'20_Proof_Queue'!$H:$H,"&lt;&gt;Closed"))</x:f>
      </x:c>
      <x:c r="E25" s="138" t="str">
        <x:f>IF(OR(A25="",B25=""),"",SUMIFS('12_Production_Log'!$H:$H,'12_Production_Log'!$B:$B,"&gt;="&amp;A25,'12_Production_Log'!$B:$B,"&lt;"&amp;EOMONTH(A25,0)+1,'12_Production_Log'!$C:$C,B25))</x:f>
      </x:c>
      <x:c r="F25" s="136" t="str">
        <x:f>IF(OR(A25="",B25=""),"",SUMIFS('13_Labor_Time'!$J:$J,'13_Labor_Time'!$B:$B,"&gt;="&amp;A25,'13_Labor_Time'!$B:$B,"&lt;"&amp;EOMONTH(A25,0)+1,'13_Labor_Time'!$C:$C,B25))</x:f>
      </x:c>
      <x:c r="G25" s="70" t="str">
        <x:f>IF(OR(A25="",B25=""),"",SUMIFS('14_Materials_Log'!$I:$I,'14_Materials_Log'!$B:$B,"&gt;="&amp;A25,'14_Materials_Log'!$B:$B,"&lt;"&amp;EOMONTH(A25,0)+1,'14_Materials_Log'!$C:$C,B25))</x:f>
      </x:c>
      <x:c r="H25" s="70" t="str">
        <x:f>IF(OR(A25="",B25=""),"",SUMIFS('15_Equipment_Log'!$M:$M,'15_Equipment_Log'!$B:$B,"&gt;="&amp;A25,'15_Equipment_Log'!$B:$B,"&lt;"&amp;EOMONTH(A25,0)+1,'15_Equipment_Log'!$C:$C,B25))</x:f>
      </x:c>
      <x:c r="I25" s="70" t="str">
        <x:f>IF(OR(A25="",B25=""),"",SUMIFS('12_Production_Log'!$M:$M,'12_Production_Log'!$B:$B,"&gt;="&amp;A25,'12_Production_Log'!$B:$B,"&lt;"&amp;EOMONTH(A25,0)+1,'12_Production_Log'!$C:$C,B25)+SUMIFS('14_Materials_Log'!$I:$I,'14_Materials_Log'!$B:$B,"&gt;="&amp;A25,'14_Materials_Log'!$B:$B,"&lt;"&amp;EOMONTH(A25,0)+1,'14_Materials_Log'!$C:$C,B25,'14_Materials_Log'!$J:$J,"Yes"))</x:f>
      </x:c>
      <x:c r="J25" s="70" t="str">
        <x:f>IF(OR(A25="",B25=""),"",SUMIFS('13_Labor_Time'!$L:$L,'13_Labor_Time'!$B:$B,"&gt;="&amp;A25,'13_Labor_Time'!$B:$B,"&lt;"&amp;EOMONTH(A25,0)+1,'13_Labor_Time'!$C:$C,B25))</x:f>
      </x:c>
      <x:c r="K25" s="70" t="str">
        <x:f>IF(OR(I25="",G25="",H25="",J25=""),"",I25-G25-H25-J25)</x:f>
      </x:c>
      <x:c r="L25" s="140" t="str">
        <x:f>IF(C25=0,"",COUNTIFS('11_Intake_Daily'!$C:$C,"&gt;="&amp;A25,'11_Intake_Daily'!$C:$C,"&lt;"&amp;EOMONTH(A25,0)+1,'11_Intake_Daily'!$D:$D,B25,'11_Intake_Daily'!$AA:$AA,"Yes")/C25)</x:f>
      </x:c>
    </x:row>
    <x:row r="26" ht="20" customHeight="1">
      <x:c r="A26" s="28"/>
      <x:c r="B26" s="15"/>
      <x:c r="C26" s="15" t="str">
        <x:f>IF(OR(A26="",B26=""),"",COUNTIFS('11_Intake_Daily'!$C:$C,"&gt;="&amp;A26,'11_Intake_Daily'!$C:$C,"&lt;"&amp;EOMONTH(A26,0)+1,'11_Intake_Daily'!$D:$D,B26))</x:f>
      </x:c>
      <x:c r="D26" s="15" t="str">
        <x:f>IF(OR(A26="",B26=""),"",COUNTIFS('20_Proof_Queue'!$B:$B,"&gt;="&amp;A26,'20_Proof_Queue'!$B:$B,"&lt;"&amp;EOMONTH(A26,0)+1,'20_Proof_Queue'!$C:$C,B26,'20_Proof_Queue'!$H:$H,"&lt;&gt;Closed"))</x:f>
      </x:c>
      <x:c r="E26" s="138" t="str">
        <x:f>IF(OR(A26="",B26=""),"",SUMIFS('12_Production_Log'!$H:$H,'12_Production_Log'!$B:$B,"&gt;="&amp;A26,'12_Production_Log'!$B:$B,"&lt;"&amp;EOMONTH(A26,0)+1,'12_Production_Log'!$C:$C,B26))</x:f>
      </x:c>
      <x:c r="F26" s="136" t="str">
        <x:f>IF(OR(A26="",B26=""),"",SUMIFS('13_Labor_Time'!$J:$J,'13_Labor_Time'!$B:$B,"&gt;="&amp;A26,'13_Labor_Time'!$B:$B,"&lt;"&amp;EOMONTH(A26,0)+1,'13_Labor_Time'!$C:$C,B26))</x:f>
      </x:c>
      <x:c r="G26" s="70" t="str">
        <x:f>IF(OR(A26="",B26=""),"",SUMIFS('14_Materials_Log'!$I:$I,'14_Materials_Log'!$B:$B,"&gt;="&amp;A26,'14_Materials_Log'!$B:$B,"&lt;"&amp;EOMONTH(A26,0)+1,'14_Materials_Log'!$C:$C,B26))</x:f>
      </x:c>
      <x:c r="H26" s="70" t="str">
        <x:f>IF(OR(A26="",B26=""),"",SUMIFS('15_Equipment_Log'!$M:$M,'15_Equipment_Log'!$B:$B,"&gt;="&amp;A26,'15_Equipment_Log'!$B:$B,"&lt;"&amp;EOMONTH(A26,0)+1,'15_Equipment_Log'!$C:$C,B26))</x:f>
      </x:c>
      <x:c r="I26" s="70" t="str">
        <x:f>IF(OR(A26="",B26=""),"",SUMIFS('12_Production_Log'!$M:$M,'12_Production_Log'!$B:$B,"&gt;="&amp;A26,'12_Production_Log'!$B:$B,"&lt;"&amp;EOMONTH(A26,0)+1,'12_Production_Log'!$C:$C,B26)+SUMIFS('14_Materials_Log'!$I:$I,'14_Materials_Log'!$B:$B,"&gt;="&amp;A26,'14_Materials_Log'!$B:$B,"&lt;"&amp;EOMONTH(A26,0)+1,'14_Materials_Log'!$C:$C,B26,'14_Materials_Log'!$J:$J,"Yes"))</x:f>
      </x:c>
      <x:c r="J26" s="70" t="str">
        <x:f>IF(OR(A26="",B26=""),"",SUMIFS('13_Labor_Time'!$L:$L,'13_Labor_Time'!$B:$B,"&gt;="&amp;A26,'13_Labor_Time'!$B:$B,"&lt;"&amp;EOMONTH(A26,0)+1,'13_Labor_Time'!$C:$C,B26))</x:f>
      </x:c>
      <x:c r="K26" s="70" t="str">
        <x:f>IF(OR(I26="",G26="",H26="",J26=""),"",I26-G26-H26-J26)</x:f>
      </x:c>
      <x:c r="L26" s="140" t="str">
        <x:f>IF(C26=0,"",COUNTIFS('11_Intake_Daily'!$C:$C,"&gt;="&amp;A26,'11_Intake_Daily'!$C:$C,"&lt;"&amp;EOMONTH(A26,0)+1,'11_Intake_Daily'!$D:$D,B26,'11_Intake_Daily'!$AA:$AA,"Yes")/C26)</x:f>
      </x:c>
    </x:row>
    <x:row r="27" ht="20" customHeight="1">
      <x:c r="A27" s="28"/>
      <x:c r="B27" s="15"/>
      <x:c r="C27" s="15" t="str">
        <x:f>IF(OR(A27="",B27=""),"",COUNTIFS('11_Intake_Daily'!$C:$C,"&gt;="&amp;A27,'11_Intake_Daily'!$C:$C,"&lt;"&amp;EOMONTH(A27,0)+1,'11_Intake_Daily'!$D:$D,B27))</x:f>
      </x:c>
      <x:c r="D27" s="15" t="str">
        <x:f>IF(OR(A27="",B27=""),"",COUNTIFS('20_Proof_Queue'!$B:$B,"&gt;="&amp;A27,'20_Proof_Queue'!$B:$B,"&lt;"&amp;EOMONTH(A27,0)+1,'20_Proof_Queue'!$C:$C,B27,'20_Proof_Queue'!$H:$H,"&lt;&gt;Closed"))</x:f>
      </x:c>
      <x:c r="E27" s="138" t="str">
        <x:f>IF(OR(A27="",B27=""),"",SUMIFS('12_Production_Log'!$H:$H,'12_Production_Log'!$B:$B,"&gt;="&amp;A27,'12_Production_Log'!$B:$B,"&lt;"&amp;EOMONTH(A27,0)+1,'12_Production_Log'!$C:$C,B27))</x:f>
      </x:c>
      <x:c r="F27" s="136" t="str">
        <x:f>IF(OR(A27="",B27=""),"",SUMIFS('13_Labor_Time'!$J:$J,'13_Labor_Time'!$B:$B,"&gt;="&amp;A27,'13_Labor_Time'!$B:$B,"&lt;"&amp;EOMONTH(A27,0)+1,'13_Labor_Time'!$C:$C,B27))</x:f>
      </x:c>
      <x:c r="G27" s="70" t="str">
        <x:f>IF(OR(A27="",B27=""),"",SUMIFS('14_Materials_Log'!$I:$I,'14_Materials_Log'!$B:$B,"&gt;="&amp;A27,'14_Materials_Log'!$B:$B,"&lt;"&amp;EOMONTH(A27,0)+1,'14_Materials_Log'!$C:$C,B27))</x:f>
      </x:c>
      <x:c r="H27" s="70" t="str">
        <x:f>IF(OR(A27="",B27=""),"",SUMIFS('15_Equipment_Log'!$M:$M,'15_Equipment_Log'!$B:$B,"&gt;="&amp;A27,'15_Equipment_Log'!$B:$B,"&lt;"&amp;EOMONTH(A27,0)+1,'15_Equipment_Log'!$C:$C,B27))</x:f>
      </x:c>
      <x:c r="I27" s="70" t="str">
        <x:f>IF(OR(A27="",B27=""),"",SUMIFS('12_Production_Log'!$M:$M,'12_Production_Log'!$B:$B,"&gt;="&amp;A27,'12_Production_Log'!$B:$B,"&lt;"&amp;EOMONTH(A27,0)+1,'12_Production_Log'!$C:$C,B27)+SUMIFS('14_Materials_Log'!$I:$I,'14_Materials_Log'!$B:$B,"&gt;="&amp;A27,'14_Materials_Log'!$B:$B,"&lt;"&amp;EOMONTH(A27,0)+1,'14_Materials_Log'!$C:$C,B27,'14_Materials_Log'!$J:$J,"Yes"))</x:f>
      </x:c>
      <x:c r="J27" s="70" t="str">
        <x:f>IF(OR(A27="",B27=""),"",SUMIFS('13_Labor_Time'!$L:$L,'13_Labor_Time'!$B:$B,"&gt;="&amp;A27,'13_Labor_Time'!$B:$B,"&lt;"&amp;EOMONTH(A27,0)+1,'13_Labor_Time'!$C:$C,B27))</x:f>
      </x:c>
      <x:c r="K27" s="70" t="str">
        <x:f>IF(OR(I27="",G27="",H27="",J27=""),"",I27-G27-H27-J27)</x:f>
      </x:c>
      <x:c r="L27" s="140" t="str">
        <x:f>IF(C27=0,"",COUNTIFS('11_Intake_Daily'!$C:$C,"&gt;="&amp;A27,'11_Intake_Daily'!$C:$C,"&lt;"&amp;EOMONTH(A27,0)+1,'11_Intake_Daily'!$D:$D,B27,'11_Intake_Daily'!$AA:$AA,"Yes")/C27)</x:f>
      </x:c>
    </x:row>
    <x:row r="28" ht="20" customHeight="1">
      <x:c r="A28" s="28"/>
      <x:c r="B28" s="15"/>
      <x:c r="C28" s="15" t="str">
        <x:f>IF(OR(A28="",B28=""),"",COUNTIFS('11_Intake_Daily'!$C:$C,"&gt;="&amp;A28,'11_Intake_Daily'!$C:$C,"&lt;"&amp;EOMONTH(A28,0)+1,'11_Intake_Daily'!$D:$D,B28))</x:f>
      </x:c>
      <x:c r="D28" s="15" t="str">
        <x:f>IF(OR(A28="",B28=""),"",COUNTIFS('20_Proof_Queue'!$B:$B,"&gt;="&amp;A28,'20_Proof_Queue'!$B:$B,"&lt;"&amp;EOMONTH(A28,0)+1,'20_Proof_Queue'!$C:$C,B28,'20_Proof_Queue'!$H:$H,"&lt;&gt;Closed"))</x:f>
      </x:c>
      <x:c r="E28" s="138" t="str">
        <x:f>IF(OR(A28="",B28=""),"",SUMIFS('12_Production_Log'!$H:$H,'12_Production_Log'!$B:$B,"&gt;="&amp;A28,'12_Production_Log'!$B:$B,"&lt;"&amp;EOMONTH(A28,0)+1,'12_Production_Log'!$C:$C,B28))</x:f>
      </x:c>
      <x:c r="F28" s="136" t="str">
        <x:f>IF(OR(A28="",B28=""),"",SUMIFS('13_Labor_Time'!$J:$J,'13_Labor_Time'!$B:$B,"&gt;="&amp;A28,'13_Labor_Time'!$B:$B,"&lt;"&amp;EOMONTH(A28,0)+1,'13_Labor_Time'!$C:$C,B28))</x:f>
      </x:c>
      <x:c r="G28" s="70" t="str">
        <x:f>IF(OR(A28="",B28=""),"",SUMIFS('14_Materials_Log'!$I:$I,'14_Materials_Log'!$B:$B,"&gt;="&amp;A28,'14_Materials_Log'!$B:$B,"&lt;"&amp;EOMONTH(A28,0)+1,'14_Materials_Log'!$C:$C,B28))</x:f>
      </x:c>
      <x:c r="H28" s="70" t="str">
        <x:f>IF(OR(A28="",B28=""),"",SUMIFS('15_Equipment_Log'!$M:$M,'15_Equipment_Log'!$B:$B,"&gt;="&amp;A28,'15_Equipment_Log'!$B:$B,"&lt;"&amp;EOMONTH(A28,0)+1,'15_Equipment_Log'!$C:$C,B28))</x:f>
      </x:c>
      <x:c r="I28" s="70" t="str">
        <x:f>IF(OR(A28="",B28=""),"",SUMIFS('12_Production_Log'!$M:$M,'12_Production_Log'!$B:$B,"&gt;="&amp;A28,'12_Production_Log'!$B:$B,"&lt;"&amp;EOMONTH(A28,0)+1,'12_Production_Log'!$C:$C,B28)+SUMIFS('14_Materials_Log'!$I:$I,'14_Materials_Log'!$B:$B,"&gt;="&amp;A28,'14_Materials_Log'!$B:$B,"&lt;"&amp;EOMONTH(A28,0)+1,'14_Materials_Log'!$C:$C,B28,'14_Materials_Log'!$J:$J,"Yes"))</x:f>
      </x:c>
      <x:c r="J28" s="70" t="str">
        <x:f>IF(OR(A28="",B28=""),"",SUMIFS('13_Labor_Time'!$L:$L,'13_Labor_Time'!$B:$B,"&gt;="&amp;A28,'13_Labor_Time'!$B:$B,"&lt;"&amp;EOMONTH(A28,0)+1,'13_Labor_Time'!$C:$C,B28))</x:f>
      </x:c>
      <x:c r="K28" s="70" t="str">
        <x:f>IF(OR(I28="",G28="",H28="",J28=""),"",I28-G28-H28-J28)</x:f>
      </x:c>
      <x:c r="L28" s="140" t="str">
        <x:f>IF(C28=0,"",COUNTIFS('11_Intake_Daily'!$C:$C,"&gt;="&amp;A28,'11_Intake_Daily'!$C:$C,"&lt;"&amp;EOMONTH(A28,0)+1,'11_Intake_Daily'!$D:$D,B28,'11_Intake_Daily'!$AA:$AA,"Yes")/C28)</x:f>
      </x:c>
    </x:row>
    <x:row r="29" ht="20" customHeight="1">
      <x:c r="A29" s="28"/>
      <x:c r="B29" s="15"/>
      <x:c r="C29" s="15" t="str">
        <x:f>IF(OR(A29="",B29=""),"",COUNTIFS('11_Intake_Daily'!$C:$C,"&gt;="&amp;A29,'11_Intake_Daily'!$C:$C,"&lt;"&amp;EOMONTH(A29,0)+1,'11_Intake_Daily'!$D:$D,B29))</x:f>
      </x:c>
      <x:c r="D29" s="15" t="str">
        <x:f>IF(OR(A29="",B29=""),"",COUNTIFS('20_Proof_Queue'!$B:$B,"&gt;="&amp;A29,'20_Proof_Queue'!$B:$B,"&lt;"&amp;EOMONTH(A29,0)+1,'20_Proof_Queue'!$C:$C,B29,'20_Proof_Queue'!$H:$H,"&lt;&gt;Closed"))</x:f>
      </x:c>
      <x:c r="E29" s="138" t="str">
        <x:f>IF(OR(A29="",B29=""),"",SUMIFS('12_Production_Log'!$H:$H,'12_Production_Log'!$B:$B,"&gt;="&amp;A29,'12_Production_Log'!$B:$B,"&lt;"&amp;EOMONTH(A29,0)+1,'12_Production_Log'!$C:$C,B29))</x:f>
      </x:c>
      <x:c r="F29" s="136" t="str">
        <x:f>IF(OR(A29="",B29=""),"",SUMIFS('13_Labor_Time'!$J:$J,'13_Labor_Time'!$B:$B,"&gt;="&amp;A29,'13_Labor_Time'!$B:$B,"&lt;"&amp;EOMONTH(A29,0)+1,'13_Labor_Time'!$C:$C,B29))</x:f>
      </x:c>
      <x:c r="G29" s="70" t="str">
        <x:f>IF(OR(A29="",B29=""),"",SUMIFS('14_Materials_Log'!$I:$I,'14_Materials_Log'!$B:$B,"&gt;="&amp;A29,'14_Materials_Log'!$B:$B,"&lt;"&amp;EOMONTH(A29,0)+1,'14_Materials_Log'!$C:$C,B29))</x:f>
      </x:c>
      <x:c r="H29" s="70" t="str">
        <x:f>IF(OR(A29="",B29=""),"",SUMIFS('15_Equipment_Log'!$M:$M,'15_Equipment_Log'!$B:$B,"&gt;="&amp;A29,'15_Equipment_Log'!$B:$B,"&lt;"&amp;EOMONTH(A29,0)+1,'15_Equipment_Log'!$C:$C,B29))</x:f>
      </x:c>
      <x:c r="I29" s="70" t="str">
        <x:f>IF(OR(A29="",B29=""),"",SUMIFS('12_Production_Log'!$M:$M,'12_Production_Log'!$B:$B,"&gt;="&amp;A29,'12_Production_Log'!$B:$B,"&lt;"&amp;EOMONTH(A29,0)+1,'12_Production_Log'!$C:$C,B29)+SUMIFS('14_Materials_Log'!$I:$I,'14_Materials_Log'!$B:$B,"&gt;="&amp;A29,'14_Materials_Log'!$B:$B,"&lt;"&amp;EOMONTH(A29,0)+1,'14_Materials_Log'!$C:$C,B29,'14_Materials_Log'!$J:$J,"Yes"))</x:f>
      </x:c>
      <x:c r="J29" s="70" t="str">
        <x:f>IF(OR(A29="",B29=""),"",SUMIFS('13_Labor_Time'!$L:$L,'13_Labor_Time'!$B:$B,"&gt;="&amp;A29,'13_Labor_Time'!$B:$B,"&lt;"&amp;EOMONTH(A29,0)+1,'13_Labor_Time'!$C:$C,B29))</x:f>
      </x:c>
      <x:c r="K29" s="70" t="str">
        <x:f>IF(OR(I29="",G29="",H29="",J29=""),"",I29-G29-H29-J29)</x:f>
      </x:c>
      <x:c r="L29" s="140" t="str">
        <x:f>IF(C29=0,"",COUNTIFS('11_Intake_Daily'!$C:$C,"&gt;="&amp;A29,'11_Intake_Daily'!$C:$C,"&lt;"&amp;EOMONTH(A29,0)+1,'11_Intake_Daily'!$D:$D,B29,'11_Intake_Daily'!$AA:$AA,"Yes")/C29)</x:f>
      </x:c>
    </x:row>
    <x:row r="30" ht="20" customHeight="1">
      <x:c r="A30" s="28"/>
      <x:c r="B30" s="15"/>
      <x:c r="C30" s="15" t="str">
        <x:f>IF(OR(A30="",B30=""),"",COUNTIFS('11_Intake_Daily'!$C:$C,"&gt;="&amp;A30,'11_Intake_Daily'!$C:$C,"&lt;"&amp;EOMONTH(A30,0)+1,'11_Intake_Daily'!$D:$D,B30))</x:f>
      </x:c>
      <x:c r="D30" s="15" t="str">
        <x:f>IF(OR(A30="",B30=""),"",COUNTIFS('20_Proof_Queue'!$B:$B,"&gt;="&amp;A30,'20_Proof_Queue'!$B:$B,"&lt;"&amp;EOMONTH(A30,0)+1,'20_Proof_Queue'!$C:$C,B30,'20_Proof_Queue'!$H:$H,"&lt;&gt;Closed"))</x:f>
      </x:c>
      <x:c r="E30" s="138" t="str">
        <x:f>IF(OR(A30="",B30=""),"",SUMIFS('12_Production_Log'!$H:$H,'12_Production_Log'!$B:$B,"&gt;="&amp;A30,'12_Production_Log'!$B:$B,"&lt;"&amp;EOMONTH(A30,0)+1,'12_Production_Log'!$C:$C,B30))</x:f>
      </x:c>
      <x:c r="F30" s="136" t="str">
        <x:f>IF(OR(A30="",B30=""),"",SUMIFS('13_Labor_Time'!$J:$J,'13_Labor_Time'!$B:$B,"&gt;="&amp;A30,'13_Labor_Time'!$B:$B,"&lt;"&amp;EOMONTH(A30,0)+1,'13_Labor_Time'!$C:$C,B30))</x:f>
      </x:c>
      <x:c r="G30" s="70" t="str">
        <x:f>IF(OR(A30="",B30=""),"",SUMIFS('14_Materials_Log'!$I:$I,'14_Materials_Log'!$B:$B,"&gt;="&amp;A30,'14_Materials_Log'!$B:$B,"&lt;"&amp;EOMONTH(A30,0)+1,'14_Materials_Log'!$C:$C,B30))</x:f>
      </x:c>
      <x:c r="H30" s="70" t="str">
        <x:f>IF(OR(A30="",B30=""),"",SUMIFS('15_Equipment_Log'!$M:$M,'15_Equipment_Log'!$B:$B,"&gt;="&amp;A30,'15_Equipment_Log'!$B:$B,"&lt;"&amp;EOMONTH(A30,0)+1,'15_Equipment_Log'!$C:$C,B30))</x:f>
      </x:c>
      <x:c r="I30" s="70" t="str">
        <x:f>IF(OR(A30="",B30=""),"",SUMIFS('12_Production_Log'!$M:$M,'12_Production_Log'!$B:$B,"&gt;="&amp;A30,'12_Production_Log'!$B:$B,"&lt;"&amp;EOMONTH(A30,0)+1,'12_Production_Log'!$C:$C,B30)+SUMIFS('14_Materials_Log'!$I:$I,'14_Materials_Log'!$B:$B,"&gt;="&amp;A30,'14_Materials_Log'!$B:$B,"&lt;"&amp;EOMONTH(A30,0)+1,'14_Materials_Log'!$C:$C,B30,'14_Materials_Log'!$J:$J,"Yes"))</x:f>
      </x:c>
      <x:c r="J30" s="70" t="str">
        <x:f>IF(OR(A30="",B30=""),"",SUMIFS('13_Labor_Time'!$L:$L,'13_Labor_Time'!$B:$B,"&gt;="&amp;A30,'13_Labor_Time'!$B:$B,"&lt;"&amp;EOMONTH(A30,0)+1,'13_Labor_Time'!$C:$C,B30))</x:f>
      </x:c>
      <x:c r="K30" s="70" t="str">
        <x:f>IF(OR(I30="",G30="",H30="",J30=""),"",I30-G30-H30-J30)</x:f>
      </x:c>
      <x:c r="L30" s="140" t="str">
        <x:f>IF(C30=0,"",COUNTIFS('11_Intake_Daily'!$C:$C,"&gt;="&amp;A30,'11_Intake_Daily'!$C:$C,"&lt;"&amp;EOMONTH(A30,0)+1,'11_Intake_Daily'!$D:$D,B30,'11_Intake_Daily'!$AA:$AA,"Yes")/C30)</x:f>
      </x:c>
    </x:row>
    <x:row r="31" ht="20" customHeight="1">
      <x:c r="A31" s="28"/>
      <x:c r="B31" s="15"/>
      <x:c r="C31" s="15" t="str">
        <x:f>IF(OR(A31="",B31=""),"",COUNTIFS('11_Intake_Daily'!$C:$C,"&gt;="&amp;A31,'11_Intake_Daily'!$C:$C,"&lt;"&amp;EOMONTH(A31,0)+1,'11_Intake_Daily'!$D:$D,B31))</x:f>
      </x:c>
      <x:c r="D31" s="15" t="str">
        <x:f>IF(OR(A31="",B31=""),"",COUNTIFS('20_Proof_Queue'!$B:$B,"&gt;="&amp;A31,'20_Proof_Queue'!$B:$B,"&lt;"&amp;EOMONTH(A31,0)+1,'20_Proof_Queue'!$C:$C,B31,'20_Proof_Queue'!$H:$H,"&lt;&gt;Closed"))</x:f>
      </x:c>
      <x:c r="E31" s="138" t="str">
        <x:f>IF(OR(A31="",B31=""),"",SUMIFS('12_Production_Log'!$H:$H,'12_Production_Log'!$B:$B,"&gt;="&amp;A31,'12_Production_Log'!$B:$B,"&lt;"&amp;EOMONTH(A31,0)+1,'12_Production_Log'!$C:$C,B31))</x:f>
      </x:c>
      <x:c r="F31" s="136" t="str">
        <x:f>IF(OR(A31="",B31=""),"",SUMIFS('13_Labor_Time'!$J:$J,'13_Labor_Time'!$B:$B,"&gt;="&amp;A31,'13_Labor_Time'!$B:$B,"&lt;"&amp;EOMONTH(A31,0)+1,'13_Labor_Time'!$C:$C,B31))</x:f>
      </x:c>
      <x:c r="G31" s="70" t="str">
        <x:f>IF(OR(A31="",B31=""),"",SUMIFS('14_Materials_Log'!$I:$I,'14_Materials_Log'!$B:$B,"&gt;="&amp;A31,'14_Materials_Log'!$B:$B,"&lt;"&amp;EOMONTH(A31,0)+1,'14_Materials_Log'!$C:$C,B31))</x:f>
      </x:c>
      <x:c r="H31" s="70" t="str">
        <x:f>IF(OR(A31="",B31=""),"",SUMIFS('15_Equipment_Log'!$M:$M,'15_Equipment_Log'!$B:$B,"&gt;="&amp;A31,'15_Equipment_Log'!$B:$B,"&lt;"&amp;EOMONTH(A31,0)+1,'15_Equipment_Log'!$C:$C,B31))</x:f>
      </x:c>
      <x:c r="I31" s="70" t="str">
        <x:f>IF(OR(A31="",B31=""),"",SUMIFS('12_Production_Log'!$M:$M,'12_Production_Log'!$B:$B,"&gt;="&amp;A31,'12_Production_Log'!$B:$B,"&lt;"&amp;EOMONTH(A31,0)+1,'12_Production_Log'!$C:$C,B31)+SUMIFS('14_Materials_Log'!$I:$I,'14_Materials_Log'!$B:$B,"&gt;="&amp;A31,'14_Materials_Log'!$B:$B,"&lt;"&amp;EOMONTH(A31,0)+1,'14_Materials_Log'!$C:$C,B31,'14_Materials_Log'!$J:$J,"Yes"))</x:f>
      </x:c>
      <x:c r="J31" s="70" t="str">
        <x:f>IF(OR(A31="",B31=""),"",SUMIFS('13_Labor_Time'!$L:$L,'13_Labor_Time'!$B:$B,"&gt;="&amp;A31,'13_Labor_Time'!$B:$B,"&lt;"&amp;EOMONTH(A31,0)+1,'13_Labor_Time'!$C:$C,B31))</x:f>
      </x:c>
      <x:c r="K31" s="70" t="str">
        <x:f>IF(OR(I31="",G31="",H31="",J31=""),"",I31-G31-H31-J31)</x:f>
      </x:c>
      <x:c r="L31" s="140" t="str">
        <x:f>IF(C31=0,"",COUNTIFS('11_Intake_Daily'!$C:$C,"&gt;="&amp;A31,'11_Intake_Daily'!$C:$C,"&lt;"&amp;EOMONTH(A31,0)+1,'11_Intake_Daily'!$D:$D,B31,'11_Intake_Daily'!$AA:$AA,"Yes")/C31)</x:f>
      </x:c>
    </x:row>
    <x:row r="32" ht="20" customHeight="1">
      <x:c r="A32" s="28"/>
      <x:c r="B32" s="15"/>
      <x:c r="C32" s="15" t="str">
        <x:f>IF(OR(A32="",B32=""),"",COUNTIFS('11_Intake_Daily'!$C:$C,"&gt;="&amp;A32,'11_Intake_Daily'!$C:$C,"&lt;"&amp;EOMONTH(A32,0)+1,'11_Intake_Daily'!$D:$D,B32))</x:f>
      </x:c>
      <x:c r="D32" s="15" t="str">
        <x:f>IF(OR(A32="",B32=""),"",COUNTIFS('20_Proof_Queue'!$B:$B,"&gt;="&amp;A32,'20_Proof_Queue'!$B:$B,"&lt;"&amp;EOMONTH(A32,0)+1,'20_Proof_Queue'!$C:$C,B32,'20_Proof_Queue'!$H:$H,"&lt;&gt;Closed"))</x:f>
      </x:c>
      <x:c r="E32" s="138" t="str">
        <x:f>IF(OR(A32="",B32=""),"",SUMIFS('12_Production_Log'!$H:$H,'12_Production_Log'!$B:$B,"&gt;="&amp;A32,'12_Production_Log'!$B:$B,"&lt;"&amp;EOMONTH(A32,0)+1,'12_Production_Log'!$C:$C,B32))</x:f>
      </x:c>
      <x:c r="F32" s="136" t="str">
        <x:f>IF(OR(A32="",B32=""),"",SUMIFS('13_Labor_Time'!$J:$J,'13_Labor_Time'!$B:$B,"&gt;="&amp;A32,'13_Labor_Time'!$B:$B,"&lt;"&amp;EOMONTH(A32,0)+1,'13_Labor_Time'!$C:$C,B32))</x:f>
      </x:c>
      <x:c r="G32" s="70" t="str">
        <x:f>IF(OR(A32="",B32=""),"",SUMIFS('14_Materials_Log'!$I:$I,'14_Materials_Log'!$B:$B,"&gt;="&amp;A32,'14_Materials_Log'!$B:$B,"&lt;"&amp;EOMONTH(A32,0)+1,'14_Materials_Log'!$C:$C,B32))</x:f>
      </x:c>
      <x:c r="H32" s="70" t="str">
        <x:f>IF(OR(A32="",B32=""),"",SUMIFS('15_Equipment_Log'!$M:$M,'15_Equipment_Log'!$B:$B,"&gt;="&amp;A32,'15_Equipment_Log'!$B:$B,"&lt;"&amp;EOMONTH(A32,0)+1,'15_Equipment_Log'!$C:$C,B32))</x:f>
      </x:c>
      <x:c r="I32" s="70" t="str">
        <x:f>IF(OR(A32="",B32=""),"",SUMIFS('12_Production_Log'!$M:$M,'12_Production_Log'!$B:$B,"&gt;="&amp;A32,'12_Production_Log'!$B:$B,"&lt;"&amp;EOMONTH(A32,0)+1,'12_Production_Log'!$C:$C,B32)+SUMIFS('14_Materials_Log'!$I:$I,'14_Materials_Log'!$B:$B,"&gt;="&amp;A32,'14_Materials_Log'!$B:$B,"&lt;"&amp;EOMONTH(A32,0)+1,'14_Materials_Log'!$C:$C,B32,'14_Materials_Log'!$J:$J,"Yes"))</x:f>
      </x:c>
      <x:c r="J32" s="70" t="str">
        <x:f>IF(OR(A32="",B32=""),"",SUMIFS('13_Labor_Time'!$L:$L,'13_Labor_Time'!$B:$B,"&gt;="&amp;A32,'13_Labor_Time'!$B:$B,"&lt;"&amp;EOMONTH(A32,0)+1,'13_Labor_Time'!$C:$C,B32))</x:f>
      </x:c>
      <x:c r="K32" s="70" t="str">
        <x:f>IF(OR(I32="",G32="",H32="",J32=""),"",I32-G32-H32-J32)</x:f>
      </x:c>
      <x:c r="L32" s="140" t="str">
        <x:f>IF(C32=0,"",COUNTIFS('11_Intake_Daily'!$C:$C,"&gt;="&amp;A32,'11_Intake_Daily'!$C:$C,"&lt;"&amp;EOMONTH(A32,0)+1,'11_Intake_Daily'!$D:$D,B32,'11_Intake_Daily'!$AA:$AA,"Yes")/C32)</x:f>
      </x:c>
    </x:row>
    <x:row r="33" ht="20" customHeight="1">
      <x:c r="A33" s="28"/>
      <x:c r="B33" s="15"/>
      <x:c r="C33" s="15" t="str">
        <x:f>IF(OR(A33="",B33=""),"",COUNTIFS('11_Intake_Daily'!$C:$C,"&gt;="&amp;A33,'11_Intake_Daily'!$C:$C,"&lt;"&amp;EOMONTH(A33,0)+1,'11_Intake_Daily'!$D:$D,B33))</x:f>
      </x:c>
      <x:c r="D33" s="15" t="str">
        <x:f>IF(OR(A33="",B33=""),"",COUNTIFS('20_Proof_Queue'!$B:$B,"&gt;="&amp;A33,'20_Proof_Queue'!$B:$B,"&lt;"&amp;EOMONTH(A33,0)+1,'20_Proof_Queue'!$C:$C,B33,'20_Proof_Queue'!$H:$H,"&lt;&gt;Closed"))</x:f>
      </x:c>
      <x:c r="E33" s="138" t="str">
        <x:f>IF(OR(A33="",B33=""),"",SUMIFS('12_Production_Log'!$H:$H,'12_Production_Log'!$B:$B,"&gt;="&amp;A33,'12_Production_Log'!$B:$B,"&lt;"&amp;EOMONTH(A33,0)+1,'12_Production_Log'!$C:$C,B33))</x:f>
      </x:c>
      <x:c r="F33" s="136" t="str">
        <x:f>IF(OR(A33="",B33=""),"",SUMIFS('13_Labor_Time'!$J:$J,'13_Labor_Time'!$B:$B,"&gt;="&amp;A33,'13_Labor_Time'!$B:$B,"&lt;"&amp;EOMONTH(A33,0)+1,'13_Labor_Time'!$C:$C,B33))</x:f>
      </x:c>
      <x:c r="G33" s="70" t="str">
        <x:f>IF(OR(A33="",B33=""),"",SUMIFS('14_Materials_Log'!$I:$I,'14_Materials_Log'!$B:$B,"&gt;="&amp;A33,'14_Materials_Log'!$B:$B,"&lt;"&amp;EOMONTH(A33,0)+1,'14_Materials_Log'!$C:$C,B33))</x:f>
      </x:c>
      <x:c r="H33" s="70" t="str">
        <x:f>IF(OR(A33="",B33=""),"",SUMIFS('15_Equipment_Log'!$M:$M,'15_Equipment_Log'!$B:$B,"&gt;="&amp;A33,'15_Equipment_Log'!$B:$B,"&lt;"&amp;EOMONTH(A33,0)+1,'15_Equipment_Log'!$C:$C,B33))</x:f>
      </x:c>
      <x:c r="I33" s="70" t="str">
        <x:f>IF(OR(A33="",B33=""),"",SUMIFS('12_Production_Log'!$M:$M,'12_Production_Log'!$B:$B,"&gt;="&amp;A33,'12_Production_Log'!$B:$B,"&lt;"&amp;EOMONTH(A33,0)+1,'12_Production_Log'!$C:$C,B33)+SUMIFS('14_Materials_Log'!$I:$I,'14_Materials_Log'!$B:$B,"&gt;="&amp;A33,'14_Materials_Log'!$B:$B,"&lt;"&amp;EOMONTH(A33,0)+1,'14_Materials_Log'!$C:$C,B33,'14_Materials_Log'!$J:$J,"Yes"))</x:f>
      </x:c>
      <x:c r="J33" s="70" t="str">
        <x:f>IF(OR(A33="",B33=""),"",SUMIFS('13_Labor_Time'!$L:$L,'13_Labor_Time'!$B:$B,"&gt;="&amp;A33,'13_Labor_Time'!$B:$B,"&lt;"&amp;EOMONTH(A33,0)+1,'13_Labor_Time'!$C:$C,B33))</x:f>
      </x:c>
      <x:c r="K33" s="70" t="str">
        <x:f>IF(OR(I33="",G33="",H33="",J33=""),"",I33-G33-H33-J33)</x:f>
      </x:c>
      <x:c r="L33" s="140" t="str">
        <x:f>IF(C33=0,"",COUNTIFS('11_Intake_Daily'!$C:$C,"&gt;="&amp;A33,'11_Intake_Daily'!$C:$C,"&lt;"&amp;EOMONTH(A33,0)+1,'11_Intake_Daily'!$D:$D,B33,'11_Intake_Daily'!$AA:$AA,"Yes")/C33)</x:f>
      </x:c>
    </x:row>
    <x:row r="34" ht="20" customHeight="1">
      <x:c r="A34" s="28"/>
      <x:c r="B34" s="15"/>
      <x:c r="C34" s="15" t="str">
        <x:f>IF(OR(A34="",B34=""),"",COUNTIFS('11_Intake_Daily'!$C:$C,"&gt;="&amp;A34,'11_Intake_Daily'!$C:$C,"&lt;"&amp;EOMONTH(A34,0)+1,'11_Intake_Daily'!$D:$D,B34))</x:f>
      </x:c>
      <x:c r="D34" s="15" t="str">
        <x:f>IF(OR(A34="",B34=""),"",COUNTIFS('20_Proof_Queue'!$B:$B,"&gt;="&amp;A34,'20_Proof_Queue'!$B:$B,"&lt;"&amp;EOMONTH(A34,0)+1,'20_Proof_Queue'!$C:$C,B34,'20_Proof_Queue'!$H:$H,"&lt;&gt;Closed"))</x:f>
      </x:c>
      <x:c r="E34" s="138" t="str">
        <x:f>IF(OR(A34="",B34=""),"",SUMIFS('12_Production_Log'!$H:$H,'12_Production_Log'!$B:$B,"&gt;="&amp;A34,'12_Production_Log'!$B:$B,"&lt;"&amp;EOMONTH(A34,0)+1,'12_Production_Log'!$C:$C,B34))</x:f>
      </x:c>
      <x:c r="F34" s="136" t="str">
        <x:f>IF(OR(A34="",B34=""),"",SUMIFS('13_Labor_Time'!$J:$J,'13_Labor_Time'!$B:$B,"&gt;="&amp;A34,'13_Labor_Time'!$B:$B,"&lt;"&amp;EOMONTH(A34,0)+1,'13_Labor_Time'!$C:$C,B34))</x:f>
      </x:c>
      <x:c r="G34" s="70" t="str">
        <x:f>IF(OR(A34="",B34=""),"",SUMIFS('14_Materials_Log'!$I:$I,'14_Materials_Log'!$B:$B,"&gt;="&amp;A34,'14_Materials_Log'!$B:$B,"&lt;"&amp;EOMONTH(A34,0)+1,'14_Materials_Log'!$C:$C,B34))</x:f>
      </x:c>
      <x:c r="H34" s="70" t="str">
        <x:f>IF(OR(A34="",B34=""),"",SUMIFS('15_Equipment_Log'!$M:$M,'15_Equipment_Log'!$B:$B,"&gt;="&amp;A34,'15_Equipment_Log'!$B:$B,"&lt;"&amp;EOMONTH(A34,0)+1,'15_Equipment_Log'!$C:$C,B34))</x:f>
      </x:c>
      <x:c r="I34" s="70" t="str">
        <x:f>IF(OR(A34="",B34=""),"",SUMIFS('12_Production_Log'!$M:$M,'12_Production_Log'!$B:$B,"&gt;="&amp;A34,'12_Production_Log'!$B:$B,"&lt;"&amp;EOMONTH(A34,0)+1,'12_Production_Log'!$C:$C,B34)+SUMIFS('14_Materials_Log'!$I:$I,'14_Materials_Log'!$B:$B,"&gt;="&amp;A34,'14_Materials_Log'!$B:$B,"&lt;"&amp;EOMONTH(A34,0)+1,'14_Materials_Log'!$C:$C,B34,'14_Materials_Log'!$J:$J,"Yes"))</x:f>
      </x:c>
      <x:c r="J34" s="70" t="str">
        <x:f>IF(OR(A34="",B34=""),"",SUMIFS('13_Labor_Time'!$L:$L,'13_Labor_Time'!$B:$B,"&gt;="&amp;A34,'13_Labor_Time'!$B:$B,"&lt;"&amp;EOMONTH(A34,0)+1,'13_Labor_Time'!$C:$C,B34))</x:f>
      </x:c>
      <x:c r="K34" s="70" t="str">
        <x:f>IF(OR(I34="",G34="",H34="",J34=""),"",I34-G34-H34-J34)</x:f>
      </x:c>
      <x:c r="L34" s="140" t="str">
        <x:f>IF(C34=0,"",COUNTIFS('11_Intake_Daily'!$C:$C,"&gt;="&amp;A34,'11_Intake_Daily'!$C:$C,"&lt;"&amp;EOMONTH(A34,0)+1,'11_Intake_Daily'!$D:$D,B34,'11_Intake_Daily'!$AA:$AA,"Yes")/C34)</x:f>
      </x:c>
    </x:row>
    <x:row r="35" ht="20" customHeight="1">
      <x:c r="A35" s="28"/>
      <x:c r="B35" s="15"/>
      <x:c r="C35" s="15" t="str">
        <x:f>IF(OR(A35="",B35=""),"",COUNTIFS('11_Intake_Daily'!$C:$C,"&gt;="&amp;A35,'11_Intake_Daily'!$C:$C,"&lt;"&amp;EOMONTH(A35,0)+1,'11_Intake_Daily'!$D:$D,B35))</x:f>
      </x:c>
      <x:c r="D35" s="15" t="str">
        <x:f>IF(OR(A35="",B35=""),"",COUNTIFS('20_Proof_Queue'!$B:$B,"&gt;="&amp;A35,'20_Proof_Queue'!$B:$B,"&lt;"&amp;EOMONTH(A35,0)+1,'20_Proof_Queue'!$C:$C,B35,'20_Proof_Queue'!$H:$H,"&lt;&gt;Closed"))</x:f>
      </x:c>
      <x:c r="E35" s="138" t="str">
        <x:f>IF(OR(A35="",B35=""),"",SUMIFS('12_Production_Log'!$H:$H,'12_Production_Log'!$B:$B,"&gt;="&amp;A35,'12_Production_Log'!$B:$B,"&lt;"&amp;EOMONTH(A35,0)+1,'12_Production_Log'!$C:$C,B35))</x:f>
      </x:c>
      <x:c r="F35" s="136" t="str">
        <x:f>IF(OR(A35="",B35=""),"",SUMIFS('13_Labor_Time'!$J:$J,'13_Labor_Time'!$B:$B,"&gt;="&amp;A35,'13_Labor_Time'!$B:$B,"&lt;"&amp;EOMONTH(A35,0)+1,'13_Labor_Time'!$C:$C,B35))</x:f>
      </x:c>
      <x:c r="G35" s="70" t="str">
        <x:f>IF(OR(A35="",B35=""),"",SUMIFS('14_Materials_Log'!$I:$I,'14_Materials_Log'!$B:$B,"&gt;="&amp;A35,'14_Materials_Log'!$B:$B,"&lt;"&amp;EOMONTH(A35,0)+1,'14_Materials_Log'!$C:$C,B35))</x:f>
      </x:c>
      <x:c r="H35" s="70" t="str">
        <x:f>IF(OR(A35="",B35=""),"",SUMIFS('15_Equipment_Log'!$M:$M,'15_Equipment_Log'!$B:$B,"&gt;="&amp;A35,'15_Equipment_Log'!$B:$B,"&lt;"&amp;EOMONTH(A35,0)+1,'15_Equipment_Log'!$C:$C,B35))</x:f>
      </x:c>
      <x:c r="I35" s="70" t="str">
        <x:f>IF(OR(A35="",B35=""),"",SUMIFS('12_Production_Log'!$M:$M,'12_Production_Log'!$B:$B,"&gt;="&amp;A35,'12_Production_Log'!$B:$B,"&lt;"&amp;EOMONTH(A35,0)+1,'12_Production_Log'!$C:$C,B35)+SUMIFS('14_Materials_Log'!$I:$I,'14_Materials_Log'!$B:$B,"&gt;="&amp;A35,'14_Materials_Log'!$B:$B,"&lt;"&amp;EOMONTH(A35,0)+1,'14_Materials_Log'!$C:$C,B35,'14_Materials_Log'!$J:$J,"Yes"))</x:f>
      </x:c>
      <x:c r="J35" s="70" t="str">
        <x:f>IF(OR(A35="",B35=""),"",SUMIFS('13_Labor_Time'!$L:$L,'13_Labor_Time'!$B:$B,"&gt;="&amp;A35,'13_Labor_Time'!$B:$B,"&lt;"&amp;EOMONTH(A35,0)+1,'13_Labor_Time'!$C:$C,B35))</x:f>
      </x:c>
      <x:c r="K35" s="70" t="str">
        <x:f>IF(OR(I35="",G35="",H35="",J35=""),"",I35-G35-H35-J35)</x:f>
      </x:c>
      <x:c r="L35" s="140" t="str">
        <x:f>IF(C35=0,"",COUNTIFS('11_Intake_Daily'!$C:$C,"&gt;="&amp;A35,'11_Intake_Daily'!$C:$C,"&lt;"&amp;EOMONTH(A35,0)+1,'11_Intake_Daily'!$D:$D,B35,'11_Intake_Daily'!$AA:$AA,"Yes")/C35)</x:f>
      </x:c>
    </x:row>
    <x:row r="36" ht="20" customHeight="1">
      <x:c r="A36" s="28"/>
      <x:c r="B36" s="15"/>
      <x:c r="C36" s="15" t="str">
        <x:f>IF(OR(A36="",B36=""),"",COUNTIFS('11_Intake_Daily'!$C:$C,"&gt;="&amp;A36,'11_Intake_Daily'!$C:$C,"&lt;"&amp;EOMONTH(A36,0)+1,'11_Intake_Daily'!$D:$D,B36))</x:f>
      </x:c>
      <x:c r="D36" s="15" t="str">
        <x:f>IF(OR(A36="",B36=""),"",COUNTIFS('20_Proof_Queue'!$B:$B,"&gt;="&amp;A36,'20_Proof_Queue'!$B:$B,"&lt;"&amp;EOMONTH(A36,0)+1,'20_Proof_Queue'!$C:$C,B36,'20_Proof_Queue'!$H:$H,"&lt;&gt;Closed"))</x:f>
      </x:c>
      <x:c r="E36" s="138" t="str">
        <x:f>IF(OR(A36="",B36=""),"",SUMIFS('12_Production_Log'!$H:$H,'12_Production_Log'!$B:$B,"&gt;="&amp;A36,'12_Production_Log'!$B:$B,"&lt;"&amp;EOMONTH(A36,0)+1,'12_Production_Log'!$C:$C,B36))</x:f>
      </x:c>
      <x:c r="F36" s="136" t="str">
        <x:f>IF(OR(A36="",B36=""),"",SUMIFS('13_Labor_Time'!$J:$J,'13_Labor_Time'!$B:$B,"&gt;="&amp;A36,'13_Labor_Time'!$B:$B,"&lt;"&amp;EOMONTH(A36,0)+1,'13_Labor_Time'!$C:$C,B36))</x:f>
      </x:c>
      <x:c r="G36" s="70" t="str">
        <x:f>IF(OR(A36="",B36=""),"",SUMIFS('14_Materials_Log'!$I:$I,'14_Materials_Log'!$B:$B,"&gt;="&amp;A36,'14_Materials_Log'!$B:$B,"&lt;"&amp;EOMONTH(A36,0)+1,'14_Materials_Log'!$C:$C,B36))</x:f>
      </x:c>
      <x:c r="H36" s="70" t="str">
        <x:f>IF(OR(A36="",B36=""),"",SUMIFS('15_Equipment_Log'!$M:$M,'15_Equipment_Log'!$B:$B,"&gt;="&amp;A36,'15_Equipment_Log'!$B:$B,"&lt;"&amp;EOMONTH(A36,0)+1,'15_Equipment_Log'!$C:$C,B36))</x:f>
      </x:c>
      <x:c r="I36" s="70" t="str">
        <x:f>IF(OR(A36="",B36=""),"",SUMIFS('12_Production_Log'!$M:$M,'12_Production_Log'!$B:$B,"&gt;="&amp;A36,'12_Production_Log'!$B:$B,"&lt;"&amp;EOMONTH(A36,0)+1,'12_Production_Log'!$C:$C,B36)+SUMIFS('14_Materials_Log'!$I:$I,'14_Materials_Log'!$B:$B,"&gt;="&amp;A36,'14_Materials_Log'!$B:$B,"&lt;"&amp;EOMONTH(A36,0)+1,'14_Materials_Log'!$C:$C,B36,'14_Materials_Log'!$J:$J,"Yes"))</x:f>
      </x:c>
      <x:c r="J36" s="70" t="str">
        <x:f>IF(OR(A36="",B36=""),"",SUMIFS('13_Labor_Time'!$L:$L,'13_Labor_Time'!$B:$B,"&gt;="&amp;A36,'13_Labor_Time'!$B:$B,"&lt;"&amp;EOMONTH(A36,0)+1,'13_Labor_Time'!$C:$C,B36))</x:f>
      </x:c>
      <x:c r="K36" s="70" t="str">
        <x:f>IF(OR(I36="",G36="",H36="",J36=""),"",I36-G36-H36-J36)</x:f>
      </x:c>
      <x:c r="L36" s="140" t="str">
        <x:f>IF(C36=0,"",COUNTIFS('11_Intake_Daily'!$C:$C,"&gt;="&amp;A36,'11_Intake_Daily'!$C:$C,"&lt;"&amp;EOMONTH(A36,0)+1,'11_Intake_Daily'!$D:$D,B36,'11_Intake_Daily'!$AA:$AA,"Yes")/C36)</x:f>
      </x:c>
    </x:row>
    <x:row r="37" ht="20" customHeight="1">
      <x:c r="A37" s="28"/>
      <x:c r="B37" s="15"/>
      <x:c r="C37" s="15" t="str">
        <x:f>IF(OR(A37="",B37=""),"",COUNTIFS('11_Intake_Daily'!$C:$C,"&gt;="&amp;A37,'11_Intake_Daily'!$C:$C,"&lt;"&amp;EOMONTH(A37,0)+1,'11_Intake_Daily'!$D:$D,B37))</x:f>
      </x:c>
      <x:c r="D37" s="15" t="str">
        <x:f>IF(OR(A37="",B37=""),"",COUNTIFS('20_Proof_Queue'!$B:$B,"&gt;="&amp;A37,'20_Proof_Queue'!$B:$B,"&lt;"&amp;EOMONTH(A37,0)+1,'20_Proof_Queue'!$C:$C,B37,'20_Proof_Queue'!$H:$H,"&lt;&gt;Closed"))</x:f>
      </x:c>
      <x:c r="E37" s="138" t="str">
        <x:f>IF(OR(A37="",B37=""),"",SUMIFS('12_Production_Log'!$H:$H,'12_Production_Log'!$B:$B,"&gt;="&amp;A37,'12_Production_Log'!$B:$B,"&lt;"&amp;EOMONTH(A37,0)+1,'12_Production_Log'!$C:$C,B37))</x:f>
      </x:c>
      <x:c r="F37" s="136" t="str">
        <x:f>IF(OR(A37="",B37=""),"",SUMIFS('13_Labor_Time'!$J:$J,'13_Labor_Time'!$B:$B,"&gt;="&amp;A37,'13_Labor_Time'!$B:$B,"&lt;"&amp;EOMONTH(A37,0)+1,'13_Labor_Time'!$C:$C,B37))</x:f>
      </x:c>
      <x:c r="G37" s="70" t="str">
        <x:f>IF(OR(A37="",B37=""),"",SUMIFS('14_Materials_Log'!$I:$I,'14_Materials_Log'!$B:$B,"&gt;="&amp;A37,'14_Materials_Log'!$B:$B,"&lt;"&amp;EOMONTH(A37,0)+1,'14_Materials_Log'!$C:$C,B37))</x:f>
      </x:c>
      <x:c r="H37" s="70" t="str">
        <x:f>IF(OR(A37="",B37=""),"",SUMIFS('15_Equipment_Log'!$M:$M,'15_Equipment_Log'!$B:$B,"&gt;="&amp;A37,'15_Equipment_Log'!$B:$B,"&lt;"&amp;EOMONTH(A37,0)+1,'15_Equipment_Log'!$C:$C,B37))</x:f>
      </x:c>
      <x:c r="I37" s="70" t="str">
        <x:f>IF(OR(A37="",B37=""),"",SUMIFS('12_Production_Log'!$M:$M,'12_Production_Log'!$B:$B,"&gt;="&amp;A37,'12_Production_Log'!$B:$B,"&lt;"&amp;EOMONTH(A37,0)+1,'12_Production_Log'!$C:$C,B37)+SUMIFS('14_Materials_Log'!$I:$I,'14_Materials_Log'!$B:$B,"&gt;="&amp;A37,'14_Materials_Log'!$B:$B,"&lt;"&amp;EOMONTH(A37,0)+1,'14_Materials_Log'!$C:$C,B37,'14_Materials_Log'!$J:$J,"Yes"))</x:f>
      </x:c>
      <x:c r="J37" s="70" t="str">
        <x:f>IF(OR(A37="",B37=""),"",SUMIFS('13_Labor_Time'!$L:$L,'13_Labor_Time'!$B:$B,"&gt;="&amp;A37,'13_Labor_Time'!$B:$B,"&lt;"&amp;EOMONTH(A37,0)+1,'13_Labor_Time'!$C:$C,B37))</x:f>
      </x:c>
      <x:c r="K37" s="70" t="str">
        <x:f>IF(OR(I37="",G37="",H37="",J37=""),"",I37-G37-H37-J37)</x:f>
      </x:c>
      <x:c r="L37" s="140" t="str">
        <x:f>IF(C37=0,"",COUNTIFS('11_Intake_Daily'!$C:$C,"&gt;="&amp;A37,'11_Intake_Daily'!$C:$C,"&lt;"&amp;EOMONTH(A37,0)+1,'11_Intake_Daily'!$D:$D,B37,'11_Intake_Daily'!$AA:$AA,"Yes")/C37)</x:f>
      </x:c>
    </x:row>
    <x:row r="38" ht="20" customHeight="1">
      <x:c r="A38" s="28"/>
      <x:c r="B38" s="15"/>
      <x:c r="C38" s="15" t="str">
        <x:f>IF(OR(A38="",B38=""),"",COUNTIFS('11_Intake_Daily'!$C:$C,"&gt;="&amp;A38,'11_Intake_Daily'!$C:$C,"&lt;"&amp;EOMONTH(A38,0)+1,'11_Intake_Daily'!$D:$D,B38))</x:f>
      </x:c>
      <x:c r="D38" s="15" t="str">
        <x:f>IF(OR(A38="",B38=""),"",COUNTIFS('20_Proof_Queue'!$B:$B,"&gt;="&amp;A38,'20_Proof_Queue'!$B:$B,"&lt;"&amp;EOMONTH(A38,0)+1,'20_Proof_Queue'!$C:$C,B38,'20_Proof_Queue'!$H:$H,"&lt;&gt;Closed"))</x:f>
      </x:c>
      <x:c r="E38" s="138" t="str">
        <x:f>IF(OR(A38="",B38=""),"",SUMIFS('12_Production_Log'!$H:$H,'12_Production_Log'!$B:$B,"&gt;="&amp;A38,'12_Production_Log'!$B:$B,"&lt;"&amp;EOMONTH(A38,0)+1,'12_Production_Log'!$C:$C,B38))</x:f>
      </x:c>
      <x:c r="F38" s="136" t="str">
        <x:f>IF(OR(A38="",B38=""),"",SUMIFS('13_Labor_Time'!$J:$J,'13_Labor_Time'!$B:$B,"&gt;="&amp;A38,'13_Labor_Time'!$B:$B,"&lt;"&amp;EOMONTH(A38,0)+1,'13_Labor_Time'!$C:$C,B38))</x:f>
      </x:c>
      <x:c r="G38" s="70" t="str">
        <x:f>IF(OR(A38="",B38=""),"",SUMIFS('14_Materials_Log'!$I:$I,'14_Materials_Log'!$B:$B,"&gt;="&amp;A38,'14_Materials_Log'!$B:$B,"&lt;"&amp;EOMONTH(A38,0)+1,'14_Materials_Log'!$C:$C,B38))</x:f>
      </x:c>
      <x:c r="H38" s="70" t="str">
        <x:f>IF(OR(A38="",B38=""),"",SUMIFS('15_Equipment_Log'!$M:$M,'15_Equipment_Log'!$B:$B,"&gt;="&amp;A38,'15_Equipment_Log'!$B:$B,"&lt;"&amp;EOMONTH(A38,0)+1,'15_Equipment_Log'!$C:$C,B38))</x:f>
      </x:c>
      <x:c r="I38" s="70" t="str">
        <x:f>IF(OR(A38="",B38=""),"",SUMIFS('12_Production_Log'!$M:$M,'12_Production_Log'!$B:$B,"&gt;="&amp;A38,'12_Production_Log'!$B:$B,"&lt;"&amp;EOMONTH(A38,0)+1,'12_Production_Log'!$C:$C,B38)+SUMIFS('14_Materials_Log'!$I:$I,'14_Materials_Log'!$B:$B,"&gt;="&amp;A38,'14_Materials_Log'!$B:$B,"&lt;"&amp;EOMONTH(A38,0)+1,'14_Materials_Log'!$C:$C,B38,'14_Materials_Log'!$J:$J,"Yes"))</x:f>
      </x:c>
      <x:c r="J38" s="70" t="str">
        <x:f>IF(OR(A38="",B38=""),"",SUMIFS('13_Labor_Time'!$L:$L,'13_Labor_Time'!$B:$B,"&gt;="&amp;A38,'13_Labor_Time'!$B:$B,"&lt;"&amp;EOMONTH(A38,0)+1,'13_Labor_Time'!$C:$C,B38))</x:f>
      </x:c>
      <x:c r="K38" s="70" t="str">
        <x:f>IF(OR(I38="",G38="",H38="",J38=""),"",I38-G38-H38-J38)</x:f>
      </x:c>
      <x:c r="L38" s="140" t="str">
        <x:f>IF(C38=0,"",COUNTIFS('11_Intake_Daily'!$C:$C,"&gt;="&amp;A38,'11_Intake_Daily'!$C:$C,"&lt;"&amp;EOMONTH(A38,0)+1,'11_Intake_Daily'!$D:$D,B38,'11_Intake_Daily'!$AA:$AA,"Yes")/C38)</x:f>
      </x:c>
    </x:row>
    <x:row r="39" ht="20" customHeight="1">
      <x:c r="A39" s="28"/>
      <x:c r="B39" s="15"/>
      <x:c r="C39" s="15" t="str">
        <x:f>IF(OR(A39="",B39=""),"",COUNTIFS('11_Intake_Daily'!$C:$C,"&gt;="&amp;A39,'11_Intake_Daily'!$C:$C,"&lt;"&amp;EOMONTH(A39,0)+1,'11_Intake_Daily'!$D:$D,B39))</x:f>
      </x:c>
      <x:c r="D39" s="15" t="str">
        <x:f>IF(OR(A39="",B39=""),"",COUNTIFS('20_Proof_Queue'!$B:$B,"&gt;="&amp;A39,'20_Proof_Queue'!$B:$B,"&lt;"&amp;EOMONTH(A39,0)+1,'20_Proof_Queue'!$C:$C,B39,'20_Proof_Queue'!$H:$H,"&lt;&gt;Closed"))</x:f>
      </x:c>
      <x:c r="E39" s="138" t="str">
        <x:f>IF(OR(A39="",B39=""),"",SUMIFS('12_Production_Log'!$H:$H,'12_Production_Log'!$B:$B,"&gt;="&amp;A39,'12_Production_Log'!$B:$B,"&lt;"&amp;EOMONTH(A39,0)+1,'12_Production_Log'!$C:$C,B39))</x:f>
      </x:c>
      <x:c r="F39" s="136" t="str">
        <x:f>IF(OR(A39="",B39=""),"",SUMIFS('13_Labor_Time'!$J:$J,'13_Labor_Time'!$B:$B,"&gt;="&amp;A39,'13_Labor_Time'!$B:$B,"&lt;"&amp;EOMONTH(A39,0)+1,'13_Labor_Time'!$C:$C,B39))</x:f>
      </x:c>
      <x:c r="G39" s="70" t="str">
        <x:f>IF(OR(A39="",B39=""),"",SUMIFS('14_Materials_Log'!$I:$I,'14_Materials_Log'!$B:$B,"&gt;="&amp;A39,'14_Materials_Log'!$B:$B,"&lt;"&amp;EOMONTH(A39,0)+1,'14_Materials_Log'!$C:$C,B39))</x:f>
      </x:c>
      <x:c r="H39" s="70" t="str">
        <x:f>IF(OR(A39="",B39=""),"",SUMIFS('15_Equipment_Log'!$M:$M,'15_Equipment_Log'!$B:$B,"&gt;="&amp;A39,'15_Equipment_Log'!$B:$B,"&lt;"&amp;EOMONTH(A39,0)+1,'15_Equipment_Log'!$C:$C,B39))</x:f>
      </x:c>
      <x:c r="I39" s="70" t="str">
        <x:f>IF(OR(A39="",B39=""),"",SUMIFS('12_Production_Log'!$M:$M,'12_Production_Log'!$B:$B,"&gt;="&amp;A39,'12_Production_Log'!$B:$B,"&lt;"&amp;EOMONTH(A39,0)+1,'12_Production_Log'!$C:$C,B39)+SUMIFS('14_Materials_Log'!$I:$I,'14_Materials_Log'!$B:$B,"&gt;="&amp;A39,'14_Materials_Log'!$B:$B,"&lt;"&amp;EOMONTH(A39,0)+1,'14_Materials_Log'!$C:$C,B39,'14_Materials_Log'!$J:$J,"Yes"))</x:f>
      </x:c>
      <x:c r="J39" s="70" t="str">
        <x:f>IF(OR(A39="",B39=""),"",SUMIFS('13_Labor_Time'!$L:$L,'13_Labor_Time'!$B:$B,"&gt;="&amp;A39,'13_Labor_Time'!$B:$B,"&lt;"&amp;EOMONTH(A39,0)+1,'13_Labor_Time'!$C:$C,B39))</x:f>
      </x:c>
      <x:c r="K39" s="70" t="str">
        <x:f>IF(OR(I39="",G39="",H39="",J39=""),"",I39-G39-H39-J39)</x:f>
      </x:c>
      <x:c r="L39" s="140" t="str">
        <x:f>IF(C39=0,"",COUNTIFS('11_Intake_Daily'!$C:$C,"&gt;="&amp;A39,'11_Intake_Daily'!$C:$C,"&lt;"&amp;EOMONTH(A39,0)+1,'11_Intake_Daily'!$D:$D,B39,'11_Intake_Daily'!$AA:$AA,"Yes")/C39)</x:f>
      </x:c>
    </x:row>
    <x:row r="40" ht="20" customHeight="1">
      <x:c r="A40" s="28"/>
      <x:c r="B40" s="15"/>
      <x:c r="C40" s="15" t="str">
        <x:f>IF(OR(A40="",B40=""),"",COUNTIFS('11_Intake_Daily'!$C:$C,"&gt;="&amp;A40,'11_Intake_Daily'!$C:$C,"&lt;"&amp;EOMONTH(A40,0)+1,'11_Intake_Daily'!$D:$D,B40))</x:f>
      </x:c>
      <x:c r="D40" s="15" t="str">
        <x:f>IF(OR(A40="",B40=""),"",COUNTIFS('20_Proof_Queue'!$B:$B,"&gt;="&amp;A40,'20_Proof_Queue'!$B:$B,"&lt;"&amp;EOMONTH(A40,0)+1,'20_Proof_Queue'!$C:$C,B40,'20_Proof_Queue'!$H:$H,"&lt;&gt;Closed"))</x:f>
      </x:c>
      <x:c r="E40" s="138" t="str">
        <x:f>IF(OR(A40="",B40=""),"",SUMIFS('12_Production_Log'!$H:$H,'12_Production_Log'!$B:$B,"&gt;="&amp;A40,'12_Production_Log'!$B:$B,"&lt;"&amp;EOMONTH(A40,0)+1,'12_Production_Log'!$C:$C,B40))</x:f>
      </x:c>
      <x:c r="F40" s="136" t="str">
        <x:f>IF(OR(A40="",B40=""),"",SUMIFS('13_Labor_Time'!$J:$J,'13_Labor_Time'!$B:$B,"&gt;="&amp;A40,'13_Labor_Time'!$B:$B,"&lt;"&amp;EOMONTH(A40,0)+1,'13_Labor_Time'!$C:$C,B40))</x:f>
      </x:c>
      <x:c r="G40" s="70" t="str">
        <x:f>IF(OR(A40="",B40=""),"",SUMIFS('14_Materials_Log'!$I:$I,'14_Materials_Log'!$B:$B,"&gt;="&amp;A40,'14_Materials_Log'!$B:$B,"&lt;"&amp;EOMONTH(A40,0)+1,'14_Materials_Log'!$C:$C,B40))</x:f>
      </x:c>
      <x:c r="H40" s="70" t="str">
        <x:f>IF(OR(A40="",B40=""),"",SUMIFS('15_Equipment_Log'!$M:$M,'15_Equipment_Log'!$B:$B,"&gt;="&amp;A40,'15_Equipment_Log'!$B:$B,"&lt;"&amp;EOMONTH(A40,0)+1,'15_Equipment_Log'!$C:$C,B40))</x:f>
      </x:c>
      <x:c r="I40" s="70" t="str">
        <x:f>IF(OR(A40="",B40=""),"",SUMIFS('12_Production_Log'!$M:$M,'12_Production_Log'!$B:$B,"&gt;="&amp;A40,'12_Production_Log'!$B:$B,"&lt;"&amp;EOMONTH(A40,0)+1,'12_Production_Log'!$C:$C,B40)+SUMIFS('14_Materials_Log'!$I:$I,'14_Materials_Log'!$B:$B,"&gt;="&amp;A40,'14_Materials_Log'!$B:$B,"&lt;"&amp;EOMONTH(A40,0)+1,'14_Materials_Log'!$C:$C,B40,'14_Materials_Log'!$J:$J,"Yes"))</x:f>
      </x:c>
      <x:c r="J40" s="70" t="str">
        <x:f>IF(OR(A40="",B40=""),"",SUMIFS('13_Labor_Time'!$L:$L,'13_Labor_Time'!$B:$B,"&gt;="&amp;A40,'13_Labor_Time'!$B:$B,"&lt;"&amp;EOMONTH(A40,0)+1,'13_Labor_Time'!$C:$C,B40))</x:f>
      </x:c>
      <x:c r="K40" s="70" t="str">
        <x:f>IF(OR(I40="",G40="",H40="",J40=""),"",I40-G40-H40-J40)</x:f>
      </x:c>
      <x:c r="L40" s="140" t="str">
        <x:f>IF(C40=0,"",COUNTIFS('11_Intake_Daily'!$C:$C,"&gt;="&amp;A40,'11_Intake_Daily'!$C:$C,"&lt;"&amp;EOMONTH(A40,0)+1,'11_Intake_Daily'!$D:$D,B40,'11_Intake_Daily'!$AA:$AA,"Yes")/C40)</x:f>
      </x:c>
    </x:row>
    <x:row r="41" ht="20" customHeight="1">
      <x:c r="A41" s="28"/>
      <x:c r="B41" s="15"/>
      <x:c r="C41" s="15" t="str">
        <x:f>IF(OR(A41="",B41=""),"",COUNTIFS('11_Intake_Daily'!$C:$C,"&gt;="&amp;A41,'11_Intake_Daily'!$C:$C,"&lt;"&amp;EOMONTH(A41,0)+1,'11_Intake_Daily'!$D:$D,B41))</x:f>
      </x:c>
      <x:c r="D41" s="15" t="str">
        <x:f>IF(OR(A41="",B41=""),"",COUNTIFS('20_Proof_Queue'!$B:$B,"&gt;="&amp;A41,'20_Proof_Queue'!$B:$B,"&lt;"&amp;EOMONTH(A41,0)+1,'20_Proof_Queue'!$C:$C,B41,'20_Proof_Queue'!$H:$H,"&lt;&gt;Closed"))</x:f>
      </x:c>
      <x:c r="E41" s="138" t="str">
        <x:f>IF(OR(A41="",B41=""),"",SUMIFS('12_Production_Log'!$H:$H,'12_Production_Log'!$B:$B,"&gt;="&amp;A41,'12_Production_Log'!$B:$B,"&lt;"&amp;EOMONTH(A41,0)+1,'12_Production_Log'!$C:$C,B41))</x:f>
      </x:c>
      <x:c r="F41" s="136" t="str">
        <x:f>IF(OR(A41="",B41=""),"",SUMIFS('13_Labor_Time'!$J:$J,'13_Labor_Time'!$B:$B,"&gt;="&amp;A41,'13_Labor_Time'!$B:$B,"&lt;"&amp;EOMONTH(A41,0)+1,'13_Labor_Time'!$C:$C,B41))</x:f>
      </x:c>
      <x:c r="G41" s="70" t="str">
        <x:f>IF(OR(A41="",B41=""),"",SUMIFS('14_Materials_Log'!$I:$I,'14_Materials_Log'!$B:$B,"&gt;="&amp;A41,'14_Materials_Log'!$B:$B,"&lt;"&amp;EOMONTH(A41,0)+1,'14_Materials_Log'!$C:$C,B41))</x:f>
      </x:c>
      <x:c r="H41" s="70" t="str">
        <x:f>IF(OR(A41="",B41=""),"",SUMIFS('15_Equipment_Log'!$M:$M,'15_Equipment_Log'!$B:$B,"&gt;="&amp;A41,'15_Equipment_Log'!$B:$B,"&lt;"&amp;EOMONTH(A41,0)+1,'15_Equipment_Log'!$C:$C,B41))</x:f>
      </x:c>
      <x:c r="I41" s="70" t="str">
        <x:f>IF(OR(A41="",B41=""),"",SUMIFS('12_Production_Log'!$M:$M,'12_Production_Log'!$B:$B,"&gt;="&amp;A41,'12_Production_Log'!$B:$B,"&lt;"&amp;EOMONTH(A41,0)+1,'12_Production_Log'!$C:$C,B41)+SUMIFS('14_Materials_Log'!$I:$I,'14_Materials_Log'!$B:$B,"&gt;="&amp;A41,'14_Materials_Log'!$B:$B,"&lt;"&amp;EOMONTH(A41,0)+1,'14_Materials_Log'!$C:$C,B41,'14_Materials_Log'!$J:$J,"Yes"))</x:f>
      </x:c>
      <x:c r="J41" s="70" t="str">
        <x:f>IF(OR(A41="",B41=""),"",SUMIFS('13_Labor_Time'!$L:$L,'13_Labor_Time'!$B:$B,"&gt;="&amp;A41,'13_Labor_Time'!$B:$B,"&lt;"&amp;EOMONTH(A41,0)+1,'13_Labor_Time'!$C:$C,B41))</x:f>
      </x:c>
      <x:c r="K41" s="70" t="str">
        <x:f>IF(OR(I41="",G41="",H41="",J41=""),"",I41-G41-H41-J41)</x:f>
      </x:c>
      <x:c r="L41" s="140" t="str">
        <x:f>IF(C41=0,"",COUNTIFS('11_Intake_Daily'!$C:$C,"&gt;="&amp;A41,'11_Intake_Daily'!$C:$C,"&lt;"&amp;EOMONTH(A41,0)+1,'11_Intake_Daily'!$D:$D,B41,'11_Intake_Daily'!$AA:$AA,"Yes")/C41)</x:f>
      </x:c>
    </x:row>
    <x:row r="42" ht="20" customHeight="1">
      <x:c r="A42" s="28"/>
      <x:c r="B42" s="15"/>
      <x:c r="C42" s="15" t="str">
        <x:f>IF(OR(A42="",B42=""),"",COUNTIFS('11_Intake_Daily'!$C:$C,"&gt;="&amp;A42,'11_Intake_Daily'!$C:$C,"&lt;"&amp;EOMONTH(A42,0)+1,'11_Intake_Daily'!$D:$D,B42))</x:f>
      </x:c>
      <x:c r="D42" s="15" t="str">
        <x:f>IF(OR(A42="",B42=""),"",COUNTIFS('20_Proof_Queue'!$B:$B,"&gt;="&amp;A42,'20_Proof_Queue'!$B:$B,"&lt;"&amp;EOMONTH(A42,0)+1,'20_Proof_Queue'!$C:$C,B42,'20_Proof_Queue'!$H:$H,"&lt;&gt;Closed"))</x:f>
      </x:c>
      <x:c r="E42" s="138" t="str">
        <x:f>IF(OR(A42="",B42=""),"",SUMIFS('12_Production_Log'!$H:$H,'12_Production_Log'!$B:$B,"&gt;="&amp;A42,'12_Production_Log'!$B:$B,"&lt;"&amp;EOMONTH(A42,0)+1,'12_Production_Log'!$C:$C,B42))</x:f>
      </x:c>
      <x:c r="F42" s="136" t="str">
        <x:f>IF(OR(A42="",B42=""),"",SUMIFS('13_Labor_Time'!$J:$J,'13_Labor_Time'!$B:$B,"&gt;="&amp;A42,'13_Labor_Time'!$B:$B,"&lt;"&amp;EOMONTH(A42,0)+1,'13_Labor_Time'!$C:$C,B42))</x:f>
      </x:c>
      <x:c r="G42" s="70" t="str">
        <x:f>IF(OR(A42="",B42=""),"",SUMIFS('14_Materials_Log'!$I:$I,'14_Materials_Log'!$B:$B,"&gt;="&amp;A42,'14_Materials_Log'!$B:$B,"&lt;"&amp;EOMONTH(A42,0)+1,'14_Materials_Log'!$C:$C,B42))</x:f>
      </x:c>
      <x:c r="H42" s="70" t="str">
        <x:f>IF(OR(A42="",B42=""),"",SUMIFS('15_Equipment_Log'!$M:$M,'15_Equipment_Log'!$B:$B,"&gt;="&amp;A42,'15_Equipment_Log'!$B:$B,"&lt;"&amp;EOMONTH(A42,0)+1,'15_Equipment_Log'!$C:$C,B42))</x:f>
      </x:c>
      <x:c r="I42" s="70" t="str">
        <x:f>IF(OR(A42="",B42=""),"",SUMIFS('12_Production_Log'!$M:$M,'12_Production_Log'!$B:$B,"&gt;="&amp;A42,'12_Production_Log'!$B:$B,"&lt;"&amp;EOMONTH(A42,0)+1,'12_Production_Log'!$C:$C,B42)+SUMIFS('14_Materials_Log'!$I:$I,'14_Materials_Log'!$B:$B,"&gt;="&amp;A42,'14_Materials_Log'!$B:$B,"&lt;"&amp;EOMONTH(A42,0)+1,'14_Materials_Log'!$C:$C,B42,'14_Materials_Log'!$J:$J,"Yes"))</x:f>
      </x:c>
      <x:c r="J42" s="70" t="str">
        <x:f>IF(OR(A42="",B42=""),"",SUMIFS('13_Labor_Time'!$L:$L,'13_Labor_Time'!$B:$B,"&gt;="&amp;A42,'13_Labor_Time'!$B:$B,"&lt;"&amp;EOMONTH(A42,0)+1,'13_Labor_Time'!$C:$C,B42))</x:f>
      </x:c>
      <x:c r="K42" s="70" t="str">
        <x:f>IF(OR(I42="",G42="",H42="",J42=""),"",I42-G42-H42-J42)</x:f>
      </x:c>
      <x:c r="L42" s="140" t="str">
        <x:f>IF(C42=0,"",COUNTIFS('11_Intake_Daily'!$C:$C,"&gt;="&amp;A42,'11_Intake_Daily'!$C:$C,"&lt;"&amp;EOMONTH(A42,0)+1,'11_Intake_Daily'!$D:$D,B42,'11_Intake_Daily'!$AA:$AA,"Yes")/C42)</x:f>
      </x:c>
    </x:row>
    <x:row r="43" ht="20" customHeight="1">
      <x:c r="A43" s="28"/>
      <x:c r="B43" s="15"/>
      <x:c r="C43" s="15" t="str">
        <x:f>IF(OR(A43="",B43=""),"",COUNTIFS('11_Intake_Daily'!$C:$C,"&gt;="&amp;A43,'11_Intake_Daily'!$C:$C,"&lt;"&amp;EOMONTH(A43,0)+1,'11_Intake_Daily'!$D:$D,B43))</x:f>
      </x:c>
      <x:c r="D43" s="15" t="str">
        <x:f>IF(OR(A43="",B43=""),"",COUNTIFS('20_Proof_Queue'!$B:$B,"&gt;="&amp;A43,'20_Proof_Queue'!$B:$B,"&lt;"&amp;EOMONTH(A43,0)+1,'20_Proof_Queue'!$C:$C,B43,'20_Proof_Queue'!$H:$H,"&lt;&gt;Closed"))</x:f>
      </x:c>
      <x:c r="E43" s="138" t="str">
        <x:f>IF(OR(A43="",B43=""),"",SUMIFS('12_Production_Log'!$H:$H,'12_Production_Log'!$B:$B,"&gt;="&amp;A43,'12_Production_Log'!$B:$B,"&lt;"&amp;EOMONTH(A43,0)+1,'12_Production_Log'!$C:$C,B43))</x:f>
      </x:c>
      <x:c r="F43" s="136" t="str">
        <x:f>IF(OR(A43="",B43=""),"",SUMIFS('13_Labor_Time'!$J:$J,'13_Labor_Time'!$B:$B,"&gt;="&amp;A43,'13_Labor_Time'!$B:$B,"&lt;"&amp;EOMONTH(A43,0)+1,'13_Labor_Time'!$C:$C,B43))</x:f>
      </x:c>
      <x:c r="G43" s="70" t="str">
        <x:f>IF(OR(A43="",B43=""),"",SUMIFS('14_Materials_Log'!$I:$I,'14_Materials_Log'!$B:$B,"&gt;="&amp;A43,'14_Materials_Log'!$B:$B,"&lt;"&amp;EOMONTH(A43,0)+1,'14_Materials_Log'!$C:$C,B43))</x:f>
      </x:c>
      <x:c r="H43" s="70" t="str">
        <x:f>IF(OR(A43="",B43=""),"",SUMIFS('15_Equipment_Log'!$M:$M,'15_Equipment_Log'!$B:$B,"&gt;="&amp;A43,'15_Equipment_Log'!$B:$B,"&lt;"&amp;EOMONTH(A43,0)+1,'15_Equipment_Log'!$C:$C,B43))</x:f>
      </x:c>
      <x:c r="I43" s="70" t="str">
        <x:f>IF(OR(A43="",B43=""),"",SUMIFS('12_Production_Log'!$M:$M,'12_Production_Log'!$B:$B,"&gt;="&amp;A43,'12_Production_Log'!$B:$B,"&lt;"&amp;EOMONTH(A43,0)+1,'12_Production_Log'!$C:$C,B43)+SUMIFS('14_Materials_Log'!$I:$I,'14_Materials_Log'!$B:$B,"&gt;="&amp;A43,'14_Materials_Log'!$B:$B,"&lt;"&amp;EOMONTH(A43,0)+1,'14_Materials_Log'!$C:$C,B43,'14_Materials_Log'!$J:$J,"Yes"))</x:f>
      </x:c>
      <x:c r="J43" s="70" t="str">
        <x:f>IF(OR(A43="",B43=""),"",SUMIFS('13_Labor_Time'!$L:$L,'13_Labor_Time'!$B:$B,"&gt;="&amp;A43,'13_Labor_Time'!$B:$B,"&lt;"&amp;EOMONTH(A43,0)+1,'13_Labor_Time'!$C:$C,B43))</x:f>
      </x:c>
      <x:c r="K43" s="70" t="str">
        <x:f>IF(OR(I43="",G43="",H43="",J43=""),"",I43-G43-H43-J43)</x:f>
      </x:c>
      <x:c r="L43" s="140" t="str">
        <x:f>IF(C43=0,"",COUNTIFS('11_Intake_Daily'!$C:$C,"&gt;="&amp;A43,'11_Intake_Daily'!$C:$C,"&lt;"&amp;EOMONTH(A43,0)+1,'11_Intake_Daily'!$D:$D,B43,'11_Intake_Daily'!$AA:$AA,"Yes")/C43)</x:f>
      </x:c>
    </x:row>
    <x:row r="44" ht="20" customHeight="1">
      <x:c r="A44" s="28"/>
      <x:c r="B44" s="15"/>
      <x:c r="C44" s="15" t="str">
        <x:f>IF(OR(A44="",B44=""),"",COUNTIFS('11_Intake_Daily'!$C:$C,"&gt;="&amp;A44,'11_Intake_Daily'!$C:$C,"&lt;"&amp;EOMONTH(A44,0)+1,'11_Intake_Daily'!$D:$D,B44))</x:f>
      </x:c>
      <x:c r="D44" s="15" t="str">
        <x:f>IF(OR(A44="",B44=""),"",COUNTIFS('20_Proof_Queue'!$B:$B,"&gt;="&amp;A44,'20_Proof_Queue'!$B:$B,"&lt;"&amp;EOMONTH(A44,0)+1,'20_Proof_Queue'!$C:$C,B44,'20_Proof_Queue'!$H:$H,"&lt;&gt;Closed"))</x:f>
      </x:c>
      <x:c r="E44" s="138" t="str">
        <x:f>IF(OR(A44="",B44=""),"",SUMIFS('12_Production_Log'!$H:$H,'12_Production_Log'!$B:$B,"&gt;="&amp;A44,'12_Production_Log'!$B:$B,"&lt;"&amp;EOMONTH(A44,0)+1,'12_Production_Log'!$C:$C,B44))</x:f>
      </x:c>
      <x:c r="F44" s="136" t="str">
        <x:f>IF(OR(A44="",B44=""),"",SUMIFS('13_Labor_Time'!$J:$J,'13_Labor_Time'!$B:$B,"&gt;="&amp;A44,'13_Labor_Time'!$B:$B,"&lt;"&amp;EOMONTH(A44,0)+1,'13_Labor_Time'!$C:$C,B44))</x:f>
      </x:c>
      <x:c r="G44" s="70" t="str">
        <x:f>IF(OR(A44="",B44=""),"",SUMIFS('14_Materials_Log'!$I:$I,'14_Materials_Log'!$B:$B,"&gt;="&amp;A44,'14_Materials_Log'!$B:$B,"&lt;"&amp;EOMONTH(A44,0)+1,'14_Materials_Log'!$C:$C,B44))</x:f>
      </x:c>
      <x:c r="H44" s="70" t="str">
        <x:f>IF(OR(A44="",B44=""),"",SUMIFS('15_Equipment_Log'!$M:$M,'15_Equipment_Log'!$B:$B,"&gt;="&amp;A44,'15_Equipment_Log'!$B:$B,"&lt;"&amp;EOMONTH(A44,0)+1,'15_Equipment_Log'!$C:$C,B44))</x:f>
      </x:c>
      <x:c r="I44" s="70" t="str">
        <x:f>IF(OR(A44="",B44=""),"",SUMIFS('12_Production_Log'!$M:$M,'12_Production_Log'!$B:$B,"&gt;="&amp;A44,'12_Production_Log'!$B:$B,"&lt;"&amp;EOMONTH(A44,0)+1,'12_Production_Log'!$C:$C,B44)+SUMIFS('14_Materials_Log'!$I:$I,'14_Materials_Log'!$B:$B,"&gt;="&amp;A44,'14_Materials_Log'!$B:$B,"&lt;"&amp;EOMONTH(A44,0)+1,'14_Materials_Log'!$C:$C,B44,'14_Materials_Log'!$J:$J,"Yes"))</x:f>
      </x:c>
      <x:c r="J44" s="70" t="str">
        <x:f>IF(OR(A44="",B44=""),"",SUMIFS('13_Labor_Time'!$L:$L,'13_Labor_Time'!$B:$B,"&gt;="&amp;A44,'13_Labor_Time'!$B:$B,"&lt;"&amp;EOMONTH(A44,0)+1,'13_Labor_Time'!$C:$C,B44))</x:f>
      </x:c>
      <x:c r="K44" s="70" t="str">
        <x:f>IF(OR(I44="",G44="",H44="",J44=""),"",I44-G44-H44-J44)</x:f>
      </x:c>
      <x:c r="L44" s="140" t="str">
        <x:f>IF(C44=0,"",COUNTIFS('11_Intake_Daily'!$C:$C,"&gt;="&amp;A44,'11_Intake_Daily'!$C:$C,"&lt;"&amp;EOMONTH(A44,0)+1,'11_Intake_Daily'!$D:$D,B44,'11_Intake_Daily'!$AA:$AA,"Yes")/C44)</x:f>
      </x:c>
    </x:row>
    <x:row r="45" ht="20" customHeight="1">
      <x:c r="A45" s="28"/>
      <x:c r="B45" s="15"/>
      <x:c r="C45" s="15" t="str">
        <x:f>IF(OR(A45="",B45=""),"",COUNTIFS('11_Intake_Daily'!$C:$C,"&gt;="&amp;A45,'11_Intake_Daily'!$C:$C,"&lt;"&amp;EOMONTH(A45,0)+1,'11_Intake_Daily'!$D:$D,B45))</x:f>
      </x:c>
      <x:c r="D45" s="15" t="str">
        <x:f>IF(OR(A45="",B45=""),"",COUNTIFS('20_Proof_Queue'!$B:$B,"&gt;="&amp;A45,'20_Proof_Queue'!$B:$B,"&lt;"&amp;EOMONTH(A45,0)+1,'20_Proof_Queue'!$C:$C,B45,'20_Proof_Queue'!$H:$H,"&lt;&gt;Closed"))</x:f>
      </x:c>
      <x:c r="E45" s="138" t="str">
        <x:f>IF(OR(A45="",B45=""),"",SUMIFS('12_Production_Log'!$H:$H,'12_Production_Log'!$B:$B,"&gt;="&amp;A45,'12_Production_Log'!$B:$B,"&lt;"&amp;EOMONTH(A45,0)+1,'12_Production_Log'!$C:$C,B45))</x:f>
      </x:c>
      <x:c r="F45" s="136" t="str">
        <x:f>IF(OR(A45="",B45=""),"",SUMIFS('13_Labor_Time'!$J:$J,'13_Labor_Time'!$B:$B,"&gt;="&amp;A45,'13_Labor_Time'!$B:$B,"&lt;"&amp;EOMONTH(A45,0)+1,'13_Labor_Time'!$C:$C,B45))</x:f>
      </x:c>
      <x:c r="G45" s="70" t="str">
        <x:f>IF(OR(A45="",B45=""),"",SUMIFS('14_Materials_Log'!$I:$I,'14_Materials_Log'!$B:$B,"&gt;="&amp;A45,'14_Materials_Log'!$B:$B,"&lt;"&amp;EOMONTH(A45,0)+1,'14_Materials_Log'!$C:$C,B45))</x:f>
      </x:c>
      <x:c r="H45" s="70" t="str">
        <x:f>IF(OR(A45="",B45=""),"",SUMIFS('15_Equipment_Log'!$M:$M,'15_Equipment_Log'!$B:$B,"&gt;="&amp;A45,'15_Equipment_Log'!$B:$B,"&lt;"&amp;EOMONTH(A45,0)+1,'15_Equipment_Log'!$C:$C,B45))</x:f>
      </x:c>
      <x:c r="I45" s="70" t="str">
        <x:f>IF(OR(A45="",B45=""),"",SUMIFS('12_Production_Log'!$M:$M,'12_Production_Log'!$B:$B,"&gt;="&amp;A45,'12_Production_Log'!$B:$B,"&lt;"&amp;EOMONTH(A45,0)+1,'12_Production_Log'!$C:$C,B45)+SUMIFS('14_Materials_Log'!$I:$I,'14_Materials_Log'!$B:$B,"&gt;="&amp;A45,'14_Materials_Log'!$B:$B,"&lt;"&amp;EOMONTH(A45,0)+1,'14_Materials_Log'!$C:$C,B45,'14_Materials_Log'!$J:$J,"Yes"))</x:f>
      </x:c>
      <x:c r="J45" s="70" t="str">
        <x:f>IF(OR(A45="",B45=""),"",SUMIFS('13_Labor_Time'!$L:$L,'13_Labor_Time'!$B:$B,"&gt;="&amp;A45,'13_Labor_Time'!$B:$B,"&lt;"&amp;EOMONTH(A45,0)+1,'13_Labor_Time'!$C:$C,B45))</x:f>
      </x:c>
      <x:c r="K45" s="70" t="str">
        <x:f>IF(OR(I45="",G45="",H45="",J45=""),"",I45-G45-H45-J45)</x:f>
      </x:c>
      <x:c r="L45" s="140" t="str">
        <x:f>IF(C45=0,"",COUNTIFS('11_Intake_Daily'!$C:$C,"&gt;="&amp;A45,'11_Intake_Daily'!$C:$C,"&lt;"&amp;EOMONTH(A45,0)+1,'11_Intake_Daily'!$D:$D,B45,'11_Intake_Daily'!$AA:$AA,"Yes")/C45)</x:f>
      </x:c>
    </x:row>
    <x:row r="46" ht="20" customHeight="1">
      <x:c r="A46" s="28"/>
      <x:c r="B46" s="15"/>
      <x:c r="C46" s="15" t="str">
        <x:f>IF(OR(A46="",B46=""),"",COUNTIFS('11_Intake_Daily'!$C:$C,"&gt;="&amp;A46,'11_Intake_Daily'!$C:$C,"&lt;"&amp;EOMONTH(A46,0)+1,'11_Intake_Daily'!$D:$D,B46))</x:f>
      </x:c>
      <x:c r="D46" s="15" t="str">
        <x:f>IF(OR(A46="",B46=""),"",COUNTIFS('20_Proof_Queue'!$B:$B,"&gt;="&amp;A46,'20_Proof_Queue'!$B:$B,"&lt;"&amp;EOMONTH(A46,0)+1,'20_Proof_Queue'!$C:$C,B46,'20_Proof_Queue'!$H:$H,"&lt;&gt;Closed"))</x:f>
      </x:c>
      <x:c r="E46" s="138" t="str">
        <x:f>IF(OR(A46="",B46=""),"",SUMIFS('12_Production_Log'!$H:$H,'12_Production_Log'!$B:$B,"&gt;="&amp;A46,'12_Production_Log'!$B:$B,"&lt;"&amp;EOMONTH(A46,0)+1,'12_Production_Log'!$C:$C,B46))</x:f>
      </x:c>
      <x:c r="F46" s="136" t="str">
        <x:f>IF(OR(A46="",B46=""),"",SUMIFS('13_Labor_Time'!$J:$J,'13_Labor_Time'!$B:$B,"&gt;="&amp;A46,'13_Labor_Time'!$B:$B,"&lt;"&amp;EOMONTH(A46,0)+1,'13_Labor_Time'!$C:$C,B46))</x:f>
      </x:c>
      <x:c r="G46" s="70" t="str">
        <x:f>IF(OR(A46="",B46=""),"",SUMIFS('14_Materials_Log'!$I:$I,'14_Materials_Log'!$B:$B,"&gt;="&amp;A46,'14_Materials_Log'!$B:$B,"&lt;"&amp;EOMONTH(A46,0)+1,'14_Materials_Log'!$C:$C,B46))</x:f>
      </x:c>
      <x:c r="H46" s="70" t="str">
        <x:f>IF(OR(A46="",B46=""),"",SUMIFS('15_Equipment_Log'!$M:$M,'15_Equipment_Log'!$B:$B,"&gt;="&amp;A46,'15_Equipment_Log'!$B:$B,"&lt;"&amp;EOMONTH(A46,0)+1,'15_Equipment_Log'!$C:$C,B46))</x:f>
      </x:c>
      <x:c r="I46" s="70" t="str">
        <x:f>IF(OR(A46="",B46=""),"",SUMIFS('12_Production_Log'!$M:$M,'12_Production_Log'!$B:$B,"&gt;="&amp;A46,'12_Production_Log'!$B:$B,"&lt;"&amp;EOMONTH(A46,0)+1,'12_Production_Log'!$C:$C,B46)+SUMIFS('14_Materials_Log'!$I:$I,'14_Materials_Log'!$B:$B,"&gt;="&amp;A46,'14_Materials_Log'!$B:$B,"&lt;"&amp;EOMONTH(A46,0)+1,'14_Materials_Log'!$C:$C,B46,'14_Materials_Log'!$J:$J,"Yes"))</x:f>
      </x:c>
      <x:c r="J46" s="70" t="str">
        <x:f>IF(OR(A46="",B46=""),"",SUMIFS('13_Labor_Time'!$L:$L,'13_Labor_Time'!$B:$B,"&gt;="&amp;A46,'13_Labor_Time'!$B:$B,"&lt;"&amp;EOMONTH(A46,0)+1,'13_Labor_Time'!$C:$C,B46))</x:f>
      </x:c>
      <x:c r="K46" s="70" t="str">
        <x:f>IF(OR(I46="",G46="",H46="",J46=""),"",I46-G46-H46-J46)</x:f>
      </x:c>
      <x:c r="L46" s="140" t="str">
        <x:f>IF(C46=0,"",COUNTIFS('11_Intake_Daily'!$C:$C,"&gt;="&amp;A46,'11_Intake_Daily'!$C:$C,"&lt;"&amp;EOMONTH(A46,0)+1,'11_Intake_Daily'!$D:$D,B46,'11_Intake_Daily'!$AA:$AA,"Yes")/C46)</x:f>
      </x:c>
    </x:row>
    <x:row r="47" ht="20" customHeight="1">
      <x:c r="A47" s="28"/>
      <x:c r="B47" s="15"/>
      <x:c r="C47" s="15" t="str">
        <x:f>IF(OR(A47="",B47=""),"",COUNTIFS('11_Intake_Daily'!$C:$C,"&gt;="&amp;A47,'11_Intake_Daily'!$C:$C,"&lt;"&amp;EOMONTH(A47,0)+1,'11_Intake_Daily'!$D:$D,B47))</x:f>
      </x:c>
      <x:c r="D47" s="15" t="str">
        <x:f>IF(OR(A47="",B47=""),"",COUNTIFS('20_Proof_Queue'!$B:$B,"&gt;="&amp;A47,'20_Proof_Queue'!$B:$B,"&lt;"&amp;EOMONTH(A47,0)+1,'20_Proof_Queue'!$C:$C,B47,'20_Proof_Queue'!$H:$H,"&lt;&gt;Closed"))</x:f>
      </x:c>
      <x:c r="E47" s="138" t="str">
        <x:f>IF(OR(A47="",B47=""),"",SUMIFS('12_Production_Log'!$H:$H,'12_Production_Log'!$B:$B,"&gt;="&amp;A47,'12_Production_Log'!$B:$B,"&lt;"&amp;EOMONTH(A47,0)+1,'12_Production_Log'!$C:$C,B47))</x:f>
      </x:c>
      <x:c r="F47" s="136" t="str">
        <x:f>IF(OR(A47="",B47=""),"",SUMIFS('13_Labor_Time'!$J:$J,'13_Labor_Time'!$B:$B,"&gt;="&amp;A47,'13_Labor_Time'!$B:$B,"&lt;"&amp;EOMONTH(A47,0)+1,'13_Labor_Time'!$C:$C,B47))</x:f>
      </x:c>
      <x:c r="G47" s="70" t="str">
        <x:f>IF(OR(A47="",B47=""),"",SUMIFS('14_Materials_Log'!$I:$I,'14_Materials_Log'!$B:$B,"&gt;="&amp;A47,'14_Materials_Log'!$B:$B,"&lt;"&amp;EOMONTH(A47,0)+1,'14_Materials_Log'!$C:$C,B47))</x:f>
      </x:c>
      <x:c r="H47" s="70" t="str">
        <x:f>IF(OR(A47="",B47=""),"",SUMIFS('15_Equipment_Log'!$M:$M,'15_Equipment_Log'!$B:$B,"&gt;="&amp;A47,'15_Equipment_Log'!$B:$B,"&lt;"&amp;EOMONTH(A47,0)+1,'15_Equipment_Log'!$C:$C,B47))</x:f>
      </x:c>
      <x:c r="I47" s="70" t="str">
        <x:f>IF(OR(A47="",B47=""),"",SUMIFS('12_Production_Log'!$M:$M,'12_Production_Log'!$B:$B,"&gt;="&amp;A47,'12_Production_Log'!$B:$B,"&lt;"&amp;EOMONTH(A47,0)+1,'12_Production_Log'!$C:$C,B47)+SUMIFS('14_Materials_Log'!$I:$I,'14_Materials_Log'!$B:$B,"&gt;="&amp;A47,'14_Materials_Log'!$B:$B,"&lt;"&amp;EOMONTH(A47,0)+1,'14_Materials_Log'!$C:$C,B47,'14_Materials_Log'!$J:$J,"Yes"))</x:f>
      </x:c>
      <x:c r="J47" s="70" t="str">
        <x:f>IF(OR(A47="",B47=""),"",SUMIFS('13_Labor_Time'!$L:$L,'13_Labor_Time'!$B:$B,"&gt;="&amp;A47,'13_Labor_Time'!$B:$B,"&lt;"&amp;EOMONTH(A47,0)+1,'13_Labor_Time'!$C:$C,B47))</x:f>
      </x:c>
      <x:c r="K47" s="70" t="str">
        <x:f>IF(OR(I47="",G47="",H47="",J47=""),"",I47-G47-H47-J47)</x:f>
      </x:c>
      <x:c r="L47" s="140" t="str">
        <x:f>IF(C47=0,"",COUNTIFS('11_Intake_Daily'!$C:$C,"&gt;="&amp;A47,'11_Intake_Daily'!$C:$C,"&lt;"&amp;EOMONTH(A47,0)+1,'11_Intake_Daily'!$D:$D,B47,'11_Intake_Daily'!$AA:$AA,"Yes")/C47)</x:f>
      </x:c>
    </x:row>
    <x:row r="48" ht="20" customHeight="1">
      <x:c r="A48" s="28"/>
      <x:c r="B48" s="15"/>
      <x:c r="C48" s="15" t="str">
        <x:f>IF(OR(A48="",B48=""),"",COUNTIFS('11_Intake_Daily'!$C:$C,"&gt;="&amp;A48,'11_Intake_Daily'!$C:$C,"&lt;"&amp;EOMONTH(A48,0)+1,'11_Intake_Daily'!$D:$D,B48))</x:f>
      </x:c>
      <x:c r="D48" s="15" t="str">
        <x:f>IF(OR(A48="",B48=""),"",COUNTIFS('20_Proof_Queue'!$B:$B,"&gt;="&amp;A48,'20_Proof_Queue'!$B:$B,"&lt;"&amp;EOMONTH(A48,0)+1,'20_Proof_Queue'!$C:$C,B48,'20_Proof_Queue'!$H:$H,"&lt;&gt;Closed"))</x:f>
      </x:c>
      <x:c r="E48" s="138" t="str">
        <x:f>IF(OR(A48="",B48=""),"",SUMIFS('12_Production_Log'!$H:$H,'12_Production_Log'!$B:$B,"&gt;="&amp;A48,'12_Production_Log'!$B:$B,"&lt;"&amp;EOMONTH(A48,0)+1,'12_Production_Log'!$C:$C,B48))</x:f>
      </x:c>
      <x:c r="F48" s="136" t="str">
        <x:f>IF(OR(A48="",B48=""),"",SUMIFS('13_Labor_Time'!$J:$J,'13_Labor_Time'!$B:$B,"&gt;="&amp;A48,'13_Labor_Time'!$B:$B,"&lt;"&amp;EOMONTH(A48,0)+1,'13_Labor_Time'!$C:$C,B48))</x:f>
      </x:c>
      <x:c r="G48" s="70" t="str">
        <x:f>IF(OR(A48="",B48=""),"",SUMIFS('14_Materials_Log'!$I:$I,'14_Materials_Log'!$B:$B,"&gt;="&amp;A48,'14_Materials_Log'!$B:$B,"&lt;"&amp;EOMONTH(A48,0)+1,'14_Materials_Log'!$C:$C,B48))</x:f>
      </x:c>
      <x:c r="H48" s="70" t="str">
        <x:f>IF(OR(A48="",B48=""),"",SUMIFS('15_Equipment_Log'!$M:$M,'15_Equipment_Log'!$B:$B,"&gt;="&amp;A48,'15_Equipment_Log'!$B:$B,"&lt;"&amp;EOMONTH(A48,0)+1,'15_Equipment_Log'!$C:$C,B48))</x:f>
      </x:c>
      <x:c r="I48" s="70" t="str">
        <x:f>IF(OR(A48="",B48=""),"",SUMIFS('12_Production_Log'!$M:$M,'12_Production_Log'!$B:$B,"&gt;="&amp;A48,'12_Production_Log'!$B:$B,"&lt;"&amp;EOMONTH(A48,0)+1,'12_Production_Log'!$C:$C,B48)+SUMIFS('14_Materials_Log'!$I:$I,'14_Materials_Log'!$B:$B,"&gt;="&amp;A48,'14_Materials_Log'!$B:$B,"&lt;"&amp;EOMONTH(A48,0)+1,'14_Materials_Log'!$C:$C,B48,'14_Materials_Log'!$J:$J,"Yes"))</x:f>
      </x:c>
      <x:c r="J48" s="70" t="str">
        <x:f>IF(OR(A48="",B48=""),"",SUMIFS('13_Labor_Time'!$L:$L,'13_Labor_Time'!$B:$B,"&gt;="&amp;A48,'13_Labor_Time'!$B:$B,"&lt;"&amp;EOMONTH(A48,0)+1,'13_Labor_Time'!$C:$C,B48))</x:f>
      </x:c>
      <x:c r="K48" s="70" t="str">
        <x:f>IF(OR(I48="",G48="",H48="",J48=""),"",I48-G48-H48-J48)</x:f>
      </x:c>
      <x:c r="L48" s="140" t="str">
        <x:f>IF(C48=0,"",COUNTIFS('11_Intake_Daily'!$C:$C,"&gt;="&amp;A48,'11_Intake_Daily'!$C:$C,"&lt;"&amp;EOMONTH(A48,0)+1,'11_Intake_Daily'!$D:$D,B48,'11_Intake_Daily'!$AA:$AA,"Yes")/C48)</x:f>
      </x:c>
    </x:row>
    <x:row r="49" ht="20" customHeight="1">
      <x:c r="A49" s="28"/>
      <x:c r="B49" s="15"/>
      <x:c r="C49" s="15" t="str">
        <x:f>IF(OR(A49="",B49=""),"",COUNTIFS('11_Intake_Daily'!$C:$C,"&gt;="&amp;A49,'11_Intake_Daily'!$C:$C,"&lt;"&amp;EOMONTH(A49,0)+1,'11_Intake_Daily'!$D:$D,B49))</x:f>
      </x:c>
      <x:c r="D49" s="15" t="str">
        <x:f>IF(OR(A49="",B49=""),"",COUNTIFS('20_Proof_Queue'!$B:$B,"&gt;="&amp;A49,'20_Proof_Queue'!$B:$B,"&lt;"&amp;EOMONTH(A49,0)+1,'20_Proof_Queue'!$C:$C,B49,'20_Proof_Queue'!$H:$H,"&lt;&gt;Closed"))</x:f>
      </x:c>
      <x:c r="E49" s="138" t="str">
        <x:f>IF(OR(A49="",B49=""),"",SUMIFS('12_Production_Log'!$H:$H,'12_Production_Log'!$B:$B,"&gt;="&amp;A49,'12_Production_Log'!$B:$B,"&lt;"&amp;EOMONTH(A49,0)+1,'12_Production_Log'!$C:$C,B49))</x:f>
      </x:c>
      <x:c r="F49" s="136" t="str">
        <x:f>IF(OR(A49="",B49=""),"",SUMIFS('13_Labor_Time'!$J:$J,'13_Labor_Time'!$B:$B,"&gt;="&amp;A49,'13_Labor_Time'!$B:$B,"&lt;"&amp;EOMONTH(A49,0)+1,'13_Labor_Time'!$C:$C,B49))</x:f>
      </x:c>
      <x:c r="G49" s="70" t="str">
        <x:f>IF(OR(A49="",B49=""),"",SUMIFS('14_Materials_Log'!$I:$I,'14_Materials_Log'!$B:$B,"&gt;="&amp;A49,'14_Materials_Log'!$B:$B,"&lt;"&amp;EOMONTH(A49,0)+1,'14_Materials_Log'!$C:$C,B49))</x:f>
      </x:c>
      <x:c r="H49" s="70" t="str">
        <x:f>IF(OR(A49="",B49=""),"",SUMIFS('15_Equipment_Log'!$M:$M,'15_Equipment_Log'!$B:$B,"&gt;="&amp;A49,'15_Equipment_Log'!$B:$B,"&lt;"&amp;EOMONTH(A49,0)+1,'15_Equipment_Log'!$C:$C,B49))</x:f>
      </x:c>
      <x:c r="I49" s="70" t="str">
        <x:f>IF(OR(A49="",B49=""),"",SUMIFS('12_Production_Log'!$M:$M,'12_Production_Log'!$B:$B,"&gt;="&amp;A49,'12_Production_Log'!$B:$B,"&lt;"&amp;EOMONTH(A49,0)+1,'12_Production_Log'!$C:$C,B49)+SUMIFS('14_Materials_Log'!$I:$I,'14_Materials_Log'!$B:$B,"&gt;="&amp;A49,'14_Materials_Log'!$B:$B,"&lt;"&amp;EOMONTH(A49,0)+1,'14_Materials_Log'!$C:$C,B49,'14_Materials_Log'!$J:$J,"Yes"))</x:f>
      </x:c>
      <x:c r="J49" s="70" t="str">
        <x:f>IF(OR(A49="",B49=""),"",SUMIFS('13_Labor_Time'!$L:$L,'13_Labor_Time'!$B:$B,"&gt;="&amp;A49,'13_Labor_Time'!$B:$B,"&lt;"&amp;EOMONTH(A49,0)+1,'13_Labor_Time'!$C:$C,B49))</x:f>
      </x:c>
      <x:c r="K49" s="70" t="str">
        <x:f>IF(OR(I49="",G49="",H49="",J49=""),"",I49-G49-H49-J49)</x:f>
      </x:c>
      <x:c r="L49" s="140" t="str">
        <x:f>IF(C49=0,"",COUNTIFS('11_Intake_Daily'!$C:$C,"&gt;="&amp;A49,'11_Intake_Daily'!$C:$C,"&lt;"&amp;EOMONTH(A49,0)+1,'11_Intake_Daily'!$D:$D,B49,'11_Intake_Daily'!$AA:$AA,"Yes")/C49)</x:f>
      </x:c>
    </x:row>
    <x:row r="50" ht="20" customHeight="1">
      <x:c r="A50" s="28"/>
      <x:c r="B50" s="15"/>
      <x:c r="C50" s="15" t="str">
        <x:f>IF(OR(A50="",B50=""),"",COUNTIFS('11_Intake_Daily'!$C:$C,"&gt;="&amp;A50,'11_Intake_Daily'!$C:$C,"&lt;"&amp;EOMONTH(A50,0)+1,'11_Intake_Daily'!$D:$D,B50))</x:f>
      </x:c>
      <x:c r="D50" s="15" t="str">
        <x:f>IF(OR(A50="",B50=""),"",COUNTIFS('20_Proof_Queue'!$B:$B,"&gt;="&amp;A50,'20_Proof_Queue'!$B:$B,"&lt;"&amp;EOMONTH(A50,0)+1,'20_Proof_Queue'!$C:$C,B50,'20_Proof_Queue'!$H:$H,"&lt;&gt;Closed"))</x:f>
      </x:c>
      <x:c r="E50" s="138" t="str">
        <x:f>IF(OR(A50="",B50=""),"",SUMIFS('12_Production_Log'!$H:$H,'12_Production_Log'!$B:$B,"&gt;="&amp;A50,'12_Production_Log'!$B:$B,"&lt;"&amp;EOMONTH(A50,0)+1,'12_Production_Log'!$C:$C,B50))</x:f>
      </x:c>
      <x:c r="F50" s="136" t="str">
        <x:f>IF(OR(A50="",B50=""),"",SUMIFS('13_Labor_Time'!$J:$J,'13_Labor_Time'!$B:$B,"&gt;="&amp;A50,'13_Labor_Time'!$B:$B,"&lt;"&amp;EOMONTH(A50,0)+1,'13_Labor_Time'!$C:$C,B50))</x:f>
      </x:c>
      <x:c r="G50" s="70" t="str">
        <x:f>IF(OR(A50="",B50=""),"",SUMIFS('14_Materials_Log'!$I:$I,'14_Materials_Log'!$B:$B,"&gt;="&amp;A50,'14_Materials_Log'!$B:$B,"&lt;"&amp;EOMONTH(A50,0)+1,'14_Materials_Log'!$C:$C,B50))</x:f>
      </x:c>
      <x:c r="H50" s="70" t="str">
        <x:f>IF(OR(A50="",B50=""),"",SUMIFS('15_Equipment_Log'!$M:$M,'15_Equipment_Log'!$B:$B,"&gt;="&amp;A50,'15_Equipment_Log'!$B:$B,"&lt;"&amp;EOMONTH(A50,0)+1,'15_Equipment_Log'!$C:$C,B50))</x:f>
      </x:c>
      <x:c r="I50" s="70" t="str">
        <x:f>IF(OR(A50="",B50=""),"",SUMIFS('12_Production_Log'!$M:$M,'12_Production_Log'!$B:$B,"&gt;="&amp;A50,'12_Production_Log'!$B:$B,"&lt;"&amp;EOMONTH(A50,0)+1,'12_Production_Log'!$C:$C,B50)+SUMIFS('14_Materials_Log'!$I:$I,'14_Materials_Log'!$B:$B,"&gt;="&amp;A50,'14_Materials_Log'!$B:$B,"&lt;"&amp;EOMONTH(A50,0)+1,'14_Materials_Log'!$C:$C,B50,'14_Materials_Log'!$J:$J,"Yes"))</x:f>
      </x:c>
      <x:c r="J50" s="70" t="str">
        <x:f>IF(OR(A50="",B50=""),"",SUMIFS('13_Labor_Time'!$L:$L,'13_Labor_Time'!$B:$B,"&gt;="&amp;A50,'13_Labor_Time'!$B:$B,"&lt;"&amp;EOMONTH(A50,0)+1,'13_Labor_Time'!$C:$C,B50))</x:f>
      </x:c>
      <x:c r="K50" s="70" t="str">
        <x:f>IF(OR(I50="",G50="",H50="",J50=""),"",I50-G50-H50-J50)</x:f>
      </x:c>
      <x:c r="L50" s="140" t="str">
        <x:f>IF(C50=0,"",COUNTIFS('11_Intake_Daily'!$C:$C,"&gt;="&amp;A50,'11_Intake_Daily'!$C:$C,"&lt;"&amp;EOMONTH(A50,0)+1,'11_Intake_Daily'!$D:$D,B50,'11_Intake_Daily'!$AA:$AA,"Yes")/C50)</x:f>
      </x:c>
    </x:row>
    <x:row r="51" ht="20" customHeight="1">
      <x:c r="A51" s="28"/>
      <x:c r="B51" s="15"/>
      <x:c r="C51" s="15" t="str">
        <x:f>IF(OR(A51="",B51=""),"",COUNTIFS('11_Intake_Daily'!$C:$C,"&gt;="&amp;A51,'11_Intake_Daily'!$C:$C,"&lt;"&amp;EOMONTH(A51,0)+1,'11_Intake_Daily'!$D:$D,B51))</x:f>
      </x:c>
      <x:c r="D51" s="15" t="str">
        <x:f>IF(OR(A51="",B51=""),"",COUNTIFS('20_Proof_Queue'!$B:$B,"&gt;="&amp;A51,'20_Proof_Queue'!$B:$B,"&lt;"&amp;EOMONTH(A51,0)+1,'20_Proof_Queue'!$C:$C,B51,'20_Proof_Queue'!$H:$H,"&lt;&gt;Closed"))</x:f>
      </x:c>
      <x:c r="E51" s="138" t="str">
        <x:f>IF(OR(A51="",B51=""),"",SUMIFS('12_Production_Log'!$H:$H,'12_Production_Log'!$B:$B,"&gt;="&amp;A51,'12_Production_Log'!$B:$B,"&lt;"&amp;EOMONTH(A51,0)+1,'12_Production_Log'!$C:$C,B51))</x:f>
      </x:c>
      <x:c r="F51" s="136" t="str">
        <x:f>IF(OR(A51="",B51=""),"",SUMIFS('13_Labor_Time'!$J:$J,'13_Labor_Time'!$B:$B,"&gt;="&amp;A51,'13_Labor_Time'!$B:$B,"&lt;"&amp;EOMONTH(A51,0)+1,'13_Labor_Time'!$C:$C,B51))</x:f>
      </x:c>
      <x:c r="G51" s="70" t="str">
        <x:f>IF(OR(A51="",B51=""),"",SUMIFS('14_Materials_Log'!$I:$I,'14_Materials_Log'!$B:$B,"&gt;="&amp;A51,'14_Materials_Log'!$B:$B,"&lt;"&amp;EOMONTH(A51,0)+1,'14_Materials_Log'!$C:$C,B51))</x:f>
      </x:c>
      <x:c r="H51" s="70" t="str">
        <x:f>IF(OR(A51="",B51=""),"",SUMIFS('15_Equipment_Log'!$M:$M,'15_Equipment_Log'!$B:$B,"&gt;="&amp;A51,'15_Equipment_Log'!$B:$B,"&lt;"&amp;EOMONTH(A51,0)+1,'15_Equipment_Log'!$C:$C,B51))</x:f>
      </x:c>
      <x:c r="I51" s="70" t="str">
        <x:f>IF(OR(A51="",B51=""),"",SUMIFS('12_Production_Log'!$M:$M,'12_Production_Log'!$B:$B,"&gt;="&amp;A51,'12_Production_Log'!$B:$B,"&lt;"&amp;EOMONTH(A51,0)+1,'12_Production_Log'!$C:$C,B51)+SUMIFS('14_Materials_Log'!$I:$I,'14_Materials_Log'!$B:$B,"&gt;="&amp;A51,'14_Materials_Log'!$B:$B,"&lt;"&amp;EOMONTH(A51,0)+1,'14_Materials_Log'!$C:$C,B51,'14_Materials_Log'!$J:$J,"Yes"))</x:f>
      </x:c>
      <x:c r="J51" s="70" t="str">
        <x:f>IF(OR(A51="",B51=""),"",SUMIFS('13_Labor_Time'!$L:$L,'13_Labor_Time'!$B:$B,"&gt;="&amp;A51,'13_Labor_Time'!$B:$B,"&lt;"&amp;EOMONTH(A51,0)+1,'13_Labor_Time'!$C:$C,B51))</x:f>
      </x:c>
      <x:c r="K51" s="70" t="str">
        <x:f>IF(OR(I51="",G51="",H51="",J51=""),"",I51-G51-H51-J51)</x:f>
      </x:c>
      <x:c r="L51" s="140" t="str">
        <x:f>IF(C51=0,"",COUNTIFS('11_Intake_Daily'!$C:$C,"&gt;="&amp;A51,'11_Intake_Daily'!$C:$C,"&lt;"&amp;EOMONTH(A51,0)+1,'11_Intake_Daily'!$D:$D,B51,'11_Intake_Daily'!$AA:$AA,"Yes")/C51)</x:f>
      </x:c>
    </x:row>
    <x:row r="52" ht="20" customHeight="1">
      <x:c r="A52" s="28"/>
      <x:c r="B52" s="15"/>
      <x:c r="C52" s="15" t="str">
        <x:f>IF(OR(A52="",B52=""),"",COUNTIFS('11_Intake_Daily'!$C:$C,"&gt;="&amp;A52,'11_Intake_Daily'!$C:$C,"&lt;"&amp;EOMONTH(A52,0)+1,'11_Intake_Daily'!$D:$D,B52))</x:f>
      </x:c>
      <x:c r="D52" s="15" t="str">
        <x:f>IF(OR(A52="",B52=""),"",COUNTIFS('20_Proof_Queue'!$B:$B,"&gt;="&amp;A52,'20_Proof_Queue'!$B:$B,"&lt;"&amp;EOMONTH(A52,0)+1,'20_Proof_Queue'!$C:$C,B52,'20_Proof_Queue'!$H:$H,"&lt;&gt;Closed"))</x:f>
      </x:c>
      <x:c r="E52" s="138" t="str">
        <x:f>IF(OR(A52="",B52=""),"",SUMIFS('12_Production_Log'!$H:$H,'12_Production_Log'!$B:$B,"&gt;="&amp;A52,'12_Production_Log'!$B:$B,"&lt;"&amp;EOMONTH(A52,0)+1,'12_Production_Log'!$C:$C,B52))</x:f>
      </x:c>
      <x:c r="F52" s="136" t="str">
        <x:f>IF(OR(A52="",B52=""),"",SUMIFS('13_Labor_Time'!$J:$J,'13_Labor_Time'!$B:$B,"&gt;="&amp;A52,'13_Labor_Time'!$B:$B,"&lt;"&amp;EOMONTH(A52,0)+1,'13_Labor_Time'!$C:$C,B52))</x:f>
      </x:c>
      <x:c r="G52" s="70" t="str">
        <x:f>IF(OR(A52="",B52=""),"",SUMIFS('14_Materials_Log'!$I:$I,'14_Materials_Log'!$B:$B,"&gt;="&amp;A52,'14_Materials_Log'!$B:$B,"&lt;"&amp;EOMONTH(A52,0)+1,'14_Materials_Log'!$C:$C,B52))</x:f>
      </x:c>
      <x:c r="H52" s="70" t="str">
        <x:f>IF(OR(A52="",B52=""),"",SUMIFS('15_Equipment_Log'!$M:$M,'15_Equipment_Log'!$B:$B,"&gt;="&amp;A52,'15_Equipment_Log'!$B:$B,"&lt;"&amp;EOMONTH(A52,0)+1,'15_Equipment_Log'!$C:$C,B52))</x:f>
      </x:c>
      <x:c r="I52" s="70" t="str">
        <x:f>IF(OR(A52="",B52=""),"",SUMIFS('12_Production_Log'!$M:$M,'12_Production_Log'!$B:$B,"&gt;="&amp;A52,'12_Production_Log'!$B:$B,"&lt;"&amp;EOMONTH(A52,0)+1,'12_Production_Log'!$C:$C,B52)+SUMIFS('14_Materials_Log'!$I:$I,'14_Materials_Log'!$B:$B,"&gt;="&amp;A52,'14_Materials_Log'!$B:$B,"&lt;"&amp;EOMONTH(A52,0)+1,'14_Materials_Log'!$C:$C,B52,'14_Materials_Log'!$J:$J,"Yes"))</x:f>
      </x:c>
      <x:c r="J52" s="70" t="str">
        <x:f>IF(OR(A52="",B52=""),"",SUMIFS('13_Labor_Time'!$L:$L,'13_Labor_Time'!$B:$B,"&gt;="&amp;A52,'13_Labor_Time'!$B:$B,"&lt;"&amp;EOMONTH(A52,0)+1,'13_Labor_Time'!$C:$C,B52))</x:f>
      </x:c>
      <x:c r="K52" s="70" t="str">
        <x:f>IF(OR(I52="",G52="",H52="",J52=""),"",I52-G52-H52-J52)</x:f>
      </x:c>
      <x:c r="L52" s="140" t="str">
        <x:f>IF(C52=0,"",COUNTIFS('11_Intake_Daily'!$C:$C,"&gt;="&amp;A52,'11_Intake_Daily'!$C:$C,"&lt;"&amp;EOMONTH(A52,0)+1,'11_Intake_Daily'!$D:$D,B52,'11_Intake_Daily'!$AA:$AA,"Yes")/C52)</x:f>
      </x:c>
    </x:row>
    <x:row r="53" ht="20" customHeight="1">
      <x:c r="A53" s="28"/>
      <x:c r="B53" s="15"/>
      <x:c r="C53" s="15" t="str">
        <x:f>IF(OR(A53="",B53=""),"",COUNTIFS('11_Intake_Daily'!$C:$C,"&gt;="&amp;A53,'11_Intake_Daily'!$C:$C,"&lt;"&amp;EOMONTH(A53,0)+1,'11_Intake_Daily'!$D:$D,B53))</x:f>
      </x:c>
      <x:c r="D53" s="15" t="str">
        <x:f>IF(OR(A53="",B53=""),"",COUNTIFS('20_Proof_Queue'!$B:$B,"&gt;="&amp;A53,'20_Proof_Queue'!$B:$B,"&lt;"&amp;EOMONTH(A53,0)+1,'20_Proof_Queue'!$C:$C,B53,'20_Proof_Queue'!$H:$H,"&lt;&gt;Closed"))</x:f>
      </x:c>
      <x:c r="E53" s="138" t="str">
        <x:f>IF(OR(A53="",B53=""),"",SUMIFS('12_Production_Log'!$H:$H,'12_Production_Log'!$B:$B,"&gt;="&amp;A53,'12_Production_Log'!$B:$B,"&lt;"&amp;EOMONTH(A53,0)+1,'12_Production_Log'!$C:$C,B53))</x:f>
      </x:c>
      <x:c r="F53" s="136" t="str">
        <x:f>IF(OR(A53="",B53=""),"",SUMIFS('13_Labor_Time'!$J:$J,'13_Labor_Time'!$B:$B,"&gt;="&amp;A53,'13_Labor_Time'!$B:$B,"&lt;"&amp;EOMONTH(A53,0)+1,'13_Labor_Time'!$C:$C,B53))</x:f>
      </x:c>
      <x:c r="G53" s="70" t="str">
        <x:f>IF(OR(A53="",B53=""),"",SUMIFS('14_Materials_Log'!$I:$I,'14_Materials_Log'!$B:$B,"&gt;="&amp;A53,'14_Materials_Log'!$B:$B,"&lt;"&amp;EOMONTH(A53,0)+1,'14_Materials_Log'!$C:$C,B53))</x:f>
      </x:c>
      <x:c r="H53" s="70" t="str">
        <x:f>IF(OR(A53="",B53=""),"",SUMIFS('15_Equipment_Log'!$M:$M,'15_Equipment_Log'!$B:$B,"&gt;="&amp;A53,'15_Equipment_Log'!$B:$B,"&lt;"&amp;EOMONTH(A53,0)+1,'15_Equipment_Log'!$C:$C,B53))</x:f>
      </x:c>
      <x:c r="I53" s="70" t="str">
        <x:f>IF(OR(A53="",B53=""),"",SUMIFS('12_Production_Log'!$M:$M,'12_Production_Log'!$B:$B,"&gt;="&amp;A53,'12_Production_Log'!$B:$B,"&lt;"&amp;EOMONTH(A53,0)+1,'12_Production_Log'!$C:$C,B53)+SUMIFS('14_Materials_Log'!$I:$I,'14_Materials_Log'!$B:$B,"&gt;="&amp;A53,'14_Materials_Log'!$B:$B,"&lt;"&amp;EOMONTH(A53,0)+1,'14_Materials_Log'!$C:$C,B53,'14_Materials_Log'!$J:$J,"Yes"))</x:f>
      </x:c>
      <x:c r="J53" s="70" t="str">
        <x:f>IF(OR(A53="",B53=""),"",SUMIFS('13_Labor_Time'!$L:$L,'13_Labor_Time'!$B:$B,"&gt;="&amp;A53,'13_Labor_Time'!$B:$B,"&lt;"&amp;EOMONTH(A53,0)+1,'13_Labor_Time'!$C:$C,B53))</x:f>
      </x:c>
      <x:c r="K53" s="70" t="str">
        <x:f>IF(OR(I53="",G53="",H53="",J53=""),"",I53-G53-H53-J53)</x:f>
      </x:c>
      <x:c r="L53" s="140" t="str">
        <x:f>IF(C53=0,"",COUNTIFS('11_Intake_Daily'!$C:$C,"&gt;="&amp;A53,'11_Intake_Daily'!$C:$C,"&lt;"&amp;EOMONTH(A53,0)+1,'11_Intake_Daily'!$D:$D,B53,'11_Intake_Daily'!$AA:$AA,"Yes")/C53)</x:f>
      </x:c>
    </x:row>
    <x:row r="54" ht="20" customHeight="1">
      <x:c r="A54" s="28"/>
      <x:c r="B54" s="15"/>
      <x:c r="C54" s="15" t="str">
        <x:f>IF(OR(A54="",B54=""),"",COUNTIFS('11_Intake_Daily'!$C:$C,"&gt;="&amp;A54,'11_Intake_Daily'!$C:$C,"&lt;"&amp;EOMONTH(A54,0)+1,'11_Intake_Daily'!$D:$D,B54))</x:f>
      </x:c>
      <x:c r="D54" s="15" t="str">
        <x:f>IF(OR(A54="",B54=""),"",COUNTIFS('20_Proof_Queue'!$B:$B,"&gt;="&amp;A54,'20_Proof_Queue'!$B:$B,"&lt;"&amp;EOMONTH(A54,0)+1,'20_Proof_Queue'!$C:$C,B54,'20_Proof_Queue'!$H:$H,"&lt;&gt;Closed"))</x:f>
      </x:c>
      <x:c r="E54" s="138" t="str">
        <x:f>IF(OR(A54="",B54=""),"",SUMIFS('12_Production_Log'!$H:$H,'12_Production_Log'!$B:$B,"&gt;="&amp;A54,'12_Production_Log'!$B:$B,"&lt;"&amp;EOMONTH(A54,0)+1,'12_Production_Log'!$C:$C,B54))</x:f>
      </x:c>
      <x:c r="F54" s="136" t="str">
        <x:f>IF(OR(A54="",B54=""),"",SUMIFS('13_Labor_Time'!$J:$J,'13_Labor_Time'!$B:$B,"&gt;="&amp;A54,'13_Labor_Time'!$B:$B,"&lt;"&amp;EOMONTH(A54,0)+1,'13_Labor_Time'!$C:$C,B54))</x:f>
      </x:c>
      <x:c r="G54" s="70" t="str">
        <x:f>IF(OR(A54="",B54=""),"",SUMIFS('14_Materials_Log'!$I:$I,'14_Materials_Log'!$B:$B,"&gt;="&amp;A54,'14_Materials_Log'!$B:$B,"&lt;"&amp;EOMONTH(A54,0)+1,'14_Materials_Log'!$C:$C,B54))</x:f>
      </x:c>
      <x:c r="H54" s="70" t="str">
        <x:f>IF(OR(A54="",B54=""),"",SUMIFS('15_Equipment_Log'!$M:$M,'15_Equipment_Log'!$B:$B,"&gt;="&amp;A54,'15_Equipment_Log'!$B:$B,"&lt;"&amp;EOMONTH(A54,0)+1,'15_Equipment_Log'!$C:$C,B54))</x:f>
      </x:c>
      <x:c r="I54" s="70" t="str">
        <x:f>IF(OR(A54="",B54=""),"",SUMIFS('12_Production_Log'!$M:$M,'12_Production_Log'!$B:$B,"&gt;="&amp;A54,'12_Production_Log'!$B:$B,"&lt;"&amp;EOMONTH(A54,0)+1,'12_Production_Log'!$C:$C,B54)+SUMIFS('14_Materials_Log'!$I:$I,'14_Materials_Log'!$B:$B,"&gt;="&amp;A54,'14_Materials_Log'!$B:$B,"&lt;"&amp;EOMONTH(A54,0)+1,'14_Materials_Log'!$C:$C,B54,'14_Materials_Log'!$J:$J,"Yes"))</x:f>
      </x:c>
      <x:c r="J54" s="70" t="str">
        <x:f>IF(OR(A54="",B54=""),"",SUMIFS('13_Labor_Time'!$L:$L,'13_Labor_Time'!$B:$B,"&gt;="&amp;A54,'13_Labor_Time'!$B:$B,"&lt;"&amp;EOMONTH(A54,0)+1,'13_Labor_Time'!$C:$C,B54))</x:f>
      </x:c>
      <x:c r="K54" s="70" t="str">
        <x:f>IF(OR(I54="",G54="",H54="",J54=""),"",I54-G54-H54-J54)</x:f>
      </x:c>
      <x:c r="L54" s="140" t="str">
        <x:f>IF(C54=0,"",COUNTIFS('11_Intake_Daily'!$C:$C,"&gt;="&amp;A54,'11_Intake_Daily'!$C:$C,"&lt;"&amp;EOMONTH(A54,0)+1,'11_Intake_Daily'!$D:$D,B54,'11_Intake_Daily'!$AA:$AA,"Yes")/C54)</x:f>
      </x:c>
    </x:row>
    <x:row r="55" ht="20" customHeight="1">
      <x:c r="A55" s="28"/>
      <x:c r="B55" s="15"/>
      <x:c r="C55" s="15" t="str">
        <x:f>IF(OR(A55="",B55=""),"",COUNTIFS('11_Intake_Daily'!$C:$C,"&gt;="&amp;A55,'11_Intake_Daily'!$C:$C,"&lt;"&amp;EOMONTH(A55,0)+1,'11_Intake_Daily'!$D:$D,B55))</x:f>
      </x:c>
      <x:c r="D55" s="15" t="str">
        <x:f>IF(OR(A55="",B55=""),"",COUNTIFS('20_Proof_Queue'!$B:$B,"&gt;="&amp;A55,'20_Proof_Queue'!$B:$B,"&lt;"&amp;EOMONTH(A55,0)+1,'20_Proof_Queue'!$C:$C,B55,'20_Proof_Queue'!$H:$H,"&lt;&gt;Closed"))</x:f>
      </x:c>
      <x:c r="E55" s="138" t="str">
        <x:f>IF(OR(A55="",B55=""),"",SUMIFS('12_Production_Log'!$H:$H,'12_Production_Log'!$B:$B,"&gt;="&amp;A55,'12_Production_Log'!$B:$B,"&lt;"&amp;EOMONTH(A55,0)+1,'12_Production_Log'!$C:$C,B55))</x:f>
      </x:c>
      <x:c r="F55" s="136" t="str">
        <x:f>IF(OR(A55="",B55=""),"",SUMIFS('13_Labor_Time'!$J:$J,'13_Labor_Time'!$B:$B,"&gt;="&amp;A55,'13_Labor_Time'!$B:$B,"&lt;"&amp;EOMONTH(A55,0)+1,'13_Labor_Time'!$C:$C,B55))</x:f>
      </x:c>
      <x:c r="G55" s="70" t="str">
        <x:f>IF(OR(A55="",B55=""),"",SUMIFS('14_Materials_Log'!$I:$I,'14_Materials_Log'!$B:$B,"&gt;="&amp;A55,'14_Materials_Log'!$B:$B,"&lt;"&amp;EOMONTH(A55,0)+1,'14_Materials_Log'!$C:$C,B55))</x:f>
      </x:c>
      <x:c r="H55" s="70" t="str">
        <x:f>IF(OR(A55="",B55=""),"",SUMIFS('15_Equipment_Log'!$M:$M,'15_Equipment_Log'!$B:$B,"&gt;="&amp;A55,'15_Equipment_Log'!$B:$B,"&lt;"&amp;EOMONTH(A55,0)+1,'15_Equipment_Log'!$C:$C,B55))</x:f>
      </x:c>
      <x:c r="I55" s="70" t="str">
        <x:f>IF(OR(A55="",B55=""),"",SUMIFS('12_Production_Log'!$M:$M,'12_Production_Log'!$B:$B,"&gt;="&amp;A55,'12_Production_Log'!$B:$B,"&lt;"&amp;EOMONTH(A55,0)+1,'12_Production_Log'!$C:$C,B55)+SUMIFS('14_Materials_Log'!$I:$I,'14_Materials_Log'!$B:$B,"&gt;="&amp;A55,'14_Materials_Log'!$B:$B,"&lt;"&amp;EOMONTH(A55,0)+1,'14_Materials_Log'!$C:$C,B55,'14_Materials_Log'!$J:$J,"Yes"))</x:f>
      </x:c>
      <x:c r="J55" s="70" t="str">
        <x:f>IF(OR(A55="",B55=""),"",SUMIFS('13_Labor_Time'!$L:$L,'13_Labor_Time'!$B:$B,"&gt;="&amp;A55,'13_Labor_Time'!$B:$B,"&lt;"&amp;EOMONTH(A55,0)+1,'13_Labor_Time'!$C:$C,B55))</x:f>
      </x:c>
      <x:c r="K55" s="70" t="str">
        <x:f>IF(OR(I55="",G55="",H55="",J55=""),"",I55-G55-H55-J55)</x:f>
      </x:c>
      <x:c r="L55" s="140" t="str">
        <x:f>IF(C55=0,"",COUNTIFS('11_Intake_Daily'!$C:$C,"&gt;="&amp;A55,'11_Intake_Daily'!$C:$C,"&lt;"&amp;EOMONTH(A55,0)+1,'11_Intake_Daily'!$D:$D,B55,'11_Intake_Daily'!$AA:$AA,"Yes")/C55)</x:f>
      </x:c>
    </x:row>
    <x:row r="56" ht="20" customHeight="1">
      <x:c r="A56" s="28"/>
      <x:c r="B56" s="15"/>
      <x:c r="C56" s="15" t="str">
        <x:f>IF(OR(A56="",B56=""),"",COUNTIFS('11_Intake_Daily'!$C:$C,"&gt;="&amp;A56,'11_Intake_Daily'!$C:$C,"&lt;"&amp;EOMONTH(A56,0)+1,'11_Intake_Daily'!$D:$D,B56))</x:f>
      </x:c>
      <x:c r="D56" s="15" t="str">
        <x:f>IF(OR(A56="",B56=""),"",COUNTIFS('20_Proof_Queue'!$B:$B,"&gt;="&amp;A56,'20_Proof_Queue'!$B:$B,"&lt;"&amp;EOMONTH(A56,0)+1,'20_Proof_Queue'!$C:$C,B56,'20_Proof_Queue'!$H:$H,"&lt;&gt;Closed"))</x:f>
      </x:c>
      <x:c r="E56" s="138" t="str">
        <x:f>IF(OR(A56="",B56=""),"",SUMIFS('12_Production_Log'!$H:$H,'12_Production_Log'!$B:$B,"&gt;="&amp;A56,'12_Production_Log'!$B:$B,"&lt;"&amp;EOMONTH(A56,0)+1,'12_Production_Log'!$C:$C,B56))</x:f>
      </x:c>
      <x:c r="F56" s="136" t="str">
        <x:f>IF(OR(A56="",B56=""),"",SUMIFS('13_Labor_Time'!$J:$J,'13_Labor_Time'!$B:$B,"&gt;="&amp;A56,'13_Labor_Time'!$B:$B,"&lt;"&amp;EOMONTH(A56,0)+1,'13_Labor_Time'!$C:$C,B56))</x:f>
      </x:c>
      <x:c r="G56" s="70" t="str">
        <x:f>IF(OR(A56="",B56=""),"",SUMIFS('14_Materials_Log'!$I:$I,'14_Materials_Log'!$B:$B,"&gt;="&amp;A56,'14_Materials_Log'!$B:$B,"&lt;"&amp;EOMONTH(A56,0)+1,'14_Materials_Log'!$C:$C,B56))</x:f>
      </x:c>
      <x:c r="H56" s="70" t="str">
        <x:f>IF(OR(A56="",B56=""),"",SUMIFS('15_Equipment_Log'!$M:$M,'15_Equipment_Log'!$B:$B,"&gt;="&amp;A56,'15_Equipment_Log'!$B:$B,"&lt;"&amp;EOMONTH(A56,0)+1,'15_Equipment_Log'!$C:$C,B56))</x:f>
      </x:c>
      <x:c r="I56" s="70" t="str">
        <x:f>IF(OR(A56="",B56=""),"",SUMIFS('12_Production_Log'!$M:$M,'12_Production_Log'!$B:$B,"&gt;="&amp;A56,'12_Production_Log'!$B:$B,"&lt;"&amp;EOMONTH(A56,0)+1,'12_Production_Log'!$C:$C,B56)+SUMIFS('14_Materials_Log'!$I:$I,'14_Materials_Log'!$B:$B,"&gt;="&amp;A56,'14_Materials_Log'!$B:$B,"&lt;"&amp;EOMONTH(A56,0)+1,'14_Materials_Log'!$C:$C,B56,'14_Materials_Log'!$J:$J,"Yes"))</x:f>
      </x:c>
      <x:c r="J56" s="70" t="str">
        <x:f>IF(OR(A56="",B56=""),"",SUMIFS('13_Labor_Time'!$L:$L,'13_Labor_Time'!$B:$B,"&gt;="&amp;A56,'13_Labor_Time'!$B:$B,"&lt;"&amp;EOMONTH(A56,0)+1,'13_Labor_Time'!$C:$C,B56))</x:f>
      </x:c>
      <x:c r="K56" s="70" t="str">
        <x:f>IF(OR(I56="",G56="",H56="",J56=""),"",I56-G56-H56-J56)</x:f>
      </x:c>
      <x:c r="L56" s="140" t="str">
        <x:f>IF(C56=0,"",COUNTIFS('11_Intake_Daily'!$C:$C,"&gt;="&amp;A56,'11_Intake_Daily'!$C:$C,"&lt;"&amp;EOMONTH(A56,0)+1,'11_Intake_Daily'!$D:$D,B56,'11_Intake_Daily'!$AA:$AA,"Yes")/C56)</x:f>
      </x:c>
    </x:row>
    <x:row r="57" ht="20" customHeight="1">
      <x:c r="A57" s="28"/>
      <x:c r="B57" s="15"/>
      <x:c r="C57" s="15" t="str">
        <x:f>IF(OR(A57="",B57=""),"",COUNTIFS('11_Intake_Daily'!$C:$C,"&gt;="&amp;A57,'11_Intake_Daily'!$C:$C,"&lt;"&amp;EOMONTH(A57,0)+1,'11_Intake_Daily'!$D:$D,B57))</x:f>
      </x:c>
      <x:c r="D57" s="15" t="str">
        <x:f>IF(OR(A57="",B57=""),"",COUNTIFS('20_Proof_Queue'!$B:$B,"&gt;="&amp;A57,'20_Proof_Queue'!$B:$B,"&lt;"&amp;EOMONTH(A57,0)+1,'20_Proof_Queue'!$C:$C,B57,'20_Proof_Queue'!$H:$H,"&lt;&gt;Closed"))</x:f>
      </x:c>
      <x:c r="E57" s="138" t="str">
        <x:f>IF(OR(A57="",B57=""),"",SUMIFS('12_Production_Log'!$H:$H,'12_Production_Log'!$B:$B,"&gt;="&amp;A57,'12_Production_Log'!$B:$B,"&lt;"&amp;EOMONTH(A57,0)+1,'12_Production_Log'!$C:$C,B57))</x:f>
      </x:c>
      <x:c r="F57" s="136" t="str">
        <x:f>IF(OR(A57="",B57=""),"",SUMIFS('13_Labor_Time'!$J:$J,'13_Labor_Time'!$B:$B,"&gt;="&amp;A57,'13_Labor_Time'!$B:$B,"&lt;"&amp;EOMONTH(A57,0)+1,'13_Labor_Time'!$C:$C,B57))</x:f>
      </x:c>
      <x:c r="G57" s="70" t="str">
        <x:f>IF(OR(A57="",B57=""),"",SUMIFS('14_Materials_Log'!$I:$I,'14_Materials_Log'!$B:$B,"&gt;="&amp;A57,'14_Materials_Log'!$B:$B,"&lt;"&amp;EOMONTH(A57,0)+1,'14_Materials_Log'!$C:$C,B57))</x:f>
      </x:c>
      <x:c r="H57" s="70" t="str">
        <x:f>IF(OR(A57="",B57=""),"",SUMIFS('15_Equipment_Log'!$M:$M,'15_Equipment_Log'!$B:$B,"&gt;="&amp;A57,'15_Equipment_Log'!$B:$B,"&lt;"&amp;EOMONTH(A57,0)+1,'15_Equipment_Log'!$C:$C,B57))</x:f>
      </x:c>
      <x:c r="I57" s="70" t="str">
        <x:f>IF(OR(A57="",B57=""),"",SUMIFS('12_Production_Log'!$M:$M,'12_Production_Log'!$B:$B,"&gt;="&amp;A57,'12_Production_Log'!$B:$B,"&lt;"&amp;EOMONTH(A57,0)+1,'12_Production_Log'!$C:$C,B57)+SUMIFS('14_Materials_Log'!$I:$I,'14_Materials_Log'!$B:$B,"&gt;="&amp;A57,'14_Materials_Log'!$B:$B,"&lt;"&amp;EOMONTH(A57,0)+1,'14_Materials_Log'!$C:$C,B57,'14_Materials_Log'!$J:$J,"Yes"))</x:f>
      </x:c>
      <x:c r="J57" s="70" t="str">
        <x:f>IF(OR(A57="",B57=""),"",SUMIFS('13_Labor_Time'!$L:$L,'13_Labor_Time'!$B:$B,"&gt;="&amp;A57,'13_Labor_Time'!$B:$B,"&lt;"&amp;EOMONTH(A57,0)+1,'13_Labor_Time'!$C:$C,B57))</x:f>
      </x:c>
      <x:c r="K57" s="70" t="str">
        <x:f>IF(OR(I57="",G57="",H57="",J57=""),"",I57-G57-H57-J57)</x:f>
      </x:c>
      <x:c r="L57" s="140" t="str">
        <x:f>IF(C57=0,"",COUNTIFS('11_Intake_Daily'!$C:$C,"&gt;="&amp;A57,'11_Intake_Daily'!$C:$C,"&lt;"&amp;EOMONTH(A57,0)+1,'11_Intake_Daily'!$D:$D,B57,'11_Intake_Daily'!$AA:$AA,"Yes")/C57)</x:f>
      </x:c>
    </x:row>
    <x:row r="58" ht="20" customHeight="1">
      <x:c r="A58" s="28"/>
      <x:c r="B58" s="15"/>
      <x:c r="C58" s="15" t="str">
        <x:f>IF(OR(A58="",B58=""),"",COUNTIFS('11_Intake_Daily'!$C:$C,"&gt;="&amp;A58,'11_Intake_Daily'!$C:$C,"&lt;"&amp;EOMONTH(A58,0)+1,'11_Intake_Daily'!$D:$D,B58))</x:f>
      </x:c>
      <x:c r="D58" s="15" t="str">
        <x:f>IF(OR(A58="",B58=""),"",COUNTIFS('20_Proof_Queue'!$B:$B,"&gt;="&amp;A58,'20_Proof_Queue'!$B:$B,"&lt;"&amp;EOMONTH(A58,0)+1,'20_Proof_Queue'!$C:$C,B58,'20_Proof_Queue'!$H:$H,"&lt;&gt;Closed"))</x:f>
      </x:c>
      <x:c r="E58" s="138" t="str">
        <x:f>IF(OR(A58="",B58=""),"",SUMIFS('12_Production_Log'!$H:$H,'12_Production_Log'!$B:$B,"&gt;="&amp;A58,'12_Production_Log'!$B:$B,"&lt;"&amp;EOMONTH(A58,0)+1,'12_Production_Log'!$C:$C,B58))</x:f>
      </x:c>
      <x:c r="F58" s="136" t="str">
        <x:f>IF(OR(A58="",B58=""),"",SUMIFS('13_Labor_Time'!$J:$J,'13_Labor_Time'!$B:$B,"&gt;="&amp;A58,'13_Labor_Time'!$B:$B,"&lt;"&amp;EOMONTH(A58,0)+1,'13_Labor_Time'!$C:$C,B58))</x:f>
      </x:c>
      <x:c r="G58" s="70" t="str">
        <x:f>IF(OR(A58="",B58=""),"",SUMIFS('14_Materials_Log'!$I:$I,'14_Materials_Log'!$B:$B,"&gt;="&amp;A58,'14_Materials_Log'!$B:$B,"&lt;"&amp;EOMONTH(A58,0)+1,'14_Materials_Log'!$C:$C,B58))</x:f>
      </x:c>
      <x:c r="H58" s="70" t="str">
        <x:f>IF(OR(A58="",B58=""),"",SUMIFS('15_Equipment_Log'!$M:$M,'15_Equipment_Log'!$B:$B,"&gt;="&amp;A58,'15_Equipment_Log'!$B:$B,"&lt;"&amp;EOMONTH(A58,0)+1,'15_Equipment_Log'!$C:$C,B58))</x:f>
      </x:c>
      <x:c r="I58" s="70" t="str">
        <x:f>IF(OR(A58="",B58=""),"",SUMIFS('12_Production_Log'!$M:$M,'12_Production_Log'!$B:$B,"&gt;="&amp;A58,'12_Production_Log'!$B:$B,"&lt;"&amp;EOMONTH(A58,0)+1,'12_Production_Log'!$C:$C,B58)+SUMIFS('14_Materials_Log'!$I:$I,'14_Materials_Log'!$B:$B,"&gt;="&amp;A58,'14_Materials_Log'!$B:$B,"&lt;"&amp;EOMONTH(A58,0)+1,'14_Materials_Log'!$C:$C,B58,'14_Materials_Log'!$J:$J,"Yes"))</x:f>
      </x:c>
      <x:c r="J58" s="70" t="str">
        <x:f>IF(OR(A58="",B58=""),"",SUMIFS('13_Labor_Time'!$L:$L,'13_Labor_Time'!$B:$B,"&gt;="&amp;A58,'13_Labor_Time'!$B:$B,"&lt;"&amp;EOMONTH(A58,0)+1,'13_Labor_Time'!$C:$C,B58))</x:f>
      </x:c>
      <x:c r="K58" s="70" t="str">
        <x:f>IF(OR(I58="",G58="",H58="",J58=""),"",I58-G58-H58-J58)</x:f>
      </x:c>
      <x:c r="L58" s="140" t="str">
        <x:f>IF(C58=0,"",COUNTIFS('11_Intake_Daily'!$C:$C,"&gt;="&amp;A58,'11_Intake_Daily'!$C:$C,"&lt;"&amp;EOMONTH(A58,0)+1,'11_Intake_Daily'!$D:$D,B58,'11_Intake_Daily'!$AA:$AA,"Yes")/C58)</x:f>
      </x:c>
    </x:row>
    <x:row r="59" ht="20" customHeight="1">
      <x:c r="A59" s="28"/>
      <x:c r="B59" s="15"/>
      <x:c r="C59" s="15" t="str">
        <x:f>IF(OR(A59="",B59=""),"",COUNTIFS('11_Intake_Daily'!$C:$C,"&gt;="&amp;A59,'11_Intake_Daily'!$C:$C,"&lt;"&amp;EOMONTH(A59,0)+1,'11_Intake_Daily'!$D:$D,B59))</x:f>
      </x:c>
      <x:c r="D59" s="15" t="str">
        <x:f>IF(OR(A59="",B59=""),"",COUNTIFS('20_Proof_Queue'!$B:$B,"&gt;="&amp;A59,'20_Proof_Queue'!$B:$B,"&lt;"&amp;EOMONTH(A59,0)+1,'20_Proof_Queue'!$C:$C,B59,'20_Proof_Queue'!$H:$H,"&lt;&gt;Closed"))</x:f>
      </x:c>
      <x:c r="E59" s="138" t="str">
        <x:f>IF(OR(A59="",B59=""),"",SUMIFS('12_Production_Log'!$H:$H,'12_Production_Log'!$B:$B,"&gt;="&amp;A59,'12_Production_Log'!$B:$B,"&lt;"&amp;EOMONTH(A59,0)+1,'12_Production_Log'!$C:$C,B59))</x:f>
      </x:c>
      <x:c r="F59" s="136" t="str">
        <x:f>IF(OR(A59="",B59=""),"",SUMIFS('13_Labor_Time'!$J:$J,'13_Labor_Time'!$B:$B,"&gt;="&amp;A59,'13_Labor_Time'!$B:$B,"&lt;"&amp;EOMONTH(A59,0)+1,'13_Labor_Time'!$C:$C,B59))</x:f>
      </x:c>
      <x:c r="G59" s="70" t="str">
        <x:f>IF(OR(A59="",B59=""),"",SUMIFS('14_Materials_Log'!$I:$I,'14_Materials_Log'!$B:$B,"&gt;="&amp;A59,'14_Materials_Log'!$B:$B,"&lt;"&amp;EOMONTH(A59,0)+1,'14_Materials_Log'!$C:$C,B59))</x:f>
      </x:c>
      <x:c r="H59" s="70" t="str">
        <x:f>IF(OR(A59="",B59=""),"",SUMIFS('15_Equipment_Log'!$M:$M,'15_Equipment_Log'!$B:$B,"&gt;="&amp;A59,'15_Equipment_Log'!$B:$B,"&lt;"&amp;EOMONTH(A59,0)+1,'15_Equipment_Log'!$C:$C,B59))</x:f>
      </x:c>
      <x:c r="I59" s="70" t="str">
        <x:f>IF(OR(A59="",B59=""),"",SUMIFS('12_Production_Log'!$M:$M,'12_Production_Log'!$B:$B,"&gt;="&amp;A59,'12_Production_Log'!$B:$B,"&lt;"&amp;EOMONTH(A59,0)+1,'12_Production_Log'!$C:$C,B59)+SUMIFS('14_Materials_Log'!$I:$I,'14_Materials_Log'!$B:$B,"&gt;="&amp;A59,'14_Materials_Log'!$B:$B,"&lt;"&amp;EOMONTH(A59,0)+1,'14_Materials_Log'!$C:$C,B59,'14_Materials_Log'!$J:$J,"Yes"))</x:f>
      </x:c>
      <x:c r="J59" s="70" t="str">
        <x:f>IF(OR(A59="",B59=""),"",SUMIFS('13_Labor_Time'!$L:$L,'13_Labor_Time'!$B:$B,"&gt;="&amp;A59,'13_Labor_Time'!$B:$B,"&lt;"&amp;EOMONTH(A59,0)+1,'13_Labor_Time'!$C:$C,B59))</x:f>
      </x:c>
      <x:c r="K59" s="70" t="str">
        <x:f>IF(OR(I59="",G59="",H59="",J59=""),"",I59-G59-H59-J59)</x:f>
      </x:c>
      <x:c r="L59" s="140" t="str">
        <x:f>IF(C59=0,"",COUNTIFS('11_Intake_Daily'!$C:$C,"&gt;="&amp;A59,'11_Intake_Daily'!$C:$C,"&lt;"&amp;EOMONTH(A59,0)+1,'11_Intake_Daily'!$D:$D,B59,'11_Intake_Daily'!$AA:$AA,"Yes")/C59)</x:f>
      </x:c>
    </x:row>
    <x:row r="60" ht="20" customHeight="1">
      <x:c r="A60" s="28"/>
      <x:c r="B60" s="15"/>
      <x:c r="C60" s="15" t="str">
        <x:f>IF(OR(A60="",B60=""),"",COUNTIFS('11_Intake_Daily'!$C:$C,"&gt;="&amp;A60,'11_Intake_Daily'!$C:$C,"&lt;"&amp;EOMONTH(A60,0)+1,'11_Intake_Daily'!$D:$D,B60))</x:f>
      </x:c>
      <x:c r="D60" s="15" t="str">
        <x:f>IF(OR(A60="",B60=""),"",COUNTIFS('20_Proof_Queue'!$B:$B,"&gt;="&amp;A60,'20_Proof_Queue'!$B:$B,"&lt;"&amp;EOMONTH(A60,0)+1,'20_Proof_Queue'!$C:$C,B60,'20_Proof_Queue'!$H:$H,"&lt;&gt;Closed"))</x:f>
      </x:c>
      <x:c r="E60" s="138" t="str">
        <x:f>IF(OR(A60="",B60=""),"",SUMIFS('12_Production_Log'!$H:$H,'12_Production_Log'!$B:$B,"&gt;="&amp;A60,'12_Production_Log'!$B:$B,"&lt;"&amp;EOMONTH(A60,0)+1,'12_Production_Log'!$C:$C,B60))</x:f>
      </x:c>
      <x:c r="F60" s="136" t="str">
        <x:f>IF(OR(A60="",B60=""),"",SUMIFS('13_Labor_Time'!$J:$J,'13_Labor_Time'!$B:$B,"&gt;="&amp;A60,'13_Labor_Time'!$B:$B,"&lt;"&amp;EOMONTH(A60,0)+1,'13_Labor_Time'!$C:$C,B60))</x:f>
      </x:c>
      <x:c r="G60" s="70" t="str">
        <x:f>IF(OR(A60="",B60=""),"",SUMIFS('14_Materials_Log'!$I:$I,'14_Materials_Log'!$B:$B,"&gt;="&amp;A60,'14_Materials_Log'!$B:$B,"&lt;"&amp;EOMONTH(A60,0)+1,'14_Materials_Log'!$C:$C,B60))</x:f>
      </x:c>
      <x:c r="H60" s="70" t="str">
        <x:f>IF(OR(A60="",B60=""),"",SUMIFS('15_Equipment_Log'!$M:$M,'15_Equipment_Log'!$B:$B,"&gt;="&amp;A60,'15_Equipment_Log'!$B:$B,"&lt;"&amp;EOMONTH(A60,0)+1,'15_Equipment_Log'!$C:$C,B60))</x:f>
      </x:c>
      <x:c r="I60" s="70" t="str">
        <x:f>IF(OR(A60="",B60=""),"",SUMIFS('12_Production_Log'!$M:$M,'12_Production_Log'!$B:$B,"&gt;="&amp;A60,'12_Production_Log'!$B:$B,"&lt;"&amp;EOMONTH(A60,0)+1,'12_Production_Log'!$C:$C,B60)+SUMIFS('14_Materials_Log'!$I:$I,'14_Materials_Log'!$B:$B,"&gt;="&amp;A60,'14_Materials_Log'!$B:$B,"&lt;"&amp;EOMONTH(A60,0)+1,'14_Materials_Log'!$C:$C,B60,'14_Materials_Log'!$J:$J,"Yes"))</x:f>
      </x:c>
      <x:c r="J60" s="70" t="str">
        <x:f>IF(OR(A60="",B60=""),"",SUMIFS('13_Labor_Time'!$L:$L,'13_Labor_Time'!$B:$B,"&gt;="&amp;A60,'13_Labor_Time'!$B:$B,"&lt;"&amp;EOMONTH(A60,0)+1,'13_Labor_Time'!$C:$C,B60))</x:f>
      </x:c>
      <x:c r="K60" s="70" t="str">
        <x:f>IF(OR(I60="",G60="",H60="",J60=""),"",I60-G60-H60-J60)</x:f>
      </x:c>
      <x:c r="L60" s="140" t="str">
        <x:f>IF(C60=0,"",COUNTIFS('11_Intake_Daily'!$C:$C,"&gt;="&amp;A60,'11_Intake_Daily'!$C:$C,"&lt;"&amp;EOMONTH(A60,0)+1,'11_Intake_Daily'!$D:$D,B60,'11_Intake_Daily'!$AA:$AA,"Yes")/C60)</x:f>
      </x:c>
    </x:row>
    <x:row r="61" ht="20" customHeight="1">
      <x:c r="A61" s="28"/>
      <x:c r="B61" s="15"/>
      <x:c r="C61" s="15" t="str">
        <x:f>IF(OR(A61="",B61=""),"",COUNTIFS('11_Intake_Daily'!$C:$C,"&gt;="&amp;A61,'11_Intake_Daily'!$C:$C,"&lt;"&amp;EOMONTH(A61,0)+1,'11_Intake_Daily'!$D:$D,B61))</x:f>
      </x:c>
      <x:c r="D61" s="15" t="str">
        <x:f>IF(OR(A61="",B61=""),"",COUNTIFS('20_Proof_Queue'!$B:$B,"&gt;="&amp;A61,'20_Proof_Queue'!$B:$B,"&lt;"&amp;EOMONTH(A61,0)+1,'20_Proof_Queue'!$C:$C,B61,'20_Proof_Queue'!$H:$H,"&lt;&gt;Closed"))</x:f>
      </x:c>
      <x:c r="E61" s="138" t="str">
        <x:f>IF(OR(A61="",B61=""),"",SUMIFS('12_Production_Log'!$H:$H,'12_Production_Log'!$B:$B,"&gt;="&amp;A61,'12_Production_Log'!$B:$B,"&lt;"&amp;EOMONTH(A61,0)+1,'12_Production_Log'!$C:$C,B61))</x:f>
      </x:c>
      <x:c r="F61" s="136" t="str">
        <x:f>IF(OR(A61="",B61=""),"",SUMIFS('13_Labor_Time'!$J:$J,'13_Labor_Time'!$B:$B,"&gt;="&amp;A61,'13_Labor_Time'!$B:$B,"&lt;"&amp;EOMONTH(A61,0)+1,'13_Labor_Time'!$C:$C,B61))</x:f>
      </x:c>
      <x:c r="G61" s="70" t="str">
        <x:f>IF(OR(A61="",B61=""),"",SUMIFS('14_Materials_Log'!$I:$I,'14_Materials_Log'!$B:$B,"&gt;="&amp;A61,'14_Materials_Log'!$B:$B,"&lt;"&amp;EOMONTH(A61,0)+1,'14_Materials_Log'!$C:$C,B61))</x:f>
      </x:c>
      <x:c r="H61" s="70" t="str">
        <x:f>IF(OR(A61="",B61=""),"",SUMIFS('15_Equipment_Log'!$M:$M,'15_Equipment_Log'!$B:$B,"&gt;="&amp;A61,'15_Equipment_Log'!$B:$B,"&lt;"&amp;EOMONTH(A61,0)+1,'15_Equipment_Log'!$C:$C,B61))</x:f>
      </x:c>
      <x:c r="I61" s="70" t="str">
        <x:f>IF(OR(A61="",B61=""),"",SUMIFS('12_Production_Log'!$M:$M,'12_Production_Log'!$B:$B,"&gt;="&amp;A61,'12_Production_Log'!$B:$B,"&lt;"&amp;EOMONTH(A61,0)+1,'12_Production_Log'!$C:$C,B61)+SUMIFS('14_Materials_Log'!$I:$I,'14_Materials_Log'!$B:$B,"&gt;="&amp;A61,'14_Materials_Log'!$B:$B,"&lt;"&amp;EOMONTH(A61,0)+1,'14_Materials_Log'!$C:$C,B61,'14_Materials_Log'!$J:$J,"Yes"))</x:f>
      </x:c>
      <x:c r="J61" s="70" t="str">
        <x:f>IF(OR(A61="",B61=""),"",SUMIFS('13_Labor_Time'!$L:$L,'13_Labor_Time'!$B:$B,"&gt;="&amp;A61,'13_Labor_Time'!$B:$B,"&lt;"&amp;EOMONTH(A61,0)+1,'13_Labor_Time'!$C:$C,B61))</x:f>
      </x:c>
      <x:c r="K61" s="70" t="str">
        <x:f>IF(OR(I61="",G61="",H61="",J61=""),"",I61-G61-H61-J61)</x:f>
      </x:c>
      <x:c r="L61" s="140" t="str">
        <x:f>IF(C61=0,"",COUNTIFS('11_Intake_Daily'!$C:$C,"&gt;="&amp;A61,'11_Intake_Daily'!$C:$C,"&lt;"&amp;EOMONTH(A61,0)+1,'11_Intake_Daily'!$D:$D,B61,'11_Intake_Daily'!$AA:$AA,"Yes")/C61)</x:f>
      </x:c>
    </x:row>
  </x:sheetData>
  <x:pageMargins left="0.7" right="0.7" top="0.75" bottom="0.75" header="0.3" footer="0.3"/>
  <x:tableParts count="1">
    <x:tablePart xmlns:r="http://schemas.openxmlformats.org/officeDocument/2006/relationships" r:id="Rae6ec2a8fa8c4b07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14" hidden="0" customWidth="1"/>
    <x:col min="6" max="6" width="2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0" customHeight="1">
      <x:c r="A1" s="276" t="str">
        <x:v>Crewproof Office Dashboard</x:v>
      </x:c>
      <x:c r="B1" s="276"/>
      <x:c r="C1" s="276"/>
      <x:c r="D1" s="276"/>
      <x:c r="E1" s="276"/>
      <x:c r="F1" s="276"/>
      <x:c r="G1" s="276"/>
      <x:c r="H1" s="276"/>
      <x:c r="I1" s="276"/>
      <x:c r="J1" s="276"/>
      <x:c r="K1" s="276"/>
      <x:c r="L1" s="276"/>
      <x:c r="M1" s="276"/>
      <x:c r="N1" s="276"/>
    </x:row>
    <x:row r="2">
      <x:c r="A2" s="8" t="str">
        <x:v>Selected Project</x:v>
      </x:c>
      <x:c r="B2" s="277" t="str">
        <x:f>'01_Settings'!B4</x:f>
        <x:v>PRJ-1001</x:v>
      </x:c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</x:row>
    <x:row r="3">
      <x:c r="A3" s="8" t="str">
        <x:v>Period Start</x:v>
      </x:c>
      <x:c r="B3" s="278" t="n">
        <x:f>'01_Settings'!B5</x:f>
        <x:v>46202</x:v>
      </x:c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</x:row>
    <x:row r="4">
      <x:c r="A4" s="8" t="str">
        <x:v>Period End</x:v>
      </x:c>
      <x:c r="B4" s="278" t="n">
        <x:f>'01_Settings'!B6</x:f>
        <x:v>46205</x:v>
      </x:c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</x:row>
    <x:row r="5">
      <x:c r="A5" s="8" t="str">
        <x:v>Generated</x:v>
      </x:c>
      <x:c r="B5" s="278" t="n">
        <x:f>NOW()</x:f>
        <x:v>46205</x:v>
      </x:c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</x:row>
    <x:row r="7">
      <x:c r="A7" s="127" t="str">
        <x:v>Submissions</x:v>
      </x:c>
      <x:c r="B7" s="127" t="str">
        <x:v>Ready %</x:v>
      </x:c>
      <x:c r="C7" s="127" t="str">
        <x:v>Open Proof Issues</x:v>
      </x:c>
      <x:c r="D7" s="127" t="str">
        <x:v>Production Qty</x:v>
      </x:c>
      <x:c r="E7" s="127" t="str">
        <x:v>Labor Hours</x:v>
      </x:c>
      <x:c r="F7" s="127" t="str">
        <x:v>Billable Revenue</x:v>
      </x:c>
      <x:c r="G7" s="127" t="str">
        <x:v>Labor Cost</x:v>
      </x:c>
      <x:c r="H7" s="127" t="str">
        <x:v>Material Cost</x:v>
      </x:c>
      <x:c r="I7" s="127" t="str">
        <x:v>Equipment Cost</x:v>
      </x:c>
      <x:c r="J7" s="127" t="str">
        <x:v>Est. Margin</x:v>
      </x:c>
      <x:c r="K7" s="14"/>
      <x:c r="L7" s="14"/>
      <x:c r="M7" s="14"/>
      <x:c r="N7" s="14"/>
    </x:row>
    <x:row r="8" ht="32" customHeight="1">
      <x:c r="A8" s="279" t="n">
        <x:f>COUNTIFS('11_Intake_Daily'!$C:$C,"&gt;="&amp;$B$3,'11_Intake_Daily'!$C:$C,"&lt;="&amp;$B$4,'11_Intake_Daily'!$D:$D,$B$2)</x:f>
        <x:v>3</x:v>
      </x:c>
      <x:c r="B8" s="280" t="n">
        <x:f>IF(A8=0,"",COUNTIFS('11_Intake_Daily'!$C:$C,"&gt;="&amp;$B$3,'11_Intake_Daily'!$C:$C,"&lt;="&amp;$B$4,'11_Intake_Daily'!$D:$D,$B$2,'11_Intake_Daily'!$AA:$AA,"Yes")/A8)</x:f>
        <x:v>0.6666666666666666</x:v>
      </x:c>
      <x:c r="C8" s="279" t="n">
        <x:f>COUNTIFS('20_Proof_Queue'!$B:$B,"&gt;="&amp;$B$3,'20_Proof_Queue'!$B:$B,"&lt;="&amp;$B$4,'20_Proof_Queue'!$C:$C,$B$2,'20_Proof_Queue'!$H:$H,"&lt;&gt;Closed")</x:f>
        <x:v>2</x:v>
      </x:c>
      <x:c r="D8" s="281" t="n">
        <x:f>SUMIFS('12_Production_Log'!$H:$H,'12_Production_Log'!$B:$B,"&gt;="&amp;$B$3,'12_Production_Log'!$B:$B,"&lt;="&amp;$B$4,'12_Production_Log'!$C:$C,$B$2)</x:f>
        <x:v>2970</x:v>
      </x:c>
      <x:c r="E8" s="281" t="n">
        <x:f>SUMIFS('13_Labor_Time'!$J:$J,'13_Labor_Time'!$B:$B,"&gt;="&amp;$B$3,'13_Labor_Time'!$B:$B,"&lt;="&amp;$B$4,'13_Labor_Time'!$C:$C,$B$2)</x:f>
        <x:v>44.5</x:v>
      </x:c>
      <x:c r="F8" s="282" t="n">
        <x:f>SUMIFS('12_Production_Log'!$M:$M,'12_Production_Log'!$B:$B,"&gt;="&amp;$B$3,'12_Production_Log'!$B:$B,"&lt;="&amp;$B$4,'12_Production_Log'!$C:$C,$B$2)+SUMIFS('14_Materials_Log'!$I:$I,'14_Materials_Log'!$B:$B,"&gt;="&amp;$B$3,'14_Materials_Log'!$B:$B,"&lt;="&amp;$B$4,'14_Materials_Log'!$C:$C,$B$2,'14_Materials_Log'!$J:$J,"Yes")</x:f>
        <x:v>31326</x:v>
      </x:c>
      <x:c r="G8" s="282" t="n">
        <x:f>SUMIFS('13_Labor_Time'!$L:$L,'13_Labor_Time'!$B:$B,"&gt;="&amp;$B$3,'13_Labor_Time'!$B:$B,"&lt;="&amp;$B$4,'13_Labor_Time'!$C:$C,$B$2)</x:f>
        <x:v>1566</x:v>
      </x:c>
      <x:c r="H8" s="282" t="n">
        <x:f>SUMIFS('14_Materials_Log'!$I:$I,'14_Materials_Log'!$B:$B,"&gt;="&amp;$B$3,'14_Materials_Log'!$B:$B,"&lt;="&amp;$B$4,'14_Materials_Log'!$C:$C,$B$2)</x:f>
        <x:v>1761</x:v>
      </x:c>
      <x:c r="I8" s="282" t="n">
        <x:f>SUMIFS('15_Equipment_Log'!$M:$M,'15_Equipment_Log'!$B:$B,"&gt;="&amp;$B$3,'15_Equipment_Log'!$B:$B,"&lt;="&amp;$B$4,'15_Equipment_Log'!$C:$C,$B$2)</x:f>
        <x:v>2404.5</x:v>
      </x:c>
      <x:c r="J8" s="282" t="n">
        <x:f>F8-G8-H8-I8</x:f>
        <x:v>25594.5</x:v>
      </x:c>
      <x:c r="K8" s="14"/>
      <x:c r="L8" s="14"/>
      <x:c r="M8" s="14"/>
      <x:c r="N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</x:row>
    <x:row r="11">
      <x:c r="A11" s="214" t="str">
        <x:v>Open Proof Queue Snapshot</x:v>
      </x:c>
      <x:c r="B11" s="214" t="str"/>
      <x:c r="C11" s="214" t="str"/>
      <x:c r="D11" s="214" t="str"/>
      <x:c r="E11" s="214" t="str"/>
      <x:c r="F11" s="214" t="str"/>
      <x:c r="G11" s="14"/>
      <x:c r="H11" s="273" t="str">
        <x:v>Date</x:v>
      </x:c>
      <x:c r="I11" s="273" t="str">
        <x:v>ProductionQty</x:v>
      </x:c>
      <x:c r="J11" s="273" t="str">
        <x:v>LaborHours</x:v>
      </x:c>
      <x:c r="K11" s="14"/>
      <x:c r="L11" s="14"/>
      <x:c r="M11" s="14"/>
      <x:c r="N11" s="14"/>
    </x:row>
    <x:row r="12">
      <x:c r="A12" s="273" t="str">
        <x:v>IssueID</x:v>
      </x:c>
      <x:c r="B12" s="273" t="str">
        <x:v>Date</x:v>
      </x:c>
      <x:c r="C12" s="273" t="str">
        <x:v>ProjectID</x:v>
      </x:c>
      <x:c r="D12" s="273" t="str">
        <x:v>Type</x:v>
      </x:c>
      <x:c r="E12" s="273" t="str">
        <x:v>Severity</x:v>
      </x:c>
      <x:c r="F12" s="273" t="str">
        <x:v>Status</x:v>
      </x:c>
      <x:c r="G12" s="14"/>
      <x:c r="H12" s="283" t="n">
        <x:f>'30_Daily_Rollup'!A2</x:f>
        <x:v>46202</x:v>
      </x:c>
      <x:c r="I12" s="14" t="n">
        <x:f>IF('30_Daily_Rollup'!B2=$B$2,'30_Daily_Rollup'!F2,"")</x:f>
        <x:v>0</x:v>
      </x:c>
      <x:c r="J12" s="14" t="n">
        <x:f>IF('30_Daily_Rollup'!B2=$B$2,'30_Daily_Rollup'!G2,"")</x:f>
        <x:v>0</x:v>
      </x:c>
      <x:c r="K12" s="14"/>
      <x:c r="L12" s="14"/>
      <x:c r="M12" s="14"/>
      <x:c r="N12" s="14"/>
    </x:row>
    <x:row r="13">
      <x:c r="A13" s="14" t="str">
        <x:f>IF('20_Proof_Queue'!A2="","",'20_Proof_Queue'!A2)</x:f>
        <x:v>ISS-0001</x:v>
      </x:c>
      <x:c r="B13" s="283" t="n">
        <x:f>IF('20_Proof_Queue'!B2="","",'20_Proof_Queue'!B2)</x:f>
        <x:v>46204</x:v>
      </x:c>
      <x:c r="C13" s="14" t="str">
        <x:f>IF('20_Proof_Queue'!C2="","",'20_Proof_Queue'!C2)</x:f>
        <x:v>PRJ-1001</x:v>
      </x:c>
      <x:c r="D13" s="14" t="str">
        <x:f>IF('20_Proof_Queue'!F2="","",'20_Proof_Queue'!F2)</x:f>
        <x:v>Missing redline</x:v>
      </x:c>
      <x:c r="E13" s="14" t="str">
        <x:f>IF('20_Proof_Queue'!G2="","",'20_Proof_Queue'!G2)</x:f>
        <x:v>High</x:v>
      </x:c>
      <x:c r="F13" s="14" t="str">
        <x:f>IF('20_Proof_Queue'!H2="","",'20_Proof_Queue'!H2)</x:f>
        <x:v>Open</x:v>
      </x:c>
      <x:c r="G13" s="14"/>
      <x:c r="H13" s="283" t="n">
        <x:f>'30_Daily_Rollup'!A3</x:f>
        <x:v>46202</x:v>
      </x:c>
      <x:c r="I13" s="14" t="str">
        <x:f>IF('30_Daily_Rollup'!B3=$B$2,'30_Daily_Rollup'!F3,"")</x:f>
      </x:c>
      <x:c r="J13" s="14" t="str">
        <x:f>IF('30_Daily_Rollup'!B3=$B$2,'30_Daily_Rollup'!G3,"")</x:f>
      </x:c>
      <x:c r="K13" s="14"/>
      <x:c r="L13" s="14"/>
      <x:c r="M13" s="14"/>
      <x:c r="N13" s="14"/>
    </x:row>
    <x:row r="14">
      <x:c r="A14" s="14" t="str">
        <x:f>IF('20_Proof_Queue'!A3="","",'20_Proof_Queue'!A3)</x:f>
        <x:v>ISS-0002</x:v>
      </x:c>
      <x:c r="B14" s="283" t="n">
        <x:f>IF('20_Proof_Queue'!B3="","",'20_Proof_Queue'!B3)</x:f>
        <x:v>46204</x:v>
      </x:c>
      <x:c r="C14" s="14" t="str">
        <x:f>IF('20_Proof_Queue'!C3="","",'20_Proof_Queue'!C3)</x:f>
        <x:v>PRJ-1002</x:v>
      </x:c>
      <x:c r="D14" s="14" t="str">
        <x:f>IF('20_Proof_Queue'!F3="","",'20_Proof_Queue'!F3)</x:f>
        <x:v>Damage follow-up</x:v>
      </x:c>
      <x:c r="E14" s="14" t="str">
        <x:f>IF('20_Proof_Queue'!G3="","",'20_Proof_Queue'!G3)</x:f>
        <x:v>Critical</x:v>
      </x:c>
      <x:c r="F14" s="14" t="str">
        <x:f>IF('20_Proof_Queue'!H3="","",'20_Proof_Queue'!H3)</x:f>
        <x:v>Open</x:v>
      </x:c>
      <x:c r="G14" s="14"/>
      <x:c r="H14" s="283" t="n">
        <x:f>'30_Daily_Rollup'!A4</x:f>
        <x:v>46202</x:v>
      </x:c>
      <x:c r="I14" s="14" t="str">
        <x:f>IF('30_Daily_Rollup'!B4=$B$2,'30_Daily_Rollup'!F4,"")</x:f>
      </x:c>
      <x:c r="J14" s="14" t="str">
        <x:f>IF('30_Daily_Rollup'!B4=$B$2,'30_Daily_Rollup'!G4,"")</x:f>
      </x:c>
      <x:c r="K14" s="14"/>
      <x:c r="L14" s="14"/>
      <x:c r="M14" s="14"/>
      <x:c r="N14" s="14"/>
    </x:row>
    <x:row r="15">
      <x:c r="A15" s="14" t="str">
        <x:f>IF('20_Proof_Queue'!A4="","",'20_Proof_Queue'!A4)</x:f>
        <x:v>ISS-0003</x:v>
      </x:c>
      <x:c r="B15" s="283" t="n">
        <x:f>IF('20_Proof_Queue'!B4="","",'20_Proof_Queue'!B4)</x:f>
        <x:v>46204</x:v>
      </x:c>
      <x:c r="C15" s="14" t="str">
        <x:f>IF('20_Proof_Queue'!C4="","",'20_Proof_Queue'!C4)</x:f>
        <x:v>PRJ-1001</x:v>
      </x:c>
      <x:c r="D15" s="14" t="str">
        <x:f>IF('20_Proof_Queue'!F4="","",'20_Proof_Queue'!F4)</x:f>
        <x:v>Required asset not uploaded</x:v>
      </x:c>
      <x:c r="E15" s="14" t="str">
        <x:f>IF('20_Proof_Queue'!G4="","",'20_Proof_Queue'!G4)</x:f>
        <x:v>High</x:v>
      </x:c>
      <x:c r="F15" s="14" t="str">
        <x:f>IF('20_Proof_Queue'!H4="","",'20_Proof_Queue'!H4)</x:f>
        <x:v>Field Correction Needed</x:v>
      </x:c>
      <x:c r="G15" s="14"/>
      <x:c r="H15" s="283" t="n">
        <x:f>'30_Daily_Rollup'!A5</x:f>
        <x:v>46203</x:v>
      </x:c>
      <x:c r="I15" s="14" t="n">
        <x:f>IF('30_Daily_Rollup'!B5=$B$2,'30_Daily_Rollup'!F5,"")</x:f>
        <x:v>0</x:v>
      </x:c>
      <x:c r="J15" s="14" t="n">
        <x:f>IF('30_Daily_Rollup'!B5=$B$2,'30_Daily_Rollup'!G5,"")</x:f>
        <x:v>0</x:v>
      </x:c>
      <x:c r="K15" s="14"/>
      <x:c r="L15" s="14"/>
      <x:c r="M15" s="14"/>
      <x:c r="N15" s="14"/>
    </x:row>
    <x:row r="16">
      <x:c r="A16" s="14" t="str">
        <x:f>IF('20_Proof_Queue'!A5="","",'20_Proof_Queue'!A5)</x:f>
      </x:c>
      <x:c r="B16" s="283" t="str">
        <x:f>IF('20_Proof_Queue'!B5="","",'20_Proof_Queue'!B5)</x:f>
      </x:c>
      <x:c r="C16" s="14" t="str">
        <x:f>IF('20_Proof_Queue'!C5="","",'20_Proof_Queue'!C5)</x:f>
      </x:c>
      <x:c r="D16" s="14" t="str">
        <x:f>IF('20_Proof_Queue'!F5="","",'20_Proof_Queue'!F5)</x:f>
      </x:c>
      <x:c r="E16" s="14" t="str">
        <x:f>IF('20_Proof_Queue'!G5="","",'20_Proof_Queue'!G5)</x:f>
      </x:c>
      <x:c r="F16" s="14" t="str">
        <x:f>IF('20_Proof_Queue'!H5="","",'20_Proof_Queue'!H5)</x:f>
      </x:c>
      <x:c r="G16" s="14"/>
      <x:c r="H16" s="283" t="n">
        <x:f>'30_Daily_Rollup'!A6</x:f>
        <x:v>46203</x:v>
      </x:c>
      <x:c r="I16" s="14" t="str">
        <x:f>IF('30_Daily_Rollup'!B6=$B$2,'30_Daily_Rollup'!F6,"")</x:f>
      </x:c>
      <x:c r="J16" s="14" t="str">
        <x:f>IF('30_Daily_Rollup'!B6=$B$2,'30_Daily_Rollup'!G6,"")</x:f>
      </x:c>
      <x:c r="K16" s="14"/>
      <x:c r="L16" s="14"/>
      <x:c r="M16" s="14"/>
      <x:c r="N16" s="14"/>
    </x:row>
    <x:row r="17">
      <x:c r="A17" s="14" t="str">
        <x:f>IF('20_Proof_Queue'!A6="","",'20_Proof_Queue'!A6)</x:f>
      </x:c>
      <x:c r="B17" s="283" t="str">
        <x:f>IF('20_Proof_Queue'!B6="","",'20_Proof_Queue'!B6)</x:f>
      </x:c>
      <x:c r="C17" s="14" t="str">
        <x:f>IF('20_Proof_Queue'!C6="","",'20_Proof_Queue'!C6)</x:f>
      </x:c>
      <x:c r="D17" s="14" t="str">
        <x:f>IF('20_Proof_Queue'!F6="","",'20_Proof_Queue'!F6)</x:f>
      </x:c>
      <x:c r="E17" s="14" t="str">
        <x:f>IF('20_Proof_Queue'!G6="","",'20_Proof_Queue'!G6)</x:f>
      </x:c>
      <x:c r="F17" s="14" t="str">
        <x:f>IF('20_Proof_Queue'!H6="","",'20_Proof_Queue'!H6)</x:f>
      </x:c>
      <x:c r="G17" s="14"/>
      <x:c r="H17" s="283" t="n">
        <x:f>'30_Daily_Rollup'!A7</x:f>
        <x:v>46203</x:v>
      </x:c>
      <x:c r="I17" s="14" t="str">
        <x:f>IF('30_Daily_Rollup'!B7=$B$2,'30_Daily_Rollup'!F7,"")</x:f>
      </x:c>
      <x:c r="J17" s="14" t="str">
        <x:f>IF('30_Daily_Rollup'!B7=$B$2,'30_Daily_Rollup'!G7,"")</x:f>
      </x:c>
      <x:c r="K17" s="14"/>
      <x:c r="L17" s="14"/>
      <x:c r="M17" s="14"/>
      <x:c r="N17" s="14"/>
    </x:row>
    <x:row r="18">
      <x:c r="A18" s="14" t="str">
        <x:f>IF('20_Proof_Queue'!A7="","",'20_Proof_Queue'!A7)</x:f>
      </x:c>
      <x:c r="B18" s="283" t="str">
        <x:f>IF('20_Proof_Queue'!B7="","",'20_Proof_Queue'!B7)</x:f>
      </x:c>
      <x:c r="C18" s="14" t="str">
        <x:f>IF('20_Proof_Queue'!C7="","",'20_Proof_Queue'!C7)</x:f>
      </x:c>
      <x:c r="D18" s="14" t="str">
        <x:f>IF('20_Proof_Queue'!F7="","",'20_Proof_Queue'!F7)</x:f>
      </x:c>
      <x:c r="E18" s="14" t="str">
        <x:f>IF('20_Proof_Queue'!G7="","",'20_Proof_Queue'!G7)</x:f>
      </x:c>
      <x:c r="F18" s="14" t="str">
        <x:f>IF('20_Proof_Queue'!H7="","",'20_Proof_Queue'!H7)</x:f>
      </x:c>
      <x:c r="G18" s="14"/>
      <x:c r="H18" s="283" t="n">
        <x:f>'30_Daily_Rollup'!A8</x:f>
        <x:v>46204</x:v>
      </x:c>
      <x:c r="I18" s="14" t="n">
        <x:f>IF('30_Daily_Rollup'!B8=$B$2,'30_Daily_Rollup'!F8,"")</x:f>
        <x:v>1570</x:v>
      </x:c>
      <x:c r="J18" s="14" t="n">
        <x:f>IF('30_Daily_Rollup'!B8=$B$2,'30_Daily_Rollup'!G8,"")</x:f>
        <x:v>26.5</x:v>
      </x:c>
      <x:c r="K18" s="14"/>
      <x:c r="L18" s="14"/>
      <x:c r="M18" s="14"/>
      <x:c r="N18" s="14"/>
    </x:row>
    <x:row r="19">
      <x:c r="A19" s="14" t="str">
        <x:f>IF('20_Proof_Queue'!A8="","",'20_Proof_Queue'!A8)</x:f>
      </x:c>
      <x:c r="B19" s="283" t="str">
        <x:f>IF('20_Proof_Queue'!B8="","",'20_Proof_Queue'!B8)</x:f>
      </x:c>
      <x:c r="C19" s="14" t="str">
        <x:f>IF('20_Proof_Queue'!C8="","",'20_Proof_Queue'!C8)</x:f>
      </x:c>
      <x:c r="D19" s="14" t="str">
        <x:f>IF('20_Proof_Queue'!F8="","",'20_Proof_Queue'!F8)</x:f>
      </x:c>
      <x:c r="E19" s="14" t="str">
        <x:f>IF('20_Proof_Queue'!G8="","",'20_Proof_Queue'!G8)</x:f>
      </x:c>
      <x:c r="F19" s="14" t="str">
        <x:f>IF('20_Proof_Queue'!H8="","",'20_Proof_Queue'!H8)</x:f>
      </x:c>
      <x:c r="G19" s="14"/>
      <x:c r="H19" s="283" t="n">
        <x:f>'30_Daily_Rollup'!A9</x:f>
        <x:v>46204</x:v>
      </x:c>
      <x:c r="I19" s="14" t="str">
        <x:f>IF('30_Daily_Rollup'!B9=$B$2,'30_Daily_Rollup'!F9,"")</x:f>
      </x:c>
      <x:c r="J19" s="14" t="str">
        <x:f>IF('30_Daily_Rollup'!B9=$B$2,'30_Daily_Rollup'!G9,"")</x:f>
      </x:c>
      <x:c r="K19" s="14"/>
      <x:c r="L19" s="14"/>
      <x:c r="M19" s="14"/>
      <x:c r="N19" s="14"/>
    </x:row>
    <x:row r="20">
      <x:c r="A20" s="14"/>
      <x:c r="B20" s="14"/>
      <x:c r="C20" s="14"/>
      <x:c r="D20" s="14"/>
      <x:c r="E20" s="14"/>
      <x:c r="F20" s="14"/>
      <x:c r="G20" s="14"/>
      <x:c r="H20" s="283" t="n">
        <x:f>'30_Daily_Rollup'!A10</x:f>
        <x:v>46204</x:v>
      </x:c>
      <x:c r="I20" s="14" t="str">
        <x:f>IF('30_Daily_Rollup'!B10=$B$2,'30_Daily_Rollup'!F10,"")</x:f>
      </x:c>
      <x:c r="J20" s="14" t="str">
        <x:f>IF('30_Daily_Rollup'!B10=$B$2,'30_Daily_Rollup'!G10,"")</x:f>
      </x:c>
      <x:c r="K20" s="14"/>
      <x:c r="L20" s="14"/>
      <x:c r="M20" s="14"/>
      <x:c r="N20" s="14"/>
    </x:row>
    <x:row r="21">
      <x:c r="A21" s="14"/>
      <x:c r="B21" s="14"/>
      <x:c r="C21" s="14"/>
      <x:c r="D21" s="14"/>
      <x:c r="E21" s="14"/>
      <x:c r="F21" s="14"/>
      <x:c r="G21" s="14"/>
      <x:c r="H21" s="283" t="n">
        <x:f>'30_Daily_Rollup'!A11</x:f>
        <x:v>46205</x:v>
      </x:c>
      <x:c r="I21" s="14" t="n">
        <x:f>IF('30_Daily_Rollup'!B11=$B$2,'30_Daily_Rollup'!F11,"")</x:f>
        <x:v>1400</x:v>
      </x:c>
      <x:c r="J21" s="14" t="n">
        <x:f>IF('30_Daily_Rollup'!B11=$B$2,'30_Daily_Rollup'!G11,"")</x:f>
        <x:v>18</x:v>
      </x:c>
      <x:c r="K21" s="14"/>
      <x:c r="L21" s="14"/>
      <x:c r="M21" s="14"/>
      <x:c r="N21" s="14"/>
    </x:row>
    <x:row r="22">
      <x:c r="A22" s="14"/>
      <x:c r="B22" s="14"/>
      <x:c r="C22" s="14"/>
      <x:c r="D22" s="14"/>
      <x:c r="E22" s="14"/>
      <x:c r="F22" s="14"/>
      <x:c r="G22" s="14"/>
      <x:c r="H22" s="283" t="n">
        <x:f>'30_Daily_Rollup'!A12</x:f>
        <x:v>46205</x:v>
      </x:c>
      <x:c r="I22" s="14" t="str">
        <x:f>IF('30_Daily_Rollup'!B12=$B$2,'30_Daily_Rollup'!F12,"")</x:f>
      </x:c>
      <x:c r="J22" s="14" t="str">
        <x:f>IF('30_Daily_Rollup'!B12=$B$2,'30_Daily_Rollup'!G12,"")</x:f>
      </x:c>
      <x:c r="K22" s="14"/>
      <x:c r="L22" s="14"/>
      <x:c r="M22" s="14"/>
      <x:c r="N22" s="14"/>
    </x:row>
    <x:row r="23">
      <x:c r="A23" s="14"/>
      <x:c r="B23" s="14"/>
      <x:c r="C23" s="14"/>
      <x:c r="D23" s="14"/>
      <x:c r="E23" s="14"/>
      <x:c r="F23" s="14"/>
      <x:c r="G23" s="14"/>
      <x:c r="H23" s="283" t="n">
        <x:f>'30_Daily_Rollup'!A13</x:f>
        <x:v>46205</x:v>
      </x:c>
      <x:c r="I23" s="14" t="str">
        <x:f>IF('30_Daily_Rollup'!B13=$B$2,'30_Daily_Rollup'!F13,"")</x:f>
      </x:c>
      <x:c r="J23" s="14" t="str">
        <x:f>IF('30_Daily_Rollup'!B13=$B$2,'30_Daily_Rollup'!G13,"")</x:f>
      </x:c>
      <x:c r="K23" s="14"/>
      <x:c r="L23" s="14"/>
      <x:c r="M23" s="14"/>
      <x:c r="N23" s="14"/>
    </x:row>
    <x:row r="24">
      <x:c r="A24" s="14"/>
      <x:c r="B24" s="14"/>
      <x:c r="C24" s="14"/>
      <x:c r="D24" s="14"/>
      <x:c r="E24" s="14"/>
      <x:c r="F24" s="14"/>
      <x:c r="G24" s="14"/>
      <x:c r="H24" s="283" t="n">
        <x:f>'30_Daily_Rollup'!A14</x:f>
        <x:v>46206</x:v>
      </x:c>
      <x:c r="I24" s="14" t="n">
        <x:f>IF('30_Daily_Rollup'!B14=$B$2,'30_Daily_Rollup'!F14,"")</x:f>
        <x:v>0</x:v>
      </x:c>
      <x:c r="J24" s="14" t="n">
        <x:f>IF('30_Daily_Rollup'!B14=$B$2,'30_Daily_Rollup'!G14,"")</x:f>
        <x:v>0</x:v>
      </x:c>
      <x:c r="K24" s="14"/>
      <x:c r="L24" s="14"/>
      <x:c r="M24" s="14"/>
      <x:c r="N24" s="14"/>
    </x:row>
    <x:row r="25">
      <x:c r="A25" s="14"/>
      <x:c r="B25" s="14"/>
      <x:c r="C25" s="14"/>
      <x:c r="D25" s="14"/>
      <x:c r="E25" s="14"/>
      <x:c r="F25" s="14"/>
      <x:c r="G25" s="14"/>
      <x:c r="H25" s="283" t="n">
        <x:f>'30_Daily_Rollup'!A15</x:f>
        <x:v>46206</x:v>
      </x:c>
      <x:c r="I25" s="14" t="str">
        <x:f>IF('30_Daily_Rollup'!B15=$B$2,'30_Daily_Rollup'!F15,"")</x:f>
      </x:c>
      <x:c r="J25" s="14" t="str">
        <x:f>IF('30_Daily_Rollup'!B15=$B$2,'30_Daily_Rollup'!G15,"")</x:f>
      </x:c>
      <x:c r="K25" s="14"/>
      <x:c r="L25" s="14"/>
      <x:c r="M25" s="14"/>
      <x:c r="N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</x:row>
    <x:row r="28">
      <x:c r="A28" s="14"/>
      <x:c r="B28" s="14"/>
      <x:c r="C28" s="14"/>
      <x:c r="D28" s="14"/>
      <x:c r="E28" s="14"/>
      <x:c r="F28" s="14"/>
      <x:c r="G28" s="14"/>
      <x:c r="H28" s="273" t="str">
        <x:v>Severity</x:v>
      </x:c>
      <x:c r="I28" s="273" t="str">
        <x:v>Open Count</x:v>
      </x:c>
      <x:c r="J28" s="14"/>
      <x:c r="K28" s="14"/>
      <x:c r="L28" s="14"/>
      <x:c r="M28" s="14"/>
      <x:c r="N28" s="14"/>
    </x:row>
    <x:row r="29">
      <x:c r="A29" s="14"/>
      <x:c r="B29" s="14"/>
      <x:c r="C29" s="14"/>
      <x:c r="D29" s="14"/>
      <x:c r="E29" s="14"/>
      <x:c r="F29" s="14"/>
      <x:c r="G29" s="14"/>
      <x:c r="H29" s="14" t="str">
        <x:v>Low</x:v>
      </x:c>
      <x:c r="I29" s="14" t="n">
        <x:f>COUNTIFS('20_Proof_Queue'!$C:$C,$B$2,'20_Proof_Queue'!$G:$G,H29,'20_Proof_Queue'!$H:$H,"&lt;&gt;Closed")</x:f>
        <x:v>0</x:v>
      </x:c>
      <x:c r="J29" s="14"/>
      <x:c r="K29" s="14"/>
      <x:c r="L29" s="14"/>
      <x:c r="M29" s="14"/>
      <x:c r="N29" s="14"/>
    </x:row>
    <x:row r="30">
      <x:c r="A30" s="14"/>
      <x:c r="B30" s="14"/>
      <x:c r="C30" s="14"/>
      <x:c r="D30" s="14"/>
      <x:c r="E30" s="14"/>
      <x:c r="F30" s="14"/>
      <x:c r="G30" s="14"/>
      <x:c r="H30" s="14" t="str">
        <x:v>Medium</x:v>
      </x:c>
      <x:c r="I30" s="14" t="n">
        <x:f>COUNTIFS('20_Proof_Queue'!$C:$C,$B$2,'20_Proof_Queue'!$G:$G,H30,'20_Proof_Queue'!$H:$H,"&lt;&gt;Closed")</x:f>
        <x:v>0</x:v>
      </x:c>
      <x:c r="J30" s="14"/>
      <x:c r="K30" s="14"/>
      <x:c r="L30" s="14"/>
      <x:c r="M30" s="14"/>
      <x:c r="N30" s="14"/>
    </x:row>
    <x:row r="31">
      <x:c r="A31" s="14"/>
      <x:c r="B31" s="14"/>
      <x:c r="C31" s="14"/>
      <x:c r="D31" s="14"/>
      <x:c r="E31" s="14"/>
      <x:c r="F31" s="14"/>
      <x:c r="G31" s="14"/>
      <x:c r="H31" s="14" t="str">
        <x:v>High</x:v>
      </x:c>
      <x:c r="I31" s="14" t="n">
        <x:f>COUNTIFS('20_Proof_Queue'!$C:$C,$B$2,'20_Proof_Queue'!$G:$G,H31,'20_Proof_Queue'!$H:$H,"&lt;&gt;Closed")</x:f>
        <x:v>2</x:v>
      </x:c>
      <x:c r="J31" s="14"/>
      <x:c r="K31" s="14"/>
      <x:c r="L31" s="14"/>
      <x:c r="M31" s="14"/>
      <x:c r="N31" s="14"/>
    </x:row>
    <x:row r="32">
      <x:c r="A32" s="14"/>
      <x:c r="B32" s="14"/>
      <x:c r="C32" s="14"/>
      <x:c r="D32" s="14"/>
      <x:c r="E32" s="14"/>
      <x:c r="F32" s="14"/>
      <x:c r="G32" s="14"/>
      <x:c r="H32" s="14" t="str">
        <x:v>Critical</x:v>
      </x:c>
      <x:c r="I32" s="14" t="n">
        <x:f>COUNTIFS('20_Proof_Queue'!$C:$C,$B$2,'20_Proof_Queue'!$G:$G,H32,'20_Proof_Queue'!$H:$H,"&lt;&gt;Closed")</x:f>
        <x:v>0</x:v>
      </x:c>
      <x:c r="J32" s="14"/>
      <x:c r="K32" s="14"/>
      <x:c r="L32" s="14"/>
      <x:c r="M32" s="14"/>
      <x:c r="N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</x:row>
  </x:sheetData>
  <x:pageMargins left="0.7" right="0.7" top="0.75" bottom="0.75" header="0.3" footer="0.3"/>
  <x:drawing xmlns:r="http://schemas.openxmlformats.org/officeDocument/2006/relationships" r:id="R2300b3f010dd4269"/>
</x:worksheet>
</file>

<file path=xl/worksheets/sheet2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8" hidden="0" customWidth="1"/>
    <x:col min="3" max="3" width="72" hidden="0" customWidth="1"/>
    <x:col min="4" max="4" width="18" hidden="0" customWidth="1"/>
  </x:cols>
  <x:sheetData>
    <x:row r="1" ht="30" customHeight="1">
      <x:c r="A1" s="296" t="str">
        <x:v>SourceName</x:v>
      </x:c>
      <x:c r="B1" s="296" t="str">
        <x:v>URL</x:v>
      </x:c>
      <x:c r="C1" s="296" t="str">
        <x:v>Why It Matters</x:v>
      </x:c>
      <x:c r="D1" s="296" t="str">
        <x:v>Status</x:v>
      </x:c>
    </x:row>
    <x:row r="2" ht="20" customHeight="1">
      <x:c r="A2" s="15" t="str">
        <x:v>Crewproof.app main</x:v>
      </x:c>
      <x:c r="B2" s="15" t="str">
        <x:v>https://www.crewproof.app/</x:v>
      </x:c>
      <x:c r="C2" s="15" t="str">
        <x:v>Public Crewproof.app positioning: telecom work proved from map to payment.</x:v>
      </x:c>
      <x:c r="D2" s="15" t="str">
        <x:v>Primary</x:v>
      </x:c>
    </x:row>
    <x:row r="3" ht="20" customHeight="1">
      <x:c r="A3" s="15" t="str">
        <x:v>Crewproof telecom / 811</x:v>
      </x:c>
      <x:c r="B3" s="15" t="str">
        <x:v>https://crewproof.app/telecom/811/</x:v>
      </x:c>
      <x:c r="C3" s="15" t="str">
        <x:v>Public Crewproof.app result mentioning field records, GPS proof, redlines, closeout approvals, and billing backup.</x:v>
      </x:c>
      <x:c r="D3" s="15" t="str">
        <x:v>Primary</x:v>
      </x:c>
    </x:row>
    <x:row r="4" ht="20" customHeight="1">
      <x:c r="A4" s="15" t="str">
        <x:v>Google Apps Script Spreadsheet Service</x:v>
      </x:c>
      <x:c r="B4" s="15" t="str">
        <x:v>https://developers.google.com/apps-script/reference/spreadsheet</x:v>
      </x:c>
      <x:c r="C4" s="15" t="str">
        <x:v>Official reference for automating Google Sheets structure, formatting, validation, ranges, and data operations.</x:v>
      </x:c>
      <x:c r="D4" s="15" t="str">
        <x:v>Build Link</x:v>
      </x:c>
    </x:row>
    <x:row r="5" ht="20" customHeight="1">
      <x:c r="A5" s="15" t="str">
        <x:v>Google Apps Script installable triggers</x:v>
      </x:c>
      <x:c r="B5" s="15" t="str">
        <x:v>https://developers.google.com/apps-script/guides/triggers/installable</x:v>
      </x:c>
      <x:c r="C5" s="15" t="str">
        <x:v>Official reference for time-driven triggers to run daily, weekly, and monthly automations.</x:v>
      </x:c>
      <x:c r="D5" s="15" t="str">
        <x:v>Build Link</x:v>
      </x:c>
    </x:row>
    <x:row r="6" ht="20" customHeight="1">
      <x:c r="A6" s="15" t="str">
        <x:v>Looker Studio Google Sheets data source</x:v>
      </x:c>
      <x:c r="B6" s="15" t="str">
        <x:v>https://docs.cloud.google.com/data-studio/tutorial-create-a-google-sheets-data-source</x:v>
      </x:c>
      <x:c r="C6" s="15" t="str">
        <x:v>Official docs for connecting Google Sheets to dashboards/reports.</x:v>
      </x:c>
      <x:c r="D6" s="15" t="str">
        <x:v>Dashboard Link</x:v>
      </x:c>
    </x:row>
    <x:row r="7" ht="20" customHeight="1">
      <x:c r="A7" s="15" t="str">
        <x:v>CrewProof cleaning app name collision</x:v>
      </x:c>
      <x:c r="B7" s="15" t="str">
        <x:v>https://crewproofsoftware.com/</x:v>
      </x:c>
      <x:c r="C7" s="15" t="str">
        <x:v>Different company/category using similar name; useful only to avoid confusion in positioning/search results.</x:v>
      </x:c>
      <x:c r="D7" s="15" t="str">
        <x:v>Name Collision</x:v>
      </x:c>
    </x:row>
    <x:row r="8" ht="20" customHeight="1">
      <x:c r="A8" s="15"/>
      <x:c r="B8" s="15"/>
      <x:c r="C8" s="15"/>
      <x:c r="D8" s="15"/>
    </x:row>
    <x:row r="9" ht="20" customHeight="1">
      <x:c r="A9" s="15"/>
      <x:c r="B9" s="15"/>
      <x:c r="C9" s="15"/>
      <x:c r="D9" s="15"/>
    </x:row>
    <x:row r="10" ht="20" customHeight="1">
      <x:c r="A10" s="15"/>
      <x:c r="B10" s="15"/>
      <x:c r="C10" s="15"/>
      <x:c r="D10" s="15"/>
    </x:row>
    <x:row r="11" ht="20" customHeight="1">
      <x:c r="A11" s="15"/>
      <x:c r="B11" s="15"/>
      <x:c r="C11" s="15"/>
      <x:c r="D11" s="15"/>
    </x:row>
    <x:row r="12" ht="20" customHeight="1">
      <x:c r="A12" s="15"/>
      <x:c r="B12" s="15"/>
      <x:c r="C12" s="15"/>
      <x:c r="D12" s="15"/>
    </x:row>
    <x:row r="13" ht="20" customHeight="1">
      <x:c r="A13" s="15"/>
      <x:c r="B13" s="15"/>
      <x:c r="C13" s="15"/>
      <x:c r="D13" s="15"/>
    </x:row>
    <x:row r="14" ht="20" customHeight="1">
      <x:c r="A14" s="15"/>
      <x:c r="B14" s="15"/>
      <x:c r="C14" s="15"/>
      <x:c r="D14" s="15"/>
    </x:row>
    <x:row r="15" ht="20" customHeight="1">
      <x:c r="A15" s="15"/>
      <x:c r="B15" s="15"/>
      <x:c r="C15" s="15"/>
      <x:c r="D15" s="15"/>
    </x:row>
    <x:row r="16" ht="20" customHeight="1">
      <x:c r="A16" s="15"/>
      <x:c r="B16" s="15"/>
      <x:c r="C16" s="15"/>
      <x:c r="D16" s="15"/>
    </x:row>
    <x:row r="17" ht="20" customHeight="1">
      <x:c r="A17" s="15"/>
      <x:c r="B17" s="15"/>
      <x:c r="C17" s="15"/>
      <x:c r="D17" s="15"/>
    </x:row>
    <x:row r="18" ht="20" customHeight="1">
      <x:c r="A18" s="15"/>
      <x:c r="B18" s="15"/>
      <x:c r="C18" s="15"/>
      <x:c r="D18" s="15"/>
    </x:row>
    <x:row r="19" ht="20" customHeight="1">
      <x:c r="A19" s="15"/>
      <x:c r="B19" s="15"/>
      <x:c r="C19" s="15"/>
      <x:c r="D19" s="15"/>
    </x:row>
    <x:row r="20" ht="20" customHeight="1">
      <x:c r="A20" s="15"/>
      <x:c r="B20" s="15"/>
      <x:c r="C20" s="15"/>
      <x:c r="D20" s="15"/>
    </x:row>
    <x:row r="21" ht="20" customHeight="1">
      <x:c r="A21" s="15"/>
      <x:c r="B21" s="15"/>
      <x:c r="C21" s="15"/>
      <x:c r="D21" s="15"/>
    </x:row>
    <x:row r="22" ht="20" customHeight="1">
      <x:c r="A22" s="15"/>
      <x:c r="B22" s="15"/>
      <x:c r="C22" s="15"/>
      <x:c r="D22" s="15"/>
    </x:row>
    <x:row r="23" ht="20" customHeight="1">
      <x:c r="A23" s="15"/>
      <x:c r="B23" s="15"/>
      <x:c r="C23" s="15"/>
      <x:c r="D23" s="15"/>
    </x:row>
    <x:row r="24" ht="20" customHeight="1">
      <x:c r="A24" s="15"/>
      <x:c r="B24" s="15"/>
      <x:c r="C24" s="15"/>
      <x:c r="D24" s="15"/>
    </x:row>
    <x:row r="25" ht="20" customHeight="1">
      <x:c r="A25" s="15"/>
      <x:c r="B25" s="15"/>
      <x:c r="C25" s="15"/>
      <x:c r="D25" s="15"/>
    </x:row>
    <x:row r="26" ht="20" customHeight="1">
      <x:c r="A26" s="15"/>
      <x:c r="B26" s="15"/>
      <x:c r="C26" s="15"/>
      <x:c r="D26" s="15"/>
    </x:row>
    <x:row r="27" ht="20" customHeight="1">
      <x:c r="A27" s="15"/>
      <x:c r="B27" s="15"/>
      <x:c r="C27" s="15"/>
      <x:c r="D27" s="15"/>
    </x:row>
    <x:row r="28" ht="20" customHeight="1">
      <x:c r="A28" s="15"/>
      <x:c r="B28" s="15"/>
      <x:c r="C28" s="15"/>
      <x:c r="D28" s="15"/>
    </x:row>
    <x:row r="29" ht="20" customHeight="1">
      <x:c r="A29" s="15"/>
      <x:c r="B29" s="15"/>
      <x:c r="C29" s="15"/>
      <x:c r="D29" s="15"/>
    </x:row>
    <x:row r="30" ht="20" customHeight="1">
      <x:c r="A30" s="15"/>
      <x:c r="B30" s="15"/>
      <x:c r="C30" s="15"/>
      <x:c r="D30" s="15"/>
    </x:row>
    <x:row r="31" ht="20" customHeight="1">
      <x:c r="A31" s="15"/>
      <x:c r="B31" s="15"/>
      <x:c r="C31" s="15"/>
      <x:c r="D31" s="15"/>
    </x:row>
  </x:sheetData>
  <x:pageMargins left="0.7" right="0.7" top="0.75" bottom="0.75" header="0.3" footer="0.3"/>
  <x:tableParts count="1">
    <x:tablePart xmlns:r="http://schemas.openxmlformats.org/officeDocument/2006/relationships" r:id="R9782a28585ac4aa9"/>
  </x:tableParts>
</x:worksheet>
</file>